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b34b8d26f1bba532/Desktop/Arkadiamedieval/"/>
    </mc:Choice>
  </mc:AlternateContent>
  <xr:revisionPtr revIDLastSave="0" documentId="8_{B7049FFB-2E7F-41D6-B7D4-49C67192C4A8}" xr6:coauthVersionLast="47" xr6:coauthVersionMax="47" xr10:uidLastSave="{00000000-0000-0000-0000-000000000000}"/>
  <bookViews>
    <workbookView showHorizontalScroll="0" showVerticalScroll="0" xWindow="-108" yWindow="-108" windowWidth="23256" windowHeight="12456" autoFilterDateGrouping="0" xr2:uid="{00000000-000D-0000-FFFF-FFFF00000000}"/>
  </bookViews>
  <sheets>
    <sheet name="Nom du personnage" sheetId="1" r:id="rId1"/>
    <sheet name="Restriction de divinité" sheetId="23" state="hidden" r:id="rId2"/>
    <sheet name="Données" sheetId="3" r:id="rId3"/>
    <sheet name="Restriction de carrière" sheetId="12" state="hidden" r:id="rId4"/>
    <sheet name="Religion" sheetId="19" state="hidden" r:id="rId5"/>
    <sheet name="Restriction de moralité" sheetId="15" state="hidden" r:id="rId6"/>
    <sheet name="Compétences raciales" sheetId="8" state="hidden" r:id="rId7"/>
    <sheet name="Compétences" sheetId="4" state="hidden" r:id="rId8"/>
    <sheet name="Bonus Humain" sheetId="25" state="hidden" r:id="rId9"/>
    <sheet name="Contact marchand" sheetId="24" state="hidden" r:id="rId10"/>
    <sheet name="Lecture et écriture" sheetId="22" state="hidden" r:id="rId11"/>
    <sheet name="Compétences raciales + carrière" sheetId="17" state="hidden" r:id="rId12"/>
    <sheet name="Concoction" sheetId="16" state="hidden" r:id="rId13"/>
    <sheet name="Cumulable" sheetId="10" state="hidden" r:id="rId14"/>
    <sheet name="Restriction d'école" sheetId="14" state="hidden" r:id="rId15"/>
    <sheet name="Magie" sheetId="6" state="hidden" r:id="rId16"/>
    <sheet name="Touche à tout Rogue" sheetId="9" state="hidden" r:id="rId17"/>
    <sheet name="Faiblesses" sheetId="11" r:id="rId18"/>
    <sheet name="Immunités" sheetId="18" state="hidden" r:id="rId19"/>
    <sheet name="Données 2" sheetId="2" state="hidden" r:id="rId20"/>
  </sheets>
  <definedNames>
    <definedName name="_xlnm._FilterDatabase" localSheetId="7" hidden="1">Compétences!$H$1:$M$1081</definedName>
    <definedName name="_xlnm._FilterDatabase" localSheetId="12" hidden="1">Concoction!$A$1:$C$1</definedName>
    <definedName name="_xlnm._FilterDatabase" localSheetId="10" hidden="1">'Lecture et écriture'!$F$1:$I$86</definedName>
    <definedName name="_xlnm._FilterDatabase" localSheetId="15" hidden="1">Magie!$F$2:$G$2</definedName>
    <definedName name="_xlnm._FilterDatabase" localSheetId="4" hidden="1">Religion!$A$2:$A$1949</definedName>
    <definedName name="_xlnm._FilterDatabase" localSheetId="16" hidden="1">'Touche à tout Rogue'!$B$2:$B$54</definedName>
    <definedName name="Z_1E7B5665_E06C_D74F_B5BD_017FFD6F236B_.wvu.Cols" localSheetId="0">'Nom du personnage'!$AF:$AG</definedName>
    <definedName name="_xlnm.Print_Area" localSheetId="0">'Nom du personnage'!$A$1:$AE$137</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52" i="4" l="1"/>
  <c r="K4" i="23" a="1"/>
  <c r="K4" i="23" s="1"/>
  <c r="M23" i="1"/>
  <c r="M24" i="1"/>
  <c r="M25" i="1"/>
  <c r="M26" i="1"/>
  <c r="K61" i="14"/>
  <c r="K3" i="14"/>
  <c r="M50" i="14"/>
  <c r="O53" i="14"/>
  <c r="M29" i="14"/>
  <c r="O52" i="14"/>
  <c r="M49" i="14"/>
  <c r="M46" i="14"/>
  <c r="M22" i="1"/>
  <c r="J1084" i="4" a="1"/>
  <c r="J1084" i="4" s="1"/>
  <c r="AA17" i="1" l="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16" i="1"/>
  <c r="M27" i="1"/>
  <c r="M28" i="1"/>
  <c r="M29" i="1"/>
  <c r="M30" i="1"/>
  <c r="M31" i="1"/>
  <c r="M32" i="1"/>
  <c r="M33" i="1"/>
  <c r="M34" i="1"/>
  <c r="M35" i="1"/>
  <c r="M36" i="1"/>
  <c r="M37" i="1"/>
  <c r="M38" i="1"/>
  <c r="M39" i="1"/>
  <c r="M40" i="1"/>
  <c r="M41" i="1"/>
  <c r="M42" i="1"/>
  <c r="M731" i="4" a="1"/>
  <c r="M731" i="4" s="1"/>
  <c r="M1067" i="4" a="1"/>
  <c r="M1067" i="4" s="1"/>
  <c r="P1061" i="4"/>
  <c r="M1061" i="4" s="1"/>
  <c r="K79" i="4"/>
  <c r="K53" i="4"/>
  <c r="G37" i="25"/>
  <c r="M35" i="4"/>
  <c r="E5" i="25" a="1"/>
  <c r="E5" i="25" s="1"/>
  <c r="E6" i="25" a="1"/>
  <c r="E6" i="25" s="1"/>
  <c r="E7" i="25" a="1"/>
  <c r="E7" i="25" s="1"/>
  <c r="E8" i="25" a="1"/>
  <c r="E8" i="25" s="1"/>
  <c r="E9" i="25" a="1"/>
  <c r="E9" i="25" s="1"/>
  <c r="E10" i="25" a="1"/>
  <c r="E10" i="25" s="1"/>
  <c r="E11" i="25" a="1"/>
  <c r="E11" i="25" s="1"/>
  <c r="E12" i="25" a="1"/>
  <c r="E12" i="25" s="1"/>
  <c r="E13" i="25" a="1"/>
  <c r="E13" i="25" s="1"/>
  <c r="E14" i="25" a="1"/>
  <c r="E14" i="25" s="1"/>
  <c r="E15" i="25" a="1"/>
  <c r="E15" i="25" s="1"/>
  <c r="E16" i="25" a="1"/>
  <c r="E16" i="25" s="1"/>
  <c r="E17" i="25" a="1"/>
  <c r="E17" i="25" s="1"/>
  <c r="E18" i="25" a="1"/>
  <c r="E18" i="25" s="1"/>
  <c r="E19" i="25" a="1"/>
  <c r="E19" i="25" s="1"/>
  <c r="E20" i="25" a="1"/>
  <c r="E20" i="25" s="1"/>
  <c r="E21" i="25" a="1"/>
  <c r="E21" i="25" s="1"/>
  <c r="E22" i="25" a="1"/>
  <c r="E22" i="25" s="1"/>
  <c r="E23" i="25" a="1"/>
  <c r="E23" i="25" s="1"/>
  <c r="E24" i="25" a="1"/>
  <c r="E24" i="25" s="1"/>
  <c r="E25" i="25" a="1"/>
  <c r="E25" i="25" s="1"/>
  <c r="E26" i="25" a="1"/>
  <c r="E26" i="25" s="1"/>
  <c r="E27" i="25" a="1"/>
  <c r="E27" i="25" s="1"/>
  <c r="E28" i="25" a="1"/>
  <c r="E28" i="25" s="1"/>
  <c r="E29" i="25" a="1"/>
  <c r="E29" i="25" s="1"/>
  <c r="E30" i="25" a="1"/>
  <c r="E30" i="25" s="1"/>
  <c r="E31" i="25" a="1"/>
  <c r="E31" i="25" s="1"/>
  <c r="E32" i="25" a="1"/>
  <c r="E32" i="25" s="1"/>
  <c r="E33" i="25" a="1"/>
  <c r="E33" i="25" s="1"/>
  <c r="E34" i="25" a="1"/>
  <c r="E34" i="25" s="1"/>
  <c r="E35" i="25" a="1"/>
  <c r="E35" i="25" s="1"/>
  <c r="E36" i="25" a="1"/>
  <c r="E36" i="25" s="1"/>
  <c r="E37" i="25" a="1"/>
  <c r="E37" i="25" s="1"/>
  <c r="F37" i="25" s="1"/>
  <c r="E38" i="25" a="1"/>
  <c r="E38" i="25" s="1"/>
  <c r="E39" i="25" a="1"/>
  <c r="E39" i="25" s="1"/>
  <c r="E40" i="25" a="1"/>
  <c r="E40" i="25" s="1"/>
  <c r="E41" i="25" a="1"/>
  <c r="E41" i="25" s="1"/>
  <c r="E42" i="25" a="1"/>
  <c r="E42" i="25" s="1"/>
  <c r="E43" i="25" a="1"/>
  <c r="E43" i="25" s="1"/>
  <c r="E44" i="25" a="1"/>
  <c r="E44" i="25" s="1"/>
  <c r="E4" i="25" a="1"/>
  <c r="E4" i="25" s="1"/>
  <c r="F4" i="25" s="1"/>
  <c r="G12" i="25"/>
  <c r="AA49" i="1"/>
  <c r="M3" i="14"/>
  <c r="X6" i="6" a="1"/>
  <c r="X6" i="6" s="1"/>
  <c r="M733" i="4" a="1"/>
  <c r="M733" i="4" s="1"/>
  <c r="M732" i="4" a="1"/>
  <c r="M732" i="4" s="1"/>
  <c r="M1031" i="4" a="1"/>
  <c r="M1031" i="4" s="1"/>
  <c r="M1001" i="4" a="1"/>
  <c r="M1001" i="4" s="1"/>
  <c r="M971" i="4" a="1"/>
  <c r="M971" i="4" s="1"/>
  <c r="M904" i="4" a="1"/>
  <c r="M904" i="4" s="1"/>
  <c r="M866" i="4" a="1"/>
  <c r="M866" i="4" s="1"/>
  <c r="M827" i="4" a="1"/>
  <c r="M827" i="4" s="1"/>
  <c r="M642" i="4" a="1"/>
  <c r="M642" i="4" s="1"/>
  <c r="M531" i="4" a="1"/>
  <c r="M531" i="4" s="1"/>
  <c r="M391" i="4" a="1"/>
  <c r="M391" i="4" s="1"/>
  <c r="M345" i="4" a="1"/>
  <c r="M345" i="4" s="1"/>
  <c r="M314" i="4" a="1"/>
  <c r="M314" i="4" s="1"/>
  <c r="M271" i="4" a="1"/>
  <c r="M271" i="4" s="1"/>
  <c r="M121" i="4" a="1"/>
  <c r="M121" i="4" s="1"/>
  <c r="J1088" i="4" a="1"/>
  <c r="J1088" i="4" s="1"/>
  <c r="M1021" i="4" a="1"/>
  <c r="M1021" i="4" s="1"/>
  <c r="M996" i="4" a="1"/>
  <c r="M996" i="4" s="1"/>
  <c r="M964" i="4" a="1"/>
  <c r="M964" i="4" s="1"/>
  <c r="M894" i="4" a="1"/>
  <c r="M894" i="4" s="1"/>
  <c r="M853" i="4" a="1"/>
  <c r="M853" i="4" s="1"/>
  <c r="M814" i="4" a="1"/>
  <c r="M814" i="4" s="1"/>
  <c r="M639" i="4" a="1"/>
  <c r="M639" i="4" s="1"/>
  <c r="M529" i="4" a="1"/>
  <c r="M529" i="4" s="1"/>
  <c r="M387" i="4" a="1"/>
  <c r="M387" i="4" s="1"/>
  <c r="M342" i="4" a="1"/>
  <c r="M342" i="4" s="1"/>
  <c r="M312" i="4" a="1"/>
  <c r="M312" i="4" s="1"/>
  <c r="M267" i="4" a="1"/>
  <c r="M267" i="4" s="1"/>
  <c r="M117" i="4" a="1"/>
  <c r="M117" i="4" s="1"/>
  <c r="F42" i="16" a="1"/>
  <c r="F42" i="16" s="1"/>
  <c r="F43" i="16" a="1"/>
  <c r="F43" i="16" s="1"/>
  <c r="F44" i="16" a="1"/>
  <c r="F44" i="16" s="1"/>
  <c r="F41" i="16" a="1"/>
  <c r="F41" i="16" s="1"/>
  <c r="F33" i="16" a="1"/>
  <c r="F33" i="16" s="1"/>
  <c r="F34" i="16" a="1"/>
  <c r="F34" i="16" s="1"/>
  <c r="F35" i="16" a="1"/>
  <c r="F35" i="16" s="1"/>
  <c r="F36" i="16" a="1"/>
  <c r="F36" i="16" s="1"/>
  <c r="F37" i="16" a="1"/>
  <c r="F37" i="16" s="1"/>
  <c r="F38" i="16" a="1"/>
  <c r="F38" i="16" s="1"/>
  <c r="F39" i="16" a="1"/>
  <c r="F39" i="16" s="1"/>
  <c r="F40" i="16" a="1"/>
  <c r="F40" i="16" s="1"/>
  <c r="F32" i="16" a="1"/>
  <c r="F32" i="16" s="1"/>
  <c r="M1007" i="4"/>
  <c r="M1008" i="4"/>
  <c r="M1009" i="4"/>
  <c r="M1010" i="4"/>
  <c r="M1011" i="4"/>
  <c r="M1012" i="4"/>
  <c r="M1006" i="4"/>
  <c r="M880" i="4"/>
  <c r="M881" i="4"/>
  <c r="M882" i="4"/>
  <c r="M883" i="4"/>
  <c r="M884" i="4"/>
  <c r="M885" i="4"/>
  <c r="M879" i="4"/>
  <c r="M837" i="4"/>
  <c r="M838" i="4"/>
  <c r="M839" i="4"/>
  <c r="M840" i="4"/>
  <c r="M841" i="4"/>
  <c r="M842" i="4"/>
  <c r="M836" i="4"/>
  <c r="M629" i="4"/>
  <c r="M630" i="4"/>
  <c r="M631" i="4"/>
  <c r="M632" i="4"/>
  <c r="M633" i="4"/>
  <c r="M634" i="4"/>
  <c r="M635" i="4"/>
  <c r="M520" i="4"/>
  <c r="M521" i="4"/>
  <c r="M522" i="4"/>
  <c r="M523" i="4"/>
  <c r="M524" i="4"/>
  <c r="M525" i="4"/>
  <c r="M519" i="4"/>
  <c r="M333" i="4"/>
  <c r="M334" i="4"/>
  <c r="M335" i="4"/>
  <c r="M336" i="4"/>
  <c r="M337" i="4"/>
  <c r="M338" i="4"/>
  <c r="M332" i="4"/>
  <c r="M308" i="4"/>
  <c r="C4" i="24" a="1"/>
  <c r="C4" i="24" s="1"/>
  <c r="D4" i="24" s="1"/>
  <c r="C5" i="24" a="1"/>
  <c r="C5" i="24" s="1"/>
  <c r="D5" i="24" s="1"/>
  <c r="C6" i="24" a="1"/>
  <c r="C6" i="24" s="1"/>
  <c r="D6" i="24" s="1"/>
  <c r="C7" i="24" a="1"/>
  <c r="C7" i="24" s="1"/>
  <c r="D7" i="24" s="1"/>
  <c r="C8" i="24" a="1"/>
  <c r="C8" i="24" s="1"/>
  <c r="D8" i="24" s="1"/>
  <c r="C9" i="24" a="1"/>
  <c r="C9" i="24" s="1"/>
  <c r="D9" i="24" s="1"/>
  <c r="C10" i="24" a="1"/>
  <c r="C10" i="24" s="1"/>
  <c r="D10" i="24" s="1"/>
  <c r="C11" i="24" a="1"/>
  <c r="C11" i="24" s="1"/>
  <c r="D11" i="24" s="1"/>
  <c r="C12" i="24" a="1"/>
  <c r="C12" i="24" s="1"/>
  <c r="D12" i="24" s="1"/>
  <c r="C13" i="24" a="1"/>
  <c r="C13" i="24" s="1"/>
  <c r="D13" i="24" s="1"/>
  <c r="C14" i="24" a="1"/>
  <c r="C14" i="24" s="1"/>
  <c r="D14" i="24" s="1"/>
  <c r="C15" i="24" a="1"/>
  <c r="C15" i="24" s="1"/>
  <c r="D15" i="24" s="1"/>
  <c r="C16" i="24" a="1"/>
  <c r="C16" i="24" s="1"/>
  <c r="D16" i="24" s="1"/>
  <c r="C17" i="24" a="1"/>
  <c r="C17" i="24" s="1"/>
  <c r="D17" i="24" s="1"/>
  <c r="C18" i="24" a="1"/>
  <c r="C18" i="24" s="1"/>
  <c r="D18" i="24" s="1"/>
  <c r="C19" i="24" a="1"/>
  <c r="C19" i="24" s="1"/>
  <c r="D19" i="24" s="1"/>
  <c r="C3" i="24" a="1"/>
  <c r="C3" i="24" s="1"/>
  <c r="D3" i="24" s="1"/>
  <c r="A1" i="24"/>
  <c r="M1026" i="4" a="1"/>
  <c r="M1026" i="4" s="1"/>
  <c r="M999" i="4" a="1"/>
  <c r="M999" i="4" s="1"/>
  <c r="M968" i="4" a="1"/>
  <c r="M968" i="4" s="1"/>
  <c r="M934" i="4" a="1"/>
  <c r="M934" i="4" s="1"/>
  <c r="M899" i="4" a="1"/>
  <c r="M899" i="4" s="1"/>
  <c r="M860" i="4" a="1"/>
  <c r="M860" i="4" s="1"/>
  <c r="M821" i="4" a="1"/>
  <c r="M821" i="4" s="1"/>
  <c r="M621" i="4" a="1"/>
  <c r="M621" i="4" s="1"/>
  <c r="M603" i="4" a="1"/>
  <c r="M603" i="4" s="1"/>
  <c r="M495" i="4" a="1"/>
  <c r="M495" i="4" s="1"/>
  <c r="M464" i="4" a="1"/>
  <c r="M464" i="4" s="1"/>
  <c r="M256" i="4" a="1"/>
  <c r="M256" i="4" s="1"/>
  <c r="M214" i="4" a="1"/>
  <c r="M214" i="4" s="1"/>
  <c r="M99" i="4" a="1"/>
  <c r="M99" i="4" s="1"/>
  <c r="M1033" i="4" a="1"/>
  <c r="M1033" i="4" s="1"/>
  <c r="M940" i="4" a="1"/>
  <c r="M940" i="4" s="1"/>
  <c r="M906" i="4" a="1"/>
  <c r="M906" i="4" s="1"/>
  <c r="M868" i="4" a="1"/>
  <c r="M868" i="4" s="1"/>
  <c r="M829" i="4" a="1"/>
  <c r="M829" i="4" s="1"/>
  <c r="M785" i="4" a="1"/>
  <c r="M785" i="4" s="1"/>
  <c r="M679" i="4" a="1"/>
  <c r="M679" i="4" s="1"/>
  <c r="M627" i="4" a="1"/>
  <c r="M627" i="4" s="1"/>
  <c r="M609" i="4" a="1"/>
  <c r="M609" i="4" s="1"/>
  <c r="M594" i="4" a="1"/>
  <c r="M594" i="4" s="1"/>
  <c r="M562" i="4" a="1"/>
  <c r="M562" i="4" s="1"/>
  <c r="M501" i="4" a="1"/>
  <c r="M501" i="4" s="1"/>
  <c r="M470" i="4" a="1"/>
  <c r="M470" i="4" s="1"/>
  <c r="M421" i="4" a="1"/>
  <c r="M421" i="4" s="1"/>
  <c r="M406" i="4" a="1"/>
  <c r="M406" i="4" s="1"/>
  <c r="M375" i="4" a="1"/>
  <c r="M375" i="4" s="1"/>
  <c r="M300" i="4" a="1"/>
  <c r="M300" i="4" s="1"/>
  <c r="M254" i="4" a="1"/>
  <c r="M254" i="4" s="1"/>
  <c r="M220" i="4" a="1"/>
  <c r="M220" i="4" s="1"/>
  <c r="M170" i="4" a="1"/>
  <c r="M170" i="4" s="1"/>
  <c r="M136" i="4" a="1"/>
  <c r="M136" i="4" s="1"/>
  <c r="M105" i="4" a="1"/>
  <c r="M105" i="4" s="1"/>
  <c r="M90" i="4" a="1"/>
  <c r="M90" i="4" s="1"/>
  <c r="M990" i="4" a="1"/>
  <c r="M990" i="4" s="1"/>
  <c r="M958" i="4" a="1"/>
  <c r="M958" i="4" s="1"/>
  <c r="M920" i="4" a="1"/>
  <c r="M920" i="4" s="1"/>
  <c r="M888" i="4" a="1"/>
  <c r="M888" i="4" s="1"/>
  <c r="M844" i="4" a="1"/>
  <c r="M844" i="4" s="1"/>
  <c r="M805" i="4" a="1"/>
  <c r="M805" i="4" s="1"/>
  <c r="M769" i="4" a="1"/>
  <c r="M769" i="4" s="1"/>
  <c r="M705" i="4" a="1"/>
  <c r="M705" i="4" s="1"/>
  <c r="M651" i="4" a="1"/>
  <c r="M651" i="4" s="1"/>
  <c r="M571" i="4" a="1"/>
  <c r="M571" i="4" s="1"/>
  <c r="M540" i="4" a="1"/>
  <c r="M540" i="4" s="1"/>
  <c r="M510" i="4" a="1"/>
  <c r="M510" i="4" s="1"/>
  <c r="M479" i="4" a="1"/>
  <c r="M479" i="4" s="1"/>
  <c r="M448" i="4" a="1"/>
  <c r="M448" i="4" s="1"/>
  <c r="M354" i="4" a="1"/>
  <c r="M354" i="4" s="1"/>
  <c r="M323" i="4" a="1"/>
  <c r="M323" i="4" s="1"/>
  <c r="M182" i="4" a="1"/>
  <c r="M182" i="4" s="1"/>
  <c r="M67" i="4" a="1"/>
  <c r="M67" i="4" s="1"/>
  <c r="M51" i="4" a="1"/>
  <c r="M51" i="4" s="1"/>
  <c r="M980" i="4" a="1"/>
  <c r="M980" i="4" s="1"/>
  <c r="M948" i="4" a="1"/>
  <c r="M948" i="4" s="1"/>
  <c r="M916" i="4" a="1"/>
  <c r="M916" i="4" s="1"/>
  <c r="M878" i="4" a="1"/>
  <c r="M878" i="4" s="1"/>
  <c r="M794" i="4" a="1"/>
  <c r="M794" i="4" s="1"/>
  <c r="M767" i="4" a="1"/>
  <c r="M767" i="4" s="1"/>
  <c r="M703" i="4" a="1"/>
  <c r="M703" i="4" s="1"/>
  <c r="M649" i="4" a="1"/>
  <c r="M649" i="4" s="1"/>
  <c r="M568" i="4" a="1"/>
  <c r="M568" i="4" s="1"/>
  <c r="M537" i="4" a="1"/>
  <c r="M537" i="4" s="1"/>
  <c r="M508" i="4" a="1"/>
  <c r="M508" i="4" s="1"/>
  <c r="M477" i="4" a="1"/>
  <c r="M477" i="4" s="1"/>
  <c r="M445" i="4" a="1"/>
  <c r="M445" i="4" s="1"/>
  <c r="M352" i="4" a="1"/>
  <c r="M352" i="4" s="1"/>
  <c r="M320" i="4" a="1"/>
  <c r="M320" i="4" s="1"/>
  <c r="M179" i="4" a="1"/>
  <c r="M179" i="4" s="1"/>
  <c r="M64" i="4" a="1"/>
  <c r="M64" i="4" s="1"/>
  <c r="M49" i="4" a="1"/>
  <c r="M49" i="4" s="1"/>
  <c r="G4" i="19" a="1"/>
  <c r="G4" i="19" s="1"/>
  <c r="G5" i="19" a="1"/>
  <c r="G5" i="19" s="1"/>
  <c r="G6" i="19" a="1"/>
  <c r="G6" i="19" s="1"/>
  <c r="G7" i="19" a="1"/>
  <c r="G7" i="19" s="1"/>
  <c r="G8" i="19" a="1"/>
  <c r="G8" i="19" s="1"/>
  <c r="G9" i="19" a="1"/>
  <c r="G9" i="19" s="1"/>
  <c r="G10" i="19" a="1"/>
  <c r="G10" i="19" s="1"/>
  <c r="G11" i="19" a="1"/>
  <c r="G11" i="19" s="1"/>
  <c r="G12" i="19" a="1"/>
  <c r="G12" i="19" s="1"/>
  <c r="G13" i="19" a="1"/>
  <c r="G13" i="19" s="1"/>
  <c r="G14" i="19" a="1"/>
  <c r="G14" i="19" s="1"/>
  <c r="G15" i="19" a="1"/>
  <c r="G15" i="19" s="1"/>
  <c r="G16" i="19" a="1"/>
  <c r="G16" i="19" s="1"/>
  <c r="G17" i="19" a="1"/>
  <c r="G17" i="19" s="1"/>
  <c r="G18" i="19" a="1"/>
  <c r="G18" i="19" s="1"/>
  <c r="G19" i="19" a="1"/>
  <c r="G19" i="19" s="1"/>
  <c r="G20" i="19" a="1"/>
  <c r="G20" i="19" s="1"/>
  <c r="G21" i="19" a="1"/>
  <c r="G21" i="19" s="1"/>
  <c r="G3" i="19" a="1"/>
  <c r="G3" i="19" s="1"/>
  <c r="G87" i="22" a="1"/>
  <c r="G87" i="22" s="1"/>
  <c r="G88" i="22" a="1"/>
  <c r="G88" i="22" s="1"/>
  <c r="G89" i="22" a="1"/>
  <c r="G89" i="22" s="1"/>
  <c r="G90" i="22" a="1"/>
  <c r="G90" i="22" s="1"/>
  <c r="G91" i="22" a="1"/>
  <c r="G91" i="22" s="1"/>
  <c r="G92" i="22" a="1"/>
  <c r="G92" i="22" s="1"/>
  <c r="G93" i="22" a="1"/>
  <c r="G93" i="22" s="1"/>
  <c r="G94" i="22" a="1"/>
  <c r="G94" i="22" s="1"/>
  <c r="G95" i="22" a="1"/>
  <c r="G95" i="22" s="1"/>
  <c r="G96" i="22" a="1"/>
  <c r="G96" i="22" s="1"/>
  <c r="G97" i="22" a="1"/>
  <c r="G97" i="22" s="1"/>
  <c r="G98" i="22" a="1"/>
  <c r="G98" i="22" s="1"/>
  <c r="G3" i="22" a="1"/>
  <c r="G3" i="22" s="1"/>
  <c r="G4" i="22" a="1"/>
  <c r="G4" i="22" s="1"/>
  <c r="G5" i="22" a="1"/>
  <c r="G5" i="22" s="1"/>
  <c r="G6" i="22" a="1"/>
  <c r="G6" i="22" s="1"/>
  <c r="G7" i="22" a="1"/>
  <c r="G7" i="22" s="1"/>
  <c r="G8" i="22" a="1"/>
  <c r="G8" i="22" s="1"/>
  <c r="G9" i="22" a="1"/>
  <c r="G9" i="22" s="1"/>
  <c r="G10" i="22" a="1"/>
  <c r="G10" i="22" s="1"/>
  <c r="G11" i="22" a="1"/>
  <c r="G11" i="22" s="1"/>
  <c r="G12" i="22" a="1"/>
  <c r="G12" i="22" s="1"/>
  <c r="G13" i="22" a="1"/>
  <c r="G13" i="22" s="1"/>
  <c r="G14" i="22" a="1"/>
  <c r="G14" i="22" s="1"/>
  <c r="G15" i="22" a="1"/>
  <c r="G15" i="22" s="1"/>
  <c r="G16" i="22" a="1"/>
  <c r="G16" i="22" s="1"/>
  <c r="G17" i="22" a="1"/>
  <c r="G17" i="22" s="1"/>
  <c r="G18" i="22" a="1"/>
  <c r="G18" i="22" s="1"/>
  <c r="G19" i="22" a="1"/>
  <c r="G19" i="22" s="1"/>
  <c r="G20" i="22" a="1"/>
  <c r="G20" i="22" s="1"/>
  <c r="G21" i="22" a="1"/>
  <c r="G21" i="22" s="1"/>
  <c r="G22" i="22" a="1"/>
  <c r="G22" i="22" s="1"/>
  <c r="G23" i="22" a="1"/>
  <c r="G23" i="22" s="1"/>
  <c r="G24" i="22" a="1"/>
  <c r="G24" i="22" s="1"/>
  <c r="G25" i="22" a="1"/>
  <c r="G25" i="22" s="1"/>
  <c r="G26" i="22" a="1"/>
  <c r="G26" i="22" s="1"/>
  <c r="G27" i="22" a="1"/>
  <c r="G27" i="22" s="1"/>
  <c r="G28" i="22" a="1"/>
  <c r="G28" i="22" s="1"/>
  <c r="G29" i="22" a="1"/>
  <c r="G29" i="22" s="1"/>
  <c r="G30" i="22" a="1"/>
  <c r="G30" i="22" s="1"/>
  <c r="G31" i="22" a="1"/>
  <c r="G31" i="22" s="1"/>
  <c r="G32" i="22" a="1"/>
  <c r="G32" i="22" s="1"/>
  <c r="G33" i="22" a="1"/>
  <c r="G33" i="22" s="1"/>
  <c r="G34" i="22" a="1"/>
  <c r="G34" i="22" s="1"/>
  <c r="G35" i="22" a="1"/>
  <c r="G35" i="22" s="1"/>
  <c r="G36" i="22" a="1"/>
  <c r="G36" i="22" s="1"/>
  <c r="G37" i="22" a="1"/>
  <c r="G37" i="22" s="1"/>
  <c r="G38" i="22" a="1"/>
  <c r="G38" i="22" s="1"/>
  <c r="G39" i="22" a="1"/>
  <c r="G39" i="22" s="1"/>
  <c r="G40" i="22" a="1"/>
  <c r="G40" i="22" s="1"/>
  <c r="G41" i="22" a="1"/>
  <c r="G41" i="22" s="1"/>
  <c r="G42" i="22" a="1"/>
  <c r="G42" i="22" s="1"/>
  <c r="G43" i="22" a="1"/>
  <c r="G43" i="22" s="1"/>
  <c r="G44" i="22" a="1"/>
  <c r="G44" i="22" s="1"/>
  <c r="G45" i="22" a="1"/>
  <c r="G45" i="22" s="1"/>
  <c r="G46" i="22" a="1"/>
  <c r="G46" i="22" s="1"/>
  <c r="G47" i="22" a="1"/>
  <c r="G47" i="22" s="1"/>
  <c r="G48" i="22" a="1"/>
  <c r="G48" i="22" s="1"/>
  <c r="G49" i="22" a="1"/>
  <c r="G49" i="22" s="1"/>
  <c r="G50" i="22" a="1"/>
  <c r="G50" i="22" s="1"/>
  <c r="G51" i="22" a="1"/>
  <c r="G51" i="22" s="1"/>
  <c r="G52" i="22" a="1"/>
  <c r="G52" i="22" s="1"/>
  <c r="G53" i="22" a="1"/>
  <c r="G53" i="22" s="1"/>
  <c r="G54" i="22" a="1"/>
  <c r="G54" i="22" s="1"/>
  <c r="G55" i="22" a="1"/>
  <c r="G55" i="22" s="1"/>
  <c r="G56" i="22" a="1"/>
  <c r="G56" i="22" s="1"/>
  <c r="G57" i="22" a="1"/>
  <c r="G57" i="22" s="1"/>
  <c r="G58" i="22" a="1"/>
  <c r="G58" i="22" s="1"/>
  <c r="G59" i="22" a="1"/>
  <c r="G59" i="22" s="1"/>
  <c r="G60" i="22" a="1"/>
  <c r="G60" i="22" s="1"/>
  <c r="G61" i="22" a="1"/>
  <c r="G61" i="22" s="1"/>
  <c r="G62" i="22" a="1"/>
  <c r="G62" i="22" s="1"/>
  <c r="G63" i="22" a="1"/>
  <c r="G63" i="22" s="1"/>
  <c r="G64" i="22" a="1"/>
  <c r="G64" i="22" s="1"/>
  <c r="G65" i="22" a="1"/>
  <c r="G65" i="22" s="1"/>
  <c r="G66" i="22" a="1"/>
  <c r="G66" i="22" s="1"/>
  <c r="G67" i="22" a="1"/>
  <c r="G67" i="22" s="1"/>
  <c r="G68" i="22" a="1"/>
  <c r="G68" i="22" s="1"/>
  <c r="G69" i="22" a="1"/>
  <c r="G69" i="22" s="1"/>
  <c r="G70" i="22" a="1"/>
  <c r="G70" i="22" s="1"/>
  <c r="G71" i="22" a="1"/>
  <c r="G71" i="22" s="1"/>
  <c r="G72" i="22" a="1"/>
  <c r="G72" i="22" s="1"/>
  <c r="G73" i="22" a="1"/>
  <c r="G73" i="22" s="1"/>
  <c r="G74" i="22" a="1"/>
  <c r="G74" i="22" s="1"/>
  <c r="G75" i="22" a="1"/>
  <c r="G75" i="22" s="1"/>
  <c r="G76" i="22" a="1"/>
  <c r="G76" i="22" s="1"/>
  <c r="G77" i="22" a="1"/>
  <c r="G77" i="22" s="1"/>
  <c r="G78" i="22" a="1"/>
  <c r="G78" i="22" s="1"/>
  <c r="G79" i="22" a="1"/>
  <c r="G79" i="22" s="1"/>
  <c r="G80" i="22" a="1"/>
  <c r="G80" i="22" s="1"/>
  <c r="G81" i="22" a="1"/>
  <c r="G81" i="22" s="1"/>
  <c r="G82" i="22" a="1"/>
  <c r="G82" i="22" s="1"/>
  <c r="G83" i="22" a="1"/>
  <c r="G83" i="22" s="1"/>
  <c r="G84" i="22" a="1"/>
  <c r="G84" i="22" s="1"/>
  <c r="G85" i="22" a="1"/>
  <c r="G85" i="22" s="1"/>
  <c r="G86" i="22" a="1"/>
  <c r="G86" i="22" s="1"/>
  <c r="G2" i="22" a="1"/>
  <c r="G2" i="22" s="1"/>
  <c r="O2" i="18"/>
  <c r="N2" i="18"/>
  <c r="I5" i="23"/>
  <c r="K5" i="23" s="1" a="1"/>
  <c r="K5" i="23" s="1"/>
  <c r="I7" i="23"/>
  <c r="K7" i="23" s="1" a="1"/>
  <c r="K7" i="23" s="1"/>
  <c r="I6" i="23"/>
  <c r="K6" i="23" s="1" a="1"/>
  <c r="K6" i="23" s="1"/>
  <c r="I11" i="23"/>
  <c r="K11" i="23" s="1" a="1"/>
  <c r="K11" i="23" s="1"/>
  <c r="I10" i="23"/>
  <c r="K10" i="23" s="1" a="1"/>
  <c r="K10" i="23" s="1"/>
  <c r="I9" i="23"/>
  <c r="K9" i="23" s="1" a="1"/>
  <c r="K9" i="23" s="1"/>
  <c r="I8" i="23"/>
  <c r="K8" i="23" s="1" a="1"/>
  <c r="K8" i="23" s="1"/>
  <c r="I17" i="23"/>
  <c r="K17" i="23" s="1" a="1"/>
  <c r="K17" i="23" s="1"/>
  <c r="I16" i="23"/>
  <c r="K16" i="23" s="1" a="1"/>
  <c r="K16" i="23" s="1"/>
  <c r="I15" i="23"/>
  <c r="K15" i="23" s="1" a="1"/>
  <c r="K15" i="23" s="1"/>
  <c r="I14" i="23"/>
  <c r="K14" i="23" s="1" a="1"/>
  <c r="K14" i="23" s="1"/>
  <c r="I13" i="23"/>
  <c r="K13" i="23" s="1" a="1"/>
  <c r="K13" i="23" s="1"/>
  <c r="I4" i="23"/>
  <c r="I3" i="23"/>
  <c r="K3" i="23" s="1" a="1"/>
  <c r="K3" i="23" s="1"/>
  <c r="G39" i="23"/>
  <c r="G37" i="23" a="1"/>
  <c r="G37" i="23" s="1"/>
  <c r="G35" i="23" a="1"/>
  <c r="G35" i="23" s="1"/>
  <c r="G33" i="23" a="1"/>
  <c r="G33" i="23" s="1"/>
  <c r="G22" i="23" a="1"/>
  <c r="G22" i="23" s="1"/>
  <c r="G24" i="23" a="1"/>
  <c r="G24" i="23" s="1"/>
  <c r="G26" i="23"/>
  <c r="G30" i="23" a="1"/>
  <c r="G30" i="23" s="1"/>
  <c r="I12" i="23"/>
  <c r="K12" i="23" s="1" a="1"/>
  <c r="K12" i="23" s="1"/>
  <c r="I2" i="23"/>
  <c r="K2" i="23" s="1" a="1"/>
  <c r="K2" i="23" s="1"/>
  <c r="I50" i="23"/>
  <c r="K50" i="23" s="1" a="1"/>
  <c r="K50" i="23" s="1"/>
  <c r="I49" i="23"/>
  <c r="K49" i="23" s="1" a="1"/>
  <c r="K49" i="23" s="1"/>
  <c r="I51" i="23"/>
  <c r="K51" i="23" s="1" a="1"/>
  <c r="K51" i="23" s="1"/>
  <c r="M38" i="14"/>
  <c r="M5" i="14"/>
  <c r="L49" i="14"/>
  <c r="K49" i="14"/>
  <c r="O49" i="14" s="1"/>
  <c r="F4" i="19"/>
  <c r="X3" i="6" a="1"/>
  <c r="X3" i="6" s="1"/>
  <c r="I54" i="23"/>
  <c r="K54" i="23" s="1" a="1"/>
  <c r="K54" i="23" s="1"/>
  <c r="I55" i="23"/>
  <c r="K55" i="23" s="1" a="1"/>
  <c r="K55" i="23" s="1"/>
  <c r="I53" i="23"/>
  <c r="K53" i="23" s="1" a="1"/>
  <c r="K53" i="23" s="1"/>
  <c r="I52" i="23"/>
  <c r="K52" i="23" s="1" a="1"/>
  <c r="K52" i="23" s="1"/>
  <c r="I48" i="23"/>
  <c r="K48" i="23" s="1" a="1"/>
  <c r="K48" i="23" s="1"/>
  <c r="I47" i="23"/>
  <c r="K47" i="23" s="1" a="1"/>
  <c r="K47" i="23" s="1"/>
  <c r="I46" i="23"/>
  <c r="K46" i="23" s="1" a="1"/>
  <c r="K46" i="23" s="1"/>
  <c r="I45" i="23"/>
  <c r="K45" i="23" s="1" a="1"/>
  <c r="K45" i="23" s="1"/>
  <c r="I44" i="23"/>
  <c r="K44" i="23" s="1" a="1"/>
  <c r="K44" i="23" s="1"/>
  <c r="I43" i="23"/>
  <c r="K43" i="23" s="1" a="1"/>
  <c r="K43" i="23" s="1"/>
  <c r="I42" i="23"/>
  <c r="K42" i="23" s="1" a="1"/>
  <c r="K42" i="23" s="1"/>
  <c r="I41" i="23"/>
  <c r="K41" i="23" s="1" a="1"/>
  <c r="K41" i="23" s="1"/>
  <c r="I40" i="23"/>
  <c r="K40" i="23" s="1" a="1"/>
  <c r="K40" i="23" s="1"/>
  <c r="I35" i="23"/>
  <c r="I39" i="23"/>
  <c r="I38" i="23"/>
  <c r="K38" i="23" s="1" a="1"/>
  <c r="K38" i="23" s="1"/>
  <c r="I37" i="23"/>
  <c r="I36" i="23"/>
  <c r="K36" i="23" s="1" a="1"/>
  <c r="K36" i="23" s="1"/>
  <c r="I34" i="23"/>
  <c r="K34" i="23" s="1" a="1"/>
  <c r="K34" i="23" s="1"/>
  <c r="I33" i="23"/>
  <c r="I32" i="23"/>
  <c r="K32" i="23" s="1" a="1"/>
  <c r="K32" i="23" s="1"/>
  <c r="I31" i="23"/>
  <c r="K31" i="23" s="1" a="1"/>
  <c r="K31" i="23" s="1"/>
  <c r="I30" i="23"/>
  <c r="I29" i="23"/>
  <c r="K29" i="23" s="1" a="1"/>
  <c r="K29" i="23" s="1"/>
  <c r="I28" i="23"/>
  <c r="K28" i="23" s="1" a="1"/>
  <c r="K28" i="23" s="1"/>
  <c r="I27" i="23"/>
  <c r="K27" i="23" s="1" a="1"/>
  <c r="K27" i="23" s="1"/>
  <c r="I26" i="23"/>
  <c r="I25" i="23"/>
  <c r="K25" i="23" s="1" a="1"/>
  <c r="K25" i="23" s="1"/>
  <c r="I24" i="23"/>
  <c r="I23" i="23"/>
  <c r="K23" i="23" s="1" a="1"/>
  <c r="K23" i="23" s="1"/>
  <c r="I22" i="23"/>
  <c r="I21" i="23"/>
  <c r="K21" i="23" s="1" a="1"/>
  <c r="K21" i="23" s="1"/>
  <c r="I20" i="23"/>
  <c r="K20" i="23" s="1" a="1"/>
  <c r="K20" i="23" s="1"/>
  <c r="I19" i="23"/>
  <c r="K19" i="23" s="1" a="1"/>
  <c r="K19" i="23" s="1"/>
  <c r="G2" i="23"/>
  <c r="H2" i="23"/>
  <c r="N4" i="22"/>
  <c r="AA4" i="22"/>
  <c r="AA5" i="22"/>
  <c r="AB5" i="22" s="1"/>
  <c r="AM10" i="22"/>
  <c r="AM8" i="22"/>
  <c r="AM7" i="22"/>
  <c r="AM5" i="22"/>
  <c r="AM4" i="22"/>
  <c r="AI4" i="22"/>
  <c r="AI6" i="22"/>
  <c r="AI15" i="22"/>
  <c r="AE15" i="22"/>
  <c r="AI14" i="22"/>
  <c r="AE14" i="22"/>
  <c r="AI13" i="22"/>
  <c r="AE13" i="22"/>
  <c r="AI12" i="22"/>
  <c r="AE12" i="22"/>
  <c r="AI11" i="22"/>
  <c r="AE11" i="22"/>
  <c r="AI10" i="22"/>
  <c r="AE10" i="22"/>
  <c r="AI9" i="22"/>
  <c r="AE9" i="22"/>
  <c r="AI8" i="22"/>
  <c r="AE8" i="22"/>
  <c r="AI7" i="22"/>
  <c r="AE7" i="22"/>
  <c r="AE6" i="22"/>
  <c r="AI5" i="22"/>
  <c r="AE5" i="22"/>
  <c r="AE4" i="22"/>
  <c r="AA15" i="22"/>
  <c r="AA14" i="22"/>
  <c r="AA13" i="22"/>
  <c r="AA12" i="22"/>
  <c r="AA11" i="22"/>
  <c r="AA10" i="22"/>
  <c r="AA9" i="22"/>
  <c r="AA8" i="22"/>
  <c r="AA7" i="22"/>
  <c r="AA6" i="22"/>
  <c r="AM15" i="22"/>
  <c r="AM14" i="22"/>
  <c r="AM13" i="22"/>
  <c r="AM12" i="22"/>
  <c r="AM11" i="22"/>
  <c r="AM9" i="22"/>
  <c r="AM6" i="22"/>
  <c r="S5" i="22"/>
  <c r="W14" i="22"/>
  <c r="N11" i="22"/>
  <c r="W2" i="22"/>
  <c r="S2" i="22"/>
  <c r="N2" i="22"/>
  <c r="O2" i="16"/>
  <c r="G12" i="16"/>
  <c r="I15" i="16"/>
  <c r="I14" i="16"/>
  <c r="J8" i="16" s="1"/>
  <c r="K8" i="16" s="1"/>
  <c r="N3" i="16"/>
  <c r="F12" i="25" l="1"/>
  <c r="F45" i="16" a="1"/>
  <c r="F45" i="16" s="1"/>
  <c r="M637" i="4" s="1"/>
  <c r="F3" i="24"/>
  <c r="M377" i="4" s="1"/>
  <c r="G8" i="24"/>
  <c r="M954" i="4" s="1"/>
  <c r="E4" i="24"/>
  <c r="M108" i="4" s="1"/>
  <c r="E7" i="24"/>
  <c r="M111" i="4" s="1"/>
  <c r="E8" i="24"/>
  <c r="M112" i="4" s="1"/>
  <c r="E5" i="24"/>
  <c r="M109" i="4" s="1"/>
  <c r="E9" i="24"/>
  <c r="M113" i="4" s="1"/>
  <c r="E6" i="24"/>
  <c r="M110" i="4" s="1"/>
  <c r="G4" i="24"/>
  <c r="M950" i="4" s="1"/>
  <c r="F8" i="24"/>
  <c r="M382" i="4" s="1"/>
  <c r="E3" i="24"/>
  <c r="M107" i="4" s="1"/>
  <c r="N107" i="4" s="1"/>
  <c r="F9" i="24"/>
  <c r="F6" i="24"/>
  <c r="M380" i="4" s="1"/>
  <c r="F5" i="24"/>
  <c r="M379" i="4" s="1"/>
  <c r="F4" i="24"/>
  <c r="M378" i="4" s="1"/>
  <c r="F7" i="24"/>
  <c r="M381" i="4" s="1"/>
  <c r="G7" i="24"/>
  <c r="M953" i="4" s="1"/>
  <c r="G6" i="24"/>
  <c r="M952" i="4" s="1"/>
  <c r="G5" i="24"/>
  <c r="M951" i="4" s="1"/>
  <c r="G3" i="24"/>
  <c r="M949" i="4" s="1"/>
  <c r="G9" i="24"/>
  <c r="M955" i="4" s="1"/>
  <c r="K30" i="23" a="1"/>
  <c r="K30" i="23" s="1"/>
  <c r="D29" i="19" a="1"/>
  <c r="D29" i="19" s="1"/>
  <c r="G99" i="22" a="1"/>
  <c r="G99" i="22" s="1"/>
  <c r="K39" i="23" a="1"/>
  <c r="K39" i="23" s="1"/>
  <c r="K26" i="23" a="1"/>
  <c r="K26" i="23" s="1"/>
  <c r="K24" i="23" a="1"/>
  <c r="K24" i="23" s="1"/>
  <c r="K22" i="23" a="1"/>
  <c r="K22" i="23" s="1"/>
  <c r="K33" i="23" a="1"/>
  <c r="K33" i="23" s="1"/>
  <c r="K35" i="23" a="1"/>
  <c r="K35" i="23" s="1"/>
  <c r="K37" i="23" a="1"/>
  <c r="K37" i="23" s="1"/>
  <c r="AM2" i="22"/>
  <c r="J6" i="16"/>
  <c r="K6" i="16" s="1"/>
  <c r="J7" i="16"/>
  <c r="P7" i="16" s="1"/>
  <c r="M43" i="4" l="1"/>
  <c r="J1085" i="4"/>
  <c r="G44" i="25"/>
  <c r="G42" i="25"/>
  <c r="G43" i="25"/>
  <c r="M263" i="4"/>
  <c r="M383" i="4"/>
  <c r="M985" i="4"/>
  <c r="M800" i="4"/>
  <c r="M982" i="4"/>
  <c r="M797" i="4"/>
  <c r="M987" i="4"/>
  <c r="M802" i="4"/>
  <c r="M981" i="4"/>
  <c r="M796" i="4"/>
  <c r="M986" i="4"/>
  <c r="M801" i="4"/>
  <c r="M983" i="4"/>
  <c r="M798" i="4"/>
  <c r="M984" i="4"/>
  <c r="M799" i="4"/>
  <c r="M779" i="4"/>
  <c r="M612" i="4"/>
  <c r="M173" i="4"/>
  <c r="M550" i="4"/>
  <c r="M124" i="4"/>
  <c r="M409" i="4"/>
  <c r="M394" i="4"/>
  <c r="M810" i="4"/>
  <c r="M849" i="4"/>
  <c r="M1017" i="4"/>
  <c r="M265" i="4"/>
  <c r="M961" i="4"/>
  <c r="M892" i="4"/>
  <c r="M310" i="4"/>
  <c r="M340" i="4"/>
  <c r="M385" i="4"/>
  <c r="M527" i="4"/>
  <c r="M994" i="4"/>
  <c r="M115" i="4"/>
  <c r="M1064" i="4"/>
  <c r="M116" i="4"/>
  <c r="M720" i="4"/>
  <c r="M687" i="4"/>
  <c r="M638" i="4"/>
  <c r="M528" i="4"/>
  <c r="M429" i="4"/>
  <c r="M386" i="4"/>
  <c r="M341" i="4"/>
  <c r="M266" i="4"/>
  <c r="M144" i="4"/>
  <c r="M311" i="4"/>
  <c r="M197" i="4"/>
  <c r="M228" i="4"/>
  <c r="M302" i="4"/>
  <c r="M257" i="4"/>
  <c r="M261" i="4"/>
  <c r="M306" i="4"/>
  <c r="M259" i="4"/>
  <c r="M304" i="4"/>
  <c r="M260" i="4"/>
  <c r="M305" i="4"/>
  <c r="M258" i="4"/>
  <c r="M303" i="4"/>
  <c r="M262" i="4"/>
  <c r="M307" i="4"/>
  <c r="M1005" i="4"/>
  <c r="M92" i="4"/>
  <c r="M614" i="4"/>
  <c r="M554" i="4"/>
  <c r="M460" i="4"/>
  <c r="M410" i="4"/>
  <c r="M395" i="4"/>
  <c r="M1060" i="4"/>
  <c r="M917" i="4"/>
  <c r="M76" i="4"/>
  <c r="M926" i="4"/>
  <c r="M795" i="4"/>
  <c r="M457" i="4"/>
  <c r="M1019" i="4"/>
  <c r="M835" i="4"/>
  <c r="M851" i="4"/>
  <c r="M780" i="4"/>
  <c r="M812" i="4"/>
  <c r="M665" i="4"/>
  <c r="M668" i="4"/>
  <c r="M617" i="4"/>
  <c r="M596" i="4"/>
  <c r="M599" i="4"/>
  <c r="M580" i="4"/>
  <c r="M583" i="4"/>
  <c r="M551" i="4"/>
  <c r="M488" i="4"/>
  <c r="M398" i="4"/>
  <c r="M361" i="4"/>
  <c r="M156" i="4"/>
  <c r="M491" i="4"/>
  <c r="M364" i="4"/>
  <c r="M286" i="4"/>
  <c r="M210" i="4"/>
  <c r="M289" i="4"/>
  <c r="M240" i="4"/>
  <c r="M243" i="4"/>
  <c r="M207" i="4"/>
  <c r="M413" i="4"/>
  <c r="M159" i="4"/>
  <c r="M125" i="4"/>
  <c r="N7" i="16"/>
  <c r="M12" i="16" s="1"/>
  <c r="P6" i="16"/>
  <c r="K7" i="16"/>
  <c r="O6" i="16"/>
  <c r="L11" i="16" s="1"/>
  <c r="F43" i="25" l="1"/>
  <c r="F42" i="25"/>
  <c r="F44" i="25"/>
  <c r="N43" i="4"/>
  <c r="F5" i="19"/>
  <c r="F6" i="19"/>
  <c r="F7" i="19"/>
  <c r="F8" i="19"/>
  <c r="F9" i="19"/>
  <c r="F10" i="19"/>
  <c r="F11" i="19"/>
  <c r="F12" i="19"/>
  <c r="F13" i="19"/>
  <c r="F14" i="19"/>
  <c r="F15" i="19"/>
  <c r="F16" i="19"/>
  <c r="F17" i="19"/>
  <c r="F18" i="19"/>
  <c r="F20" i="19"/>
  <c r="F21" i="19"/>
  <c r="D26" i="19"/>
  <c r="D25" i="19"/>
  <c r="F22" i="19" l="1"/>
  <c r="G39" i="25" l="1"/>
  <c r="G32"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 i="18"/>
  <c r="L3" i="14"/>
  <c r="O3" i="14" s="1"/>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50" i="14"/>
  <c r="L51" i="14"/>
  <c r="L54" i="14"/>
  <c r="L55" i="14"/>
  <c r="L56" i="14"/>
  <c r="L57" i="14"/>
  <c r="L58" i="14"/>
  <c r="L59" i="14"/>
  <c r="L60" i="14"/>
  <c r="L61" i="14"/>
  <c r="O61" i="14" s="1"/>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2" i="14"/>
  <c r="K2" i="14"/>
  <c r="O2" i="14" s="1"/>
  <c r="K4" i="14"/>
  <c r="K5" i="14"/>
  <c r="K6" i="14"/>
  <c r="K7" i="14"/>
  <c r="K8" i="14"/>
  <c r="K9" i="14"/>
  <c r="K10" i="14"/>
  <c r="K11" i="14"/>
  <c r="K12" i="14"/>
  <c r="O12" i="14" s="1"/>
  <c r="K13" i="14"/>
  <c r="O13" i="14" s="1"/>
  <c r="K14" i="14"/>
  <c r="O14" i="14" s="1"/>
  <c r="K15" i="14"/>
  <c r="O15" i="14" s="1"/>
  <c r="K16" i="14"/>
  <c r="O16" i="14" s="1"/>
  <c r="K17" i="14"/>
  <c r="O17" i="14" s="1"/>
  <c r="K18" i="14"/>
  <c r="O18" i="14" s="1"/>
  <c r="K19" i="14"/>
  <c r="O19" i="14" s="1"/>
  <c r="K20" i="14"/>
  <c r="O20" i="14" s="1"/>
  <c r="K21" i="14"/>
  <c r="K22" i="14"/>
  <c r="K23" i="14"/>
  <c r="K24" i="14"/>
  <c r="K25" i="14"/>
  <c r="K26" i="14"/>
  <c r="K27" i="14"/>
  <c r="K28" i="14"/>
  <c r="K29" i="14"/>
  <c r="K30" i="14"/>
  <c r="K31" i="14"/>
  <c r="K32" i="14"/>
  <c r="O32" i="14" s="1"/>
  <c r="K33" i="14"/>
  <c r="O33" i="14" s="1"/>
  <c r="K34" i="14"/>
  <c r="O34" i="14" s="1"/>
  <c r="K35" i="14"/>
  <c r="O35" i="14" s="1"/>
  <c r="K36" i="14"/>
  <c r="O36" i="14" s="1"/>
  <c r="K37" i="14"/>
  <c r="O37" i="14" s="1"/>
  <c r="K38" i="14"/>
  <c r="O38" i="14" s="1"/>
  <c r="K39" i="14"/>
  <c r="O39" i="14" s="1"/>
  <c r="K40" i="14"/>
  <c r="O40" i="14" s="1"/>
  <c r="K41" i="14"/>
  <c r="K42" i="14"/>
  <c r="K43" i="14"/>
  <c r="K44" i="14"/>
  <c r="K45" i="14"/>
  <c r="K46" i="14"/>
  <c r="K47" i="14"/>
  <c r="K48" i="14"/>
  <c r="K50" i="14"/>
  <c r="K51" i="14"/>
  <c r="K54" i="14"/>
  <c r="K55" i="14"/>
  <c r="O55" i="14" s="1"/>
  <c r="K56" i="14"/>
  <c r="O56" i="14" s="1"/>
  <c r="K57" i="14"/>
  <c r="O57" i="14" s="1"/>
  <c r="K58" i="14"/>
  <c r="O58" i="14" s="1"/>
  <c r="K59" i="14"/>
  <c r="O59" i="14" s="1"/>
  <c r="K60" i="14"/>
  <c r="O60" i="14" s="1"/>
  <c r="K62" i="14"/>
  <c r="O62" i="14" s="1"/>
  <c r="K63" i="14"/>
  <c r="O63" i="14" s="1"/>
  <c r="K64" i="14"/>
  <c r="O64" i="14" s="1"/>
  <c r="K65" i="14"/>
  <c r="K66" i="14"/>
  <c r="K67" i="14"/>
  <c r="K68" i="14"/>
  <c r="K69" i="14"/>
  <c r="K70" i="14"/>
  <c r="K71" i="14"/>
  <c r="K72" i="14"/>
  <c r="K73" i="14"/>
  <c r="K74" i="14"/>
  <c r="K75" i="14"/>
  <c r="O75" i="14" s="1"/>
  <c r="K76" i="14"/>
  <c r="O76" i="14" s="1"/>
  <c r="K77" i="14"/>
  <c r="O77" i="14" s="1"/>
  <c r="K78" i="14"/>
  <c r="O78" i="14" s="1"/>
  <c r="K79" i="14"/>
  <c r="O79" i="14" s="1"/>
  <c r="K80" i="14"/>
  <c r="O80" i="14" s="1"/>
  <c r="K81" i="14"/>
  <c r="O81" i="14" s="1"/>
  <c r="K82" i="14"/>
  <c r="O82" i="14" s="1"/>
  <c r="K83" i="14"/>
  <c r="O83" i="14" s="1"/>
  <c r="K84" i="14"/>
  <c r="O84" i="14" s="1"/>
  <c r="K85" i="14"/>
  <c r="K86" i="14"/>
  <c r="K87" i="14"/>
  <c r="K88" i="14"/>
  <c r="K89" i="14"/>
  <c r="K90" i="14"/>
  <c r="K91" i="14"/>
  <c r="K92" i="14"/>
  <c r="K93" i="14"/>
  <c r="K94" i="14"/>
  <c r="K95" i="14"/>
  <c r="O95" i="14" s="1"/>
  <c r="K96" i="14"/>
  <c r="O96" i="14" s="1"/>
  <c r="K97" i="14"/>
  <c r="O97" i="14" s="1"/>
  <c r="K98" i="14"/>
  <c r="O98" i="14" s="1"/>
  <c r="K99" i="14"/>
  <c r="O99" i="14" s="1"/>
  <c r="K100" i="14"/>
  <c r="O100" i="14" s="1"/>
  <c r="K101" i="14"/>
  <c r="O101" i="14" s="1"/>
  <c r="K102" i="14"/>
  <c r="O102" i="14" s="1"/>
  <c r="K103" i="14"/>
  <c r="O103" i="14" s="1"/>
  <c r="K104" i="14"/>
  <c r="O104" i="14" s="1"/>
  <c r="K105" i="14"/>
  <c r="K106" i="14"/>
  <c r="K107" i="14"/>
  <c r="K108" i="14"/>
  <c r="K109" i="14"/>
  <c r="K110" i="14"/>
  <c r="K111" i="14"/>
  <c r="K112" i="14"/>
  <c r="K113" i="14"/>
  <c r="K114" i="14"/>
  <c r="K115" i="14"/>
  <c r="O115" i="14" s="1"/>
  <c r="K116" i="14"/>
  <c r="O116" i="14" s="1"/>
  <c r="K117" i="14"/>
  <c r="O117" i="14" s="1"/>
  <c r="K118" i="14"/>
  <c r="O118" i="14" s="1"/>
  <c r="K119" i="14"/>
  <c r="O119" i="14" s="1"/>
  <c r="K120" i="14"/>
  <c r="O120" i="14" s="1"/>
  <c r="K121" i="14"/>
  <c r="O121" i="14" s="1"/>
  <c r="K122" i="14"/>
  <c r="O122" i="14" s="1"/>
  <c r="K123" i="14"/>
  <c r="O123" i="14" s="1"/>
  <c r="K124" i="14"/>
  <c r="O124" i="14" s="1"/>
  <c r="K125" i="14"/>
  <c r="K126" i="14"/>
  <c r="K127" i="14"/>
  <c r="K128" i="14"/>
  <c r="K129" i="14"/>
  <c r="K130" i="14"/>
  <c r="K131" i="14"/>
  <c r="K132" i="14"/>
  <c r="K133" i="14"/>
  <c r="K134" i="14"/>
  <c r="K135" i="14"/>
  <c r="O135" i="14" s="1"/>
  <c r="AA215" i="6"/>
  <c r="AA214" i="6"/>
  <c r="AA213" i="6"/>
  <c r="AA185" i="6"/>
  <c r="AA184" i="6"/>
  <c r="AA183" i="6"/>
  <c r="AA155" i="6"/>
  <c r="AA154" i="6"/>
  <c r="AA153" i="6"/>
  <c r="AA125" i="6"/>
  <c r="AA124" i="6"/>
  <c r="AA123" i="6"/>
  <c r="AA95" i="6"/>
  <c r="AA94" i="6"/>
  <c r="AA93" i="6"/>
  <c r="AA65" i="6"/>
  <c r="AA64" i="6"/>
  <c r="AA63" i="6"/>
  <c r="AA35" i="6"/>
  <c r="AA34" i="6"/>
  <c r="AA33" i="6"/>
  <c r="AA3" i="6"/>
  <c r="Z93" i="6"/>
  <c r="Z215" i="6"/>
  <c r="Z214" i="6"/>
  <c r="Z213" i="6"/>
  <c r="Z185" i="6"/>
  <c r="Z184" i="6"/>
  <c r="Z183" i="6"/>
  <c r="Z155" i="6"/>
  <c r="Z154" i="6"/>
  <c r="Z153" i="6"/>
  <c r="Z125" i="6"/>
  <c r="Z124" i="6"/>
  <c r="Z123" i="6"/>
  <c r="Z95" i="6"/>
  <c r="Z94" i="6"/>
  <c r="Z65" i="6"/>
  <c r="Z64" i="6"/>
  <c r="Z63" i="6"/>
  <c r="Z35" i="6"/>
  <c r="Z34" i="6"/>
  <c r="Z33" i="6"/>
  <c r="AA4" i="6"/>
  <c r="AA5" i="6"/>
  <c r="Z5" i="6"/>
  <c r="Z4" i="6"/>
  <c r="Z3" i="6"/>
  <c r="G9" i="16"/>
  <c r="G10" i="16"/>
  <c r="G11" i="16"/>
  <c r="B2" i="17"/>
  <c r="B13" i="17" s="1"/>
  <c r="C13" i="17" s="1"/>
  <c r="A2" i="17"/>
  <c r="B5" i="17" s="1"/>
  <c r="N2" i="16"/>
  <c r="N6" i="16" s="1"/>
  <c r="Q6" i="16" s="1"/>
  <c r="Q59" i="1"/>
  <c r="O4" i="16"/>
  <c r="O8" i="16" s="1"/>
  <c r="L13" i="16" s="1"/>
  <c r="O3" i="16"/>
  <c r="O7" i="16" s="1"/>
  <c r="Q7" i="16" s="1"/>
  <c r="N4" i="16"/>
  <c r="N8" i="16" s="1"/>
  <c r="G3" i="16"/>
  <c r="G4" i="16"/>
  <c r="G5" i="16"/>
  <c r="G6" i="16"/>
  <c r="G7" i="16"/>
  <c r="G8" i="16"/>
  <c r="G13" i="16"/>
  <c r="G14" i="16"/>
  <c r="G15" i="16"/>
  <c r="G16" i="16"/>
  <c r="G2" i="16"/>
  <c r="N3" i="11"/>
  <c r="T3" i="11" s="1"/>
  <c r="G3" i="15"/>
  <c r="H3" i="15" s="1"/>
  <c r="G4" i="15"/>
  <c r="H4" i="15" s="1"/>
  <c r="G5" i="15"/>
  <c r="H5" i="15" s="1"/>
  <c r="G6" i="15"/>
  <c r="H6" i="15" s="1"/>
  <c r="G7" i="15"/>
  <c r="H7" i="15" s="1"/>
  <c r="G8" i="15"/>
  <c r="H8" i="15" s="1"/>
  <c r="G9" i="15"/>
  <c r="H9" i="15" s="1"/>
  <c r="G10" i="15"/>
  <c r="H10" i="15" s="1"/>
  <c r="G11" i="15"/>
  <c r="H11" i="15" s="1"/>
  <c r="G12" i="15"/>
  <c r="H12" i="15" s="1"/>
  <c r="G13" i="15"/>
  <c r="H13" i="15" s="1"/>
  <c r="G14" i="15"/>
  <c r="H14" i="15" s="1"/>
  <c r="G15" i="15"/>
  <c r="H15" i="15" s="1"/>
  <c r="G16" i="15"/>
  <c r="H16" i="15" s="1"/>
  <c r="G17" i="15"/>
  <c r="H17" i="15" s="1"/>
  <c r="G2" i="15"/>
  <c r="H2" i="15" s="1"/>
  <c r="O31" i="14" l="1"/>
  <c r="O51" i="14"/>
  <c r="O133" i="14"/>
  <c r="O50" i="14"/>
  <c r="O132" i="14"/>
  <c r="O112" i="14"/>
  <c r="O92" i="14"/>
  <c r="O72" i="14"/>
  <c r="O48" i="14"/>
  <c r="O28" i="14"/>
  <c r="O8" i="14"/>
  <c r="O30" i="14"/>
  <c r="O113" i="14"/>
  <c r="O73" i="14"/>
  <c r="O29" i="14"/>
  <c r="O9" i="14"/>
  <c r="O131" i="14"/>
  <c r="O111" i="14"/>
  <c r="O91" i="14"/>
  <c r="O71" i="14"/>
  <c r="O47" i="14"/>
  <c r="O27" i="14"/>
  <c r="O7" i="14"/>
  <c r="O114" i="14"/>
  <c r="O74" i="14"/>
  <c r="O10" i="14"/>
  <c r="O130" i="14"/>
  <c r="O129" i="14"/>
  <c r="O109" i="14"/>
  <c r="O89" i="14"/>
  <c r="O69" i="14"/>
  <c r="O45" i="14"/>
  <c r="O25" i="14"/>
  <c r="O5" i="14"/>
  <c r="O54" i="14"/>
  <c r="O11" i="14"/>
  <c r="O134" i="14"/>
  <c r="O93" i="14"/>
  <c r="O110" i="14"/>
  <c r="O90" i="14"/>
  <c r="O70" i="14"/>
  <c r="O46" i="14"/>
  <c r="O26" i="14"/>
  <c r="O6" i="14"/>
  <c r="O128" i="14"/>
  <c r="O108" i="14"/>
  <c r="O88" i="14"/>
  <c r="O68" i="14"/>
  <c r="O44" i="14"/>
  <c r="O24" i="14"/>
  <c r="O4" i="14"/>
  <c r="O127" i="14"/>
  <c r="O107" i="14"/>
  <c r="O67" i="14"/>
  <c r="O23" i="14"/>
  <c r="O126" i="14"/>
  <c r="O106" i="14"/>
  <c r="O86" i="14"/>
  <c r="O66" i="14"/>
  <c r="O42" i="14"/>
  <c r="O22" i="14"/>
  <c r="O94" i="14"/>
  <c r="O87" i="14"/>
  <c r="O43" i="14"/>
  <c r="O125" i="14"/>
  <c r="O105" i="14"/>
  <c r="O85" i="14"/>
  <c r="O65" i="14"/>
  <c r="O41" i="14"/>
  <c r="O21" i="14"/>
  <c r="F39" i="25"/>
  <c r="M13" i="16"/>
  <c r="L12" i="16"/>
  <c r="L14" i="16" s="1"/>
  <c r="M11" i="16"/>
  <c r="T2" i="16"/>
  <c r="P2" i="16"/>
  <c r="B6" i="17"/>
  <c r="C6" i="17" s="1"/>
  <c r="B17" i="17"/>
  <c r="C17" i="17" s="1"/>
  <c r="T3" i="16"/>
  <c r="T4" i="16"/>
  <c r="B26" i="17"/>
  <c r="C26" i="17" s="1"/>
  <c r="B25" i="17"/>
  <c r="C25" i="17" s="1"/>
  <c r="B23" i="17"/>
  <c r="C23" i="17" s="1"/>
  <c r="B22" i="17"/>
  <c r="C22" i="17" s="1"/>
  <c r="B24" i="17"/>
  <c r="C24" i="17" s="1"/>
  <c r="B21" i="17"/>
  <c r="C21" i="17" s="1"/>
  <c r="B20" i="17"/>
  <c r="C20" i="17" s="1"/>
  <c r="B19" i="17"/>
  <c r="C19" i="17" s="1"/>
  <c r="B18" i="17"/>
  <c r="C18" i="17" s="1"/>
  <c r="B28" i="17"/>
  <c r="C28" i="17" s="1"/>
  <c r="B27" i="17"/>
  <c r="C27" i="17" s="1"/>
  <c r="C5" i="17"/>
  <c r="B12" i="17"/>
  <c r="C12" i="17" s="1"/>
  <c r="B11" i="17"/>
  <c r="C11" i="17" s="1"/>
  <c r="B10" i="17"/>
  <c r="C10" i="17" s="1"/>
  <c r="B9" i="17"/>
  <c r="C9" i="17" s="1"/>
  <c r="B8" i="17"/>
  <c r="C8" i="17" s="1"/>
  <c r="B7" i="17"/>
  <c r="C7" i="17" s="1"/>
  <c r="P3" i="16"/>
  <c r="P4" i="16"/>
  <c r="G19" i="15"/>
  <c r="G20" i="15"/>
  <c r="G18" i="15"/>
  <c r="J3" i="11"/>
  <c r="X4" i="6" a="1"/>
  <c r="X4" i="6" s="1"/>
  <c r="X5" i="6" a="1"/>
  <c r="X5" i="6" s="1"/>
  <c r="X7" i="6" a="1"/>
  <c r="X7" i="6" s="1"/>
  <c r="X8" i="6" a="1"/>
  <c r="X8" i="6" s="1"/>
  <c r="X9" i="6" a="1"/>
  <c r="X9" i="6" s="1"/>
  <c r="X10" i="6" a="1"/>
  <c r="X10" i="6" s="1"/>
  <c r="X11" i="6" a="1"/>
  <c r="X11" i="6" s="1"/>
  <c r="X12" i="6" a="1"/>
  <c r="X12" i="6" s="1"/>
  <c r="X13" i="6" a="1"/>
  <c r="X13" i="6" s="1"/>
  <c r="X14" i="6" a="1"/>
  <c r="X14" i="6" s="1"/>
  <c r="X15" i="6" a="1"/>
  <c r="X15" i="6" s="1"/>
  <c r="X16" i="6" a="1"/>
  <c r="X16" i="6" s="1"/>
  <c r="X17" i="6" a="1"/>
  <c r="X17" i="6" s="1"/>
  <c r="X18" i="6" a="1"/>
  <c r="X18" i="6" s="1"/>
  <c r="X19" i="6" a="1"/>
  <c r="X19" i="6" s="1"/>
  <c r="X20" i="6" a="1"/>
  <c r="X20" i="6" s="1"/>
  <c r="X21" i="6" a="1"/>
  <c r="X21" i="6" s="1"/>
  <c r="X22" i="6" a="1"/>
  <c r="X22" i="6" s="1"/>
  <c r="X23" i="6" a="1"/>
  <c r="X23" i="6" s="1"/>
  <c r="X24" i="6" a="1"/>
  <c r="X24" i="6" s="1"/>
  <c r="X25" i="6" a="1"/>
  <c r="X25" i="6" s="1"/>
  <c r="X26" i="6" a="1"/>
  <c r="X26" i="6" s="1"/>
  <c r="X27" i="6" a="1"/>
  <c r="X27" i="6" s="1"/>
  <c r="X28" i="6" a="1"/>
  <c r="X28" i="6" s="1"/>
  <c r="X29" i="6" a="1"/>
  <c r="X29" i="6" s="1"/>
  <c r="X30" i="6" a="1"/>
  <c r="X30" i="6" s="1"/>
  <c r="X31" i="6" a="1"/>
  <c r="X31" i="6" s="1"/>
  <c r="X32" i="6" a="1"/>
  <c r="X32" i="6" s="1"/>
  <c r="X33" i="6" a="1"/>
  <c r="X33" i="6" s="1"/>
  <c r="X34" i="6" a="1"/>
  <c r="X34" i="6" s="1"/>
  <c r="X35" i="6" a="1"/>
  <c r="X35" i="6" s="1"/>
  <c r="X36" i="6" a="1"/>
  <c r="X36" i="6" s="1"/>
  <c r="X37" i="6" a="1"/>
  <c r="X37" i="6" s="1"/>
  <c r="X38" i="6" a="1"/>
  <c r="X38" i="6" s="1"/>
  <c r="X39" i="6" a="1"/>
  <c r="X39" i="6" s="1"/>
  <c r="X40" i="6" a="1"/>
  <c r="X40" i="6" s="1"/>
  <c r="X41" i="6" a="1"/>
  <c r="X41" i="6" s="1"/>
  <c r="X42" i="6" a="1"/>
  <c r="X42" i="6" s="1"/>
  <c r="X43" i="6" a="1"/>
  <c r="X43" i="6" s="1"/>
  <c r="X44" i="6" a="1"/>
  <c r="X44" i="6" s="1"/>
  <c r="X45" i="6" a="1"/>
  <c r="X45" i="6" s="1"/>
  <c r="X46" i="6" a="1"/>
  <c r="X46" i="6" s="1"/>
  <c r="X47" i="6" a="1"/>
  <c r="X47" i="6" s="1"/>
  <c r="X48" i="6" a="1"/>
  <c r="X48" i="6" s="1"/>
  <c r="X49" i="6" a="1"/>
  <c r="X49" i="6" s="1"/>
  <c r="X50" i="6" a="1"/>
  <c r="X50" i="6" s="1"/>
  <c r="X51" i="6" a="1"/>
  <c r="X51" i="6" s="1"/>
  <c r="X52" i="6" a="1"/>
  <c r="X52" i="6" s="1"/>
  <c r="X53" i="6" a="1"/>
  <c r="X53" i="6" s="1"/>
  <c r="X54" i="6" a="1"/>
  <c r="X54" i="6" s="1"/>
  <c r="X55" i="6" a="1"/>
  <c r="X55" i="6" s="1"/>
  <c r="X56" i="6" a="1"/>
  <c r="X56" i="6" s="1"/>
  <c r="X57" i="6" a="1"/>
  <c r="X57" i="6" s="1"/>
  <c r="X58" i="6" a="1"/>
  <c r="X58" i="6" s="1"/>
  <c r="X59" i="6" a="1"/>
  <c r="X59" i="6" s="1"/>
  <c r="X60" i="6" a="1"/>
  <c r="X60" i="6" s="1"/>
  <c r="X61" i="6" a="1"/>
  <c r="X61" i="6" s="1"/>
  <c r="X62" i="6" a="1"/>
  <c r="X62" i="6" s="1"/>
  <c r="X63" i="6" a="1"/>
  <c r="X63" i="6" s="1"/>
  <c r="X64" i="6" a="1"/>
  <c r="X64" i="6" s="1"/>
  <c r="X65" i="6" a="1"/>
  <c r="X65" i="6" s="1"/>
  <c r="X66" i="6" a="1"/>
  <c r="X66" i="6" s="1"/>
  <c r="X67" i="6" a="1"/>
  <c r="X67" i="6" s="1"/>
  <c r="X68" i="6" a="1"/>
  <c r="X68" i="6" s="1"/>
  <c r="X69" i="6" a="1"/>
  <c r="X69" i="6" s="1"/>
  <c r="X70" i="6" a="1"/>
  <c r="X70" i="6" s="1"/>
  <c r="X71" i="6" a="1"/>
  <c r="X71" i="6" s="1"/>
  <c r="X72" i="6" a="1"/>
  <c r="X72" i="6" s="1"/>
  <c r="X73" i="6" a="1"/>
  <c r="X73" i="6" s="1"/>
  <c r="X74" i="6" a="1"/>
  <c r="X74" i="6" s="1"/>
  <c r="X75" i="6" a="1"/>
  <c r="X75" i="6" s="1"/>
  <c r="X76" i="6" a="1"/>
  <c r="X76" i="6" s="1"/>
  <c r="X77" i="6" a="1"/>
  <c r="X77" i="6" s="1"/>
  <c r="X78" i="6" a="1"/>
  <c r="X78" i="6" s="1"/>
  <c r="X79" i="6" a="1"/>
  <c r="X79" i="6" s="1"/>
  <c r="X80" i="6" a="1"/>
  <c r="X80" i="6" s="1"/>
  <c r="X81" i="6" a="1"/>
  <c r="X81" i="6" s="1"/>
  <c r="X82" i="6" a="1"/>
  <c r="X82" i="6" s="1"/>
  <c r="X83" i="6" a="1"/>
  <c r="X83" i="6" s="1"/>
  <c r="X84" i="6" a="1"/>
  <c r="X84" i="6" s="1"/>
  <c r="X85" i="6" a="1"/>
  <c r="X85" i="6" s="1"/>
  <c r="X86" i="6" a="1"/>
  <c r="X86" i="6" s="1"/>
  <c r="X87" i="6" a="1"/>
  <c r="X87" i="6" s="1"/>
  <c r="X88" i="6" a="1"/>
  <c r="X88" i="6" s="1"/>
  <c r="X89" i="6" a="1"/>
  <c r="X89" i="6" s="1"/>
  <c r="X90" i="6" a="1"/>
  <c r="X90" i="6" s="1"/>
  <c r="X91" i="6" a="1"/>
  <c r="X91" i="6" s="1"/>
  <c r="X92" i="6" a="1"/>
  <c r="X92" i="6" s="1"/>
  <c r="X93" i="6" a="1"/>
  <c r="X93" i="6" s="1"/>
  <c r="X94" i="6" a="1"/>
  <c r="X94" i="6" s="1"/>
  <c r="X95" i="6" a="1"/>
  <c r="X95" i="6" s="1"/>
  <c r="X96" i="6" a="1"/>
  <c r="X96" i="6" s="1"/>
  <c r="X97" i="6" a="1"/>
  <c r="X97" i="6" s="1"/>
  <c r="X98" i="6" a="1"/>
  <c r="X98" i="6" s="1"/>
  <c r="X99" i="6" a="1"/>
  <c r="X99" i="6" s="1"/>
  <c r="X100" i="6" a="1"/>
  <c r="X100" i="6" s="1"/>
  <c r="X101" i="6" a="1"/>
  <c r="X101" i="6" s="1"/>
  <c r="X102" i="6" a="1"/>
  <c r="X102" i="6" s="1"/>
  <c r="X103" i="6" a="1"/>
  <c r="X103" i="6" s="1"/>
  <c r="X104" i="6" a="1"/>
  <c r="X104" i="6" s="1"/>
  <c r="X105" i="6" a="1"/>
  <c r="X105" i="6" s="1"/>
  <c r="X106" i="6" a="1"/>
  <c r="X106" i="6" s="1"/>
  <c r="X107" i="6" a="1"/>
  <c r="X107" i="6" s="1"/>
  <c r="X108" i="6" a="1"/>
  <c r="X108" i="6" s="1"/>
  <c r="X109" i="6" a="1"/>
  <c r="X109" i="6" s="1"/>
  <c r="X110" i="6" a="1"/>
  <c r="X110" i="6" s="1"/>
  <c r="X111" i="6" a="1"/>
  <c r="X111" i="6" s="1"/>
  <c r="X112" i="6" a="1"/>
  <c r="X112" i="6" s="1"/>
  <c r="X113" i="6" a="1"/>
  <c r="X113" i="6" s="1"/>
  <c r="X114" i="6" a="1"/>
  <c r="X114" i="6" s="1"/>
  <c r="X115" i="6" a="1"/>
  <c r="X115" i="6" s="1"/>
  <c r="X116" i="6" a="1"/>
  <c r="X116" i="6" s="1"/>
  <c r="X117" i="6" a="1"/>
  <c r="X117" i="6" s="1"/>
  <c r="X118" i="6" a="1"/>
  <c r="X118" i="6" s="1"/>
  <c r="X119" i="6" a="1"/>
  <c r="X119" i="6" s="1"/>
  <c r="X120" i="6" a="1"/>
  <c r="X120" i="6" s="1"/>
  <c r="X121" i="6" a="1"/>
  <c r="X121" i="6" s="1"/>
  <c r="X122" i="6" a="1"/>
  <c r="X122" i="6" s="1"/>
  <c r="X123" i="6" a="1"/>
  <c r="X123" i="6" s="1"/>
  <c r="X124" i="6" a="1"/>
  <c r="X124" i="6" s="1"/>
  <c r="X125" i="6" a="1"/>
  <c r="X125" i="6" s="1"/>
  <c r="X126" i="6" a="1"/>
  <c r="X126" i="6" s="1"/>
  <c r="X127" i="6" a="1"/>
  <c r="X127" i="6" s="1"/>
  <c r="X128" i="6" a="1"/>
  <c r="X128" i="6" s="1"/>
  <c r="X129" i="6" a="1"/>
  <c r="X129" i="6" s="1"/>
  <c r="X130" i="6" a="1"/>
  <c r="X130" i="6" s="1"/>
  <c r="X131" i="6" a="1"/>
  <c r="X131" i="6" s="1"/>
  <c r="X132" i="6" a="1"/>
  <c r="X132" i="6" s="1"/>
  <c r="X133" i="6" a="1"/>
  <c r="X133" i="6" s="1"/>
  <c r="X134" i="6" a="1"/>
  <c r="X134" i="6" s="1"/>
  <c r="X135" i="6" a="1"/>
  <c r="X135" i="6" s="1"/>
  <c r="X136" i="6" a="1"/>
  <c r="X136" i="6" s="1"/>
  <c r="X137" i="6" a="1"/>
  <c r="X137" i="6" s="1"/>
  <c r="X138" i="6" a="1"/>
  <c r="X138" i="6" s="1"/>
  <c r="X139" i="6" a="1"/>
  <c r="X139" i="6" s="1"/>
  <c r="X140" i="6" a="1"/>
  <c r="X140" i="6" s="1"/>
  <c r="X141" i="6" a="1"/>
  <c r="X141" i="6" s="1"/>
  <c r="X142" i="6" a="1"/>
  <c r="X142" i="6" s="1"/>
  <c r="X143" i="6" a="1"/>
  <c r="X143" i="6" s="1"/>
  <c r="X144" i="6" a="1"/>
  <c r="X144" i="6" s="1"/>
  <c r="X145" i="6" a="1"/>
  <c r="X145" i="6" s="1"/>
  <c r="X146" i="6" a="1"/>
  <c r="X146" i="6" s="1"/>
  <c r="X147" i="6" a="1"/>
  <c r="X147" i="6" s="1"/>
  <c r="X148" i="6" a="1"/>
  <c r="X148" i="6" s="1"/>
  <c r="X149" i="6" a="1"/>
  <c r="X149" i="6" s="1"/>
  <c r="X150" i="6" a="1"/>
  <c r="X150" i="6" s="1"/>
  <c r="X151" i="6" a="1"/>
  <c r="X151" i="6" s="1"/>
  <c r="X152" i="6" a="1"/>
  <c r="X152" i="6" s="1"/>
  <c r="X153" i="6" a="1"/>
  <c r="X153" i="6" s="1"/>
  <c r="X154" i="6" a="1"/>
  <c r="X154" i="6" s="1"/>
  <c r="X155" i="6" a="1"/>
  <c r="X155" i="6" s="1"/>
  <c r="X156" i="6" a="1"/>
  <c r="X156" i="6" s="1"/>
  <c r="X157" i="6" a="1"/>
  <c r="X157" i="6" s="1"/>
  <c r="X158" i="6" a="1"/>
  <c r="X158" i="6" s="1"/>
  <c r="X159" i="6" a="1"/>
  <c r="X159" i="6" s="1"/>
  <c r="X160" i="6" a="1"/>
  <c r="X160" i="6" s="1"/>
  <c r="X161" i="6" a="1"/>
  <c r="X161" i="6" s="1"/>
  <c r="X162" i="6" a="1"/>
  <c r="X162" i="6" s="1"/>
  <c r="X163" i="6" a="1"/>
  <c r="X163" i="6" s="1"/>
  <c r="X164" i="6" a="1"/>
  <c r="X164" i="6" s="1"/>
  <c r="X165" i="6" a="1"/>
  <c r="X165" i="6" s="1"/>
  <c r="X166" i="6" a="1"/>
  <c r="X166" i="6" s="1"/>
  <c r="X167" i="6" a="1"/>
  <c r="X167" i="6" s="1"/>
  <c r="X168" i="6" a="1"/>
  <c r="X168" i="6" s="1"/>
  <c r="X169" i="6" a="1"/>
  <c r="X169" i="6" s="1"/>
  <c r="X170" i="6" a="1"/>
  <c r="X170" i="6" s="1"/>
  <c r="X171" i="6" a="1"/>
  <c r="X171" i="6" s="1"/>
  <c r="X172" i="6" a="1"/>
  <c r="X172" i="6" s="1"/>
  <c r="X173" i="6" a="1"/>
  <c r="X173" i="6" s="1"/>
  <c r="X174" i="6" a="1"/>
  <c r="X174" i="6" s="1"/>
  <c r="X175" i="6" a="1"/>
  <c r="X175" i="6" s="1"/>
  <c r="X176" i="6" a="1"/>
  <c r="X176" i="6" s="1"/>
  <c r="X177" i="6" a="1"/>
  <c r="X177" i="6" s="1"/>
  <c r="X178" i="6" a="1"/>
  <c r="X178" i="6" s="1"/>
  <c r="X179" i="6" a="1"/>
  <c r="X179" i="6" s="1"/>
  <c r="X180" i="6" a="1"/>
  <c r="X180" i="6" s="1"/>
  <c r="X181" i="6" a="1"/>
  <c r="X181" i="6" s="1"/>
  <c r="X182" i="6" a="1"/>
  <c r="X182" i="6" s="1"/>
  <c r="X183" i="6" a="1"/>
  <c r="X183" i="6" s="1"/>
  <c r="X184" i="6" a="1"/>
  <c r="X184" i="6" s="1"/>
  <c r="X185" i="6" a="1"/>
  <c r="X185" i="6" s="1"/>
  <c r="X186" i="6" a="1"/>
  <c r="X186" i="6" s="1"/>
  <c r="X187" i="6" a="1"/>
  <c r="X187" i="6" s="1"/>
  <c r="X188" i="6" a="1"/>
  <c r="X188" i="6" s="1"/>
  <c r="X189" i="6" a="1"/>
  <c r="X189" i="6" s="1"/>
  <c r="X190" i="6" a="1"/>
  <c r="X190" i="6" s="1"/>
  <c r="X191" i="6" a="1"/>
  <c r="X191" i="6" s="1"/>
  <c r="X192" i="6" a="1"/>
  <c r="X192" i="6" s="1"/>
  <c r="X193" i="6" a="1"/>
  <c r="X193" i="6" s="1"/>
  <c r="X194" i="6" a="1"/>
  <c r="X194" i="6" s="1"/>
  <c r="X195" i="6" a="1"/>
  <c r="X195" i="6" s="1"/>
  <c r="X196" i="6" a="1"/>
  <c r="X196" i="6" s="1"/>
  <c r="X197" i="6" a="1"/>
  <c r="X197" i="6" s="1"/>
  <c r="X198" i="6" a="1"/>
  <c r="X198" i="6" s="1"/>
  <c r="X199" i="6" a="1"/>
  <c r="X199" i="6" s="1"/>
  <c r="X200" i="6" a="1"/>
  <c r="X200" i="6" s="1"/>
  <c r="X201" i="6" a="1"/>
  <c r="X201" i="6" s="1"/>
  <c r="X202" i="6" a="1"/>
  <c r="X202" i="6" s="1"/>
  <c r="X203" i="6" a="1"/>
  <c r="X203" i="6" s="1"/>
  <c r="X204" i="6" a="1"/>
  <c r="X204" i="6" s="1"/>
  <c r="X205" i="6" a="1"/>
  <c r="X205" i="6" s="1"/>
  <c r="X206" i="6" a="1"/>
  <c r="X206" i="6" s="1"/>
  <c r="X207" i="6" a="1"/>
  <c r="X207" i="6" s="1"/>
  <c r="X208" i="6" a="1"/>
  <c r="X208" i="6" s="1"/>
  <c r="X209" i="6" a="1"/>
  <c r="X209" i="6" s="1"/>
  <c r="X210" i="6" a="1"/>
  <c r="X210" i="6" s="1"/>
  <c r="X211" i="6" a="1"/>
  <c r="X211" i="6" s="1"/>
  <c r="X212" i="6" a="1"/>
  <c r="X212" i="6" s="1"/>
  <c r="X213" i="6" a="1"/>
  <c r="X213" i="6" s="1"/>
  <c r="X214" i="6" a="1"/>
  <c r="X214" i="6" s="1"/>
  <c r="X215" i="6" a="1"/>
  <c r="X215" i="6" s="1"/>
  <c r="X216" i="6" a="1"/>
  <c r="X216" i="6" s="1"/>
  <c r="X217" i="6" a="1"/>
  <c r="X217" i="6" s="1"/>
  <c r="X218" i="6" a="1"/>
  <c r="X218" i="6" s="1"/>
  <c r="X219" i="6" a="1"/>
  <c r="X219" i="6" s="1"/>
  <c r="X220" i="6" a="1"/>
  <c r="X220" i="6" s="1"/>
  <c r="X221" i="6" a="1"/>
  <c r="X221" i="6" s="1"/>
  <c r="X222" i="6" a="1"/>
  <c r="X222" i="6" s="1"/>
  <c r="X223" i="6" a="1"/>
  <c r="X223" i="6" s="1"/>
  <c r="X224" i="6" a="1"/>
  <c r="X224" i="6" s="1"/>
  <c r="X225" i="6" a="1"/>
  <c r="X225" i="6" s="1"/>
  <c r="X226" i="6" a="1"/>
  <c r="X226" i="6" s="1"/>
  <c r="X227" i="6" a="1"/>
  <c r="X227" i="6" s="1"/>
  <c r="X228" i="6" a="1"/>
  <c r="X228" i="6" s="1"/>
  <c r="X229" i="6" a="1"/>
  <c r="X229" i="6" s="1"/>
  <c r="X230" i="6" a="1"/>
  <c r="X230" i="6" s="1"/>
  <c r="X231" i="6" a="1"/>
  <c r="X231" i="6" s="1"/>
  <c r="X232" i="6" a="1"/>
  <c r="X232" i="6" s="1"/>
  <c r="X233" i="6" a="1"/>
  <c r="X233" i="6" s="1"/>
  <c r="X234" i="6" a="1"/>
  <c r="X234" i="6" s="1"/>
  <c r="X235" i="6" a="1"/>
  <c r="X235" i="6" s="1"/>
  <c r="X236" i="6" a="1"/>
  <c r="X236" i="6" s="1"/>
  <c r="X237" i="6" a="1"/>
  <c r="X237" i="6" s="1"/>
  <c r="X238" i="6" a="1"/>
  <c r="X238" i="6" s="1"/>
  <c r="X239" i="6" a="1"/>
  <c r="X239" i="6" s="1"/>
  <c r="X240" i="6" a="1"/>
  <c r="X240" i="6" s="1"/>
  <c r="X241" i="6" a="1"/>
  <c r="X241" i="6" s="1"/>
  <c r="X242" i="6" a="1"/>
  <c r="X242" i="6" s="1"/>
  <c r="J3" i="6" a="1"/>
  <c r="J3" i="6" s="1"/>
  <c r="O3" i="6" a="1"/>
  <c r="O3" i="6" s="1"/>
  <c r="O4" i="6" a="1"/>
  <c r="O4" i="6" s="1"/>
  <c r="M2" i="14"/>
  <c r="M4" i="14"/>
  <c r="M6" i="14"/>
  <c r="M7" i="14"/>
  <c r="M8" i="14"/>
  <c r="M9" i="14"/>
  <c r="M10" i="14"/>
  <c r="M11" i="14"/>
  <c r="M12" i="14"/>
  <c r="M13" i="14"/>
  <c r="M14" i="14"/>
  <c r="M15" i="14"/>
  <c r="M16" i="14"/>
  <c r="M17" i="14"/>
  <c r="M18" i="14"/>
  <c r="M19" i="14"/>
  <c r="M20" i="14"/>
  <c r="M21" i="14"/>
  <c r="M22" i="14"/>
  <c r="M23" i="14"/>
  <c r="M24" i="14"/>
  <c r="M25" i="14"/>
  <c r="M26" i="14"/>
  <c r="M27" i="14"/>
  <c r="M28" i="14"/>
  <c r="M30" i="14"/>
  <c r="M31" i="14"/>
  <c r="M32" i="14"/>
  <c r="M33" i="14"/>
  <c r="M34" i="14"/>
  <c r="M35" i="14"/>
  <c r="M36" i="14"/>
  <c r="M37" i="14"/>
  <c r="M39" i="14"/>
  <c r="M40" i="14"/>
  <c r="M41" i="14"/>
  <c r="M42" i="14"/>
  <c r="M43" i="14"/>
  <c r="M44" i="14"/>
  <c r="M45" i="14"/>
  <c r="M47" i="14"/>
  <c r="M48" i="14"/>
  <c r="G3" i="12"/>
  <c r="H3" i="12" s="1"/>
  <c r="G69" i="12"/>
  <c r="H69" i="12" s="1"/>
  <c r="G70" i="12"/>
  <c r="H70" i="12" s="1"/>
  <c r="G71" i="12"/>
  <c r="H71" i="12" s="1"/>
  <c r="G72" i="12"/>
  <c r="H72" i="12" s="1"/>
  <c r="G73" i="12"/>
  <c r="H73" i="12" s="1"/>
  <c r="G74" i="12"/>
  <c r="H74" i="12" s="1"/>
  <c r="G75" i="12"/>
  <c r="H75" i="12" s="1"/>
  <c r="G76" i="12"/>
  <c r="H76" i="12" s="1"/>
  <c r="G77" i="12"/>
  <c r="H77" i="12" s="1"/>
  <c r="G53" i="12"/>
  <c r="H53" i="12" s="1"/>
  <c r="G54" i="12"/>
  <c r="H54" i="12" s="1"/>
  <c r="G55" i="12"/>
  <c r="H55" i="12" s="1"/>
  <c r="G56" i="12"/>
  <c r="H56" i="12" s="1"/>
  <c r="G57" i="12"/>
  <c r="H57" i="12" s="1"/>
  <c r="G58" i="12"/>
  <c r="H58" i="12" s="1"/>
  <c r="G59" i="12"/>
  <c r="H59" i="12" s="1"/>
  <c r="G60" i="12"/>
  <c r="H60" i="12" s="1"/>
  <c r="G61" i="12"/>
  <c r="H61" i="12" s="1"/>
  <c r="G62" i="12"/>
  <c r="H62" i="12" s="1"/>
  <c r="G63" i="12"/>
  <c r="H63" i="12" s="1"/>
  <c r="G64" i="12"/>
  <c r="H64" i="12" s="1"/>
  <c r="G65" i="12"/>
  <c r="H65" i="12" s="1"/>
  <c r="G66" i="12"/>
  <c r="H66" i="12" s="1"/>
  <c r="G67" i="12"/>
  <c r="H67" i="12" s="1"/>
  <c r="G68" i="12"/>
  <c r="H68" i="12" s="1"/>
  <c r="G44" i="12"/>
  <c r="H44" i="12" s="1"/>
  <c r="G45" i="12"/>
  <c r="H45" i="12" s="1"/>
  <c r="G46" i="12"/>
  <c r="H46" i="12" s="1"/>
  <c r="G47" i="12"/>
  <c r="H47" i="12" s="1"/>
  <c r="G48" i="12"/>
  <c r="H48" i="12" s="1"/>
  <c r="G49" i="12"/>
  <c r="H49" i="12" s="1"/>
  <c r="G50" i="12"/>
  <c r="H50" i="12" s="1"/>
  <c r="G51" i="12"/>
  <c r="H51" i="12" s="1"/>
  <c r="G52" i="12"/>
  <c r="H52" i="12" s="1"/>
  <c r="J9" i="6" a="1"/>
  <c r="J9" i="6" s="1"/>
  <c r="G4" i="12"/>
  <c r="H4" i="12" s="1"/>
  <c r="G5" i="12"/>
  <c r="H5" i="12" s="1"/>
  <c r="G6" i="12"/>
  <c r="H6" i="12" s="1"/>
  <c r="G7" i="12"/>
  <c r="H7" i="12" s="1"/>
  <c r="G8" i="12"/>
  <c r="H8" i="12" s="1"/>
  <c r="G9" i="12"/>
  <c r="H9" i="12" s="1"/>
  <c r="G10" i="12"/>
  <c r="H10" i="12" s="1"/>
  <c r="G11" i="12"/>
  <c r="H11" i="12" s="1"/>
  <c r="G12" i="12"/>
  <c r="H12" i="12" s="1"/>
  <c r="G13" i="12"/>
  <c r="H13" i="12" s="1"/>
  <c r="G14" i="12"/>
  <c r="H14" i="12" s="1"/>
  <c r="G15" i="12"/>
  <c r="H15" i="12" s="1"/>
  <c r="G16" i="12"/>
  <c r="H16" i="12" s="1"/>
  <c r="G17" i="12"/>
  <c r="H17" i="12" s="1"/>
  <c r="G18" i="12"/>
  <c r="H18" i="12" s="1"/>
  <c r="G19" i="12"/>
  <c r="H19" i="12" s="1"/>
  <c r="G20" i="12"/>
  <c r="H20" i="12" s="1"/>
  <c r="G21" i="12"/>
  <c r="H21" i="12" s="1"/>
  <c r="G22" i="12"/>
  <c r="H22" i="12" s="1"/>
  <c r="G23" i="12"/>
  <c r="H23" i="12" s="1"/>
  <c r="G24" i="12"/>
  <c r="H24" i="12" s="1"/>
  <c r="G25" i="12"/>
  <c r="H25" i="12" s="1"/>
  <c r="G26" i="12"/>
  <c r="H26" i="12" s="1"/>
  <c r="G27" i="12"/>
  <c r="H27" i="12" s="1"/>
  <c r="G28" i="12"/>
  <c r="H28" i="12" s="1"/>
  <c r="G29" i="12"/>
  <c r="H29" i="12" s="1"/>
  <c r="G30" i="12"/>
  <c r="H30" i="12" s="1"/>
  <c r="G31" i="12"/>
  <c r="H31" i="12" s="1"/>
  <c r="G32" i="12"/>
  <c r="H32" i="12" s="1"/>
  <c r="G33" i="12"/>
  <c r="H33" i="12" s="1"/>
  <c r="G34" i="12"/>
  <c r="H34" i="12" s="1"/>
  <c r="G35" i="12"/>
  <c r="H35" i="12" s="1"/>
  <c r="G36" i="12"/>
  <c r="H36" i="12" s="1"/>
  <c r="G37" i="12"/>
  <c r="H37" i="12" s="1"/>
  <c r="G38" i="12"/>
  <c r="H38" i="12" s="1"/>
  <c r="G39" i="12"/>
  <c r="H39" i="12" s="1"/>
  <c r="G40" i="12"/>
  <c r="H40" i="12" s="1"/>
  <c r="G41" i="12"/>
  <c r="H41" i="12" s="1"/>
  <c r="G42" i="12"/>
  <c r="H42" i="12" s="1"/>
  <c r="G43" i="12"/>
  <c r="H43" i="12" s="1"/>
  <c r="M16" i="1"/>
  <c r="J4" i="11"/>
  <c r="J5" i="11"/>
  <c r="J6" i="11"/>
  <c r="J7" i="11"/>
  <c r="J8" i="11"/>
  <c r="J9" i="11"/>
  <c r="J10" i="11"/>
  <c r="J11" i="11"/>
  <c r="J12" i="11"/>
  <c r="J13" i="11"/>
  <c r="J14" i="11"/>
  <c r="P3" i="11"/>
  <c r="O3" i="11"/>
  <c r="R3" i="11"/>
  <c r="G3" i="11"/>
  <c r="G4" i="11"/>
  <c r="G5" i="11"/>
  <c r="G6" i="11"/>
  <c r="G7" i="11"/>
  <c r="G8" i="11"/>
  <c r="G13" i="11"/>
  <c r="G14" i="11"/>
  <c r="F15" i="11"/>
  <c r="F16" i="11"/>
  <c r="F17" i="11"/>
  <c r="F18" i="11"/>
  <c r="F19" i="11"/>
  <c r="F20" i="11"/>
  <c r="F21" i="11"/>
  <c r="F22" i="11"/>
  <c r="F23" i="11"/>
  <c r="F24" i="11"/>
  <c r="F25" i="11"/>
  <c r="F26" i="11"/>
  <c r="F27" i="11"/>
  <c r="F28" i="11"/>
  <c r="F32" i="11"/>
  <c r="K762" i="4"/>
  <c r="K763" i="4"/>
  <c r="K764" i="4"/>
  <c r="K765" i="4"/>
  <c r="K766" i="4"/>
  <c r="K767" i="4"/>
  <c r="K768" i="4"/>
  <c r="K769" i="4"/>
  <c r="K770" i="4"/>
  <c r="K771" i="4"/>
  <c r="K772" i="4"/>
  <c r="K773" i="4"/>
  <c r="K774" i="4"/>
  <c r="K775" i="4"/>
  <c r="K776" i="4"/>
  <c r="K777" i="4"/>
  <c r="K778" i="4"/>
  <c r="K779" i="4"/>
  <c r="K780" i="4"/>
  <c r="K781" i="4"/>
  <c r="K782" i="4"/>
  <c r="K783" i="4"/>
  <c r="K784" i="4"/>
  <c r="K785" i="4"/>
  <c r="K45" i="4"/>
  <c r="K46" i="4"/>
  <c r="K47" i="4"/>
  <c r="K48" i="4"/>
  <c r="K49" i="4"/>
  <c r="K50" i="4"/>
  <c r="K51" i="4"/>
  <c r="K54" i="4"/>
  <c r="K55" i="4"/>
  <c r="K56" i="4"/>
  <c r="K57" i="4"/>
  <c r="K58" i="4"/>
  <c r="K59" i="4"/>
  <c r="K60" i="4"/>
  <c r="K61" i="4"/>
  <c r="K62" i="4"/>
  <c r="K63" i="4"/>
  <c r="K64" i="4"/>
  <c r="K65" i="4"/>
  <c r="K66" i="4"/>
  <c r="K67" i="4"/>
  <c r="K68" i="4"/>
  <c r="K69" i="4"/>
  <c r="K70" i="4"/>
  <c r="K71" i="4"/>
  <c r="K72" i="4"/>
  <c r="K73" i="4"/>
  <c r="K74" i="4"/>
  <c r="K75" i="4"/>
  <c r="K76" i="4"/>
  <c r="K77" i="4"/>
  <c r="K78"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44" i="4"/>
  <c r="B24" i="10"/>
  <c r="C24" i="10" s="1"/>
  <c r="B25" i="10"/>
  <c r="C25" i="10" s="1"/>
  <c r="B26" i="10"/>
  <c r="C26" i="10" s="1"/>
  <c r="B27" i="10"/>
  <c r="C27" i="10" s="1"/>
  <c r="B28" i="10"/>
  <c r="C28" i="10" s="1"/>
  <c r="B29" i="10"/>
  <c r="C29" i="10" s="1"/>
  <c r="B30" i="10"/>
  <c r="C30" i="10" s="1"/>
  <c r="B31" i="10"/>
  <c r="C31" i="10" s="1"/>
  <c r="B32" i="10"/>
  <c r="C32" i="10" s="1"/>
  <c r="B33" i="10"/>
  <c r="C33" i="10" s="1"/>
  <c r="B34" i="10"/>
  <c r="C34" i="10" s="1"/>
  <c r="B35" i="10"/>
  <c r="C35" i="10" s="1"/>
  <c r="B36" i="10"/>
  <c r="C36" i="10" s="1"/>
  <c r="B37" i="10"/>
  <c r="C37" i="10" s="1"/>
  <c r="B38" i="10"/>
  <c r="C38" i="10" s="1"/>
  <c r="B39" i="10"/>
  <c r="C39" i="10" s="1"/>
  <c r="B40" i="10"/>
  <c r="C40" i="10" s="1"/>
  <c r="B41" i="10"/>
  <c r="C41" i="10" s="1"/>
  <c r="B42" i="10"/>
  <c r="C42" i="10" s="1"/>
  <c r="B23" i="10"/>
  <c r="C23" i="10" s="1"/>
  <c r="B17" i="10"/>
  <c r="C17" i="10" s="1"/>
  <c r="B18" i="10"/>
  <c r="C18" i="10" s="1"/>
  <c r="B19" i="10"/>
  <c r="C19" i="10" s="1"/>
  <c r="B20" i="10"/>
  <c r="C20" i="10" s="1"/>
  <c r="B21" i="10"/>
  <c r="C21" i="10" s="1"/>
  <c r="B22" i="10"/>
  <c r="B4" i="10"/>
  <c r="C4" i="10" s="1"/>
  <c r="B5" i="10"/>
  <c r="B6" i="10"/>
  <c r="C6" i="10" s="1"/>
  <c r="B7" i="10"/>
  <c r="C7" i="10" s="1"/>
  <c r="B8" i="10"/>
  <c r="C8" i="10" s="1"/>
  <c r="B9" i="10"/>
  <c r="C9" i="10" s="1"/>
  <c r="B10" i="10"/>
  <c r="C10" i="10" s="1"/>
  <c r="B11" i="10"/>
  <c r="C11" i="10" s="1"/>
  <c r="B12" i="10"/>
  <c r="C12" i="10" s="1"/>
  <c r="B13" i="10"/>
  <c r="C13" i="10" s="1"/>
  <c r="B14" i="10"/>
  <c r="C14" i="10" s="1"/>
  <c r="B15" i="10"/>
  <c r="C15" i="10" s="1"/>
  <c r="B16" i="10"/>
  <c r="C16" i="10" s="1"/>
  <c r="B3" i="10"/>
  <c r="C3" i="10" s="1"/>
  <c r="T5" i="14" l="1"/>
  <c r="S8" i="14"/>
  <c r="S5" i="14"/>
  <c r="S2" i="14"/>
  <c r="M14" i="16"/>
  <c r="P8" i="16"/>
  <c r="Q8" i="16" s="1"/>
  <c r="B14" i="17"/>
  <c r="B29" i="17"/>
  <c r="G15" i="25" s="1"/>
  <c r="T2" i="14"/>
  <c r="T10" i="14"/>
  <c r="T6" i="14"/>
  <c r="T4" i="14"/>
  <c r="T7" i="14"/>
  <c r="T3" i="14"/>
  <c r="T8" i="14"/>
  <c r="T9" i="14"/>
  <c r="S4" i="14"/>
  <c r="S3" i="14"/>
  <c r="S6" i="14"/>
  <c r="S7" i="14"/>
  <c r="S9" i="14"/>
  <c r="S10" i="14"/>
  <c r="S3" i="11"/>
  <c r="G78" i="12"/>
  <c r="Q3" i="11"/>
  <c r="G80" i="12"/>
  <c r="G92" i="12"/>
  <c r="G104" i="12"/>
  <c r="G81" i="12"/>
  <c r="G93" i="12"/>
  <c r="G105" i="12"/>
  <c r="G82" i="12"/>
  <c r="G94" i="12"/>
  <c r="G83" i="12"/>
  <c r="G95" i="12"/>
  <c r="G84" i="12"/>
  <c r="G96" i="12"/>
  <c r="G85" i="12"/>
  <c r="G97" i="12"/>
  <c r="G86" i="12"/>
  <c r="G98" i="12"/>
  <c r="G87" i="12"/>
  <c r="G99" i="12"/>
  <c r="G88" i="12"/>
  <c r="G100" i="12"/>
  <c r="G89" i="12"/>
  <c r="G101" i="12"/>
  <c r="G90" i="12"/>
  <c r="G102" i="12"/>
  <c r="G79" i="12"/>
  <c r="G91" i="12"/>
  <c r="G103" i="12"/>
  <c r="C5" i="10"/>
  <c r="C22" i="10"/>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M1035" i="4"/>
  <c r="O1035" i="4" s="1"/>
  <c r="M1046" i="4"/>
  <c r="O1046" i="4" s="1"/>
  <c r="M1052" i="4"/>
  <c r="O1052" i="4" s="1"/>
  <c r="J3" i="4"/>
  <c r="P1053" i="4"/>
  <c r="M1053" i="4"/>
  <c r="N1053" i="4" s="1"/>
  <c r="P1052"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M44" i="4" s="1"/>
  <c r="P45" i="4"/>
  <c r="P46" i="4"/>
  <c r="M46" i="4" s="1"/>
  <c r="P47" i="4"/>
  <c r="M47" i="4" s="1"/>
  <c r="P48" i="4"/>
  <c r="P49" i="4"/>
  <c r="P50" i="4"/>
  <c r="P51" i="4"/>
  <c r="P52" i="4"/>
  <c r="P53" i="4"/>
  <c r="P54" i="4"/>
  <c r="M54" i="4" s="1"/>
  <c r="P55" i="4"/>
  <c r="M55" i="4" s="1"/>
  <c r="P56" i="4"/>
  <c r="M56" i="4" s="1"/>
  <c r="P57" i="4"/>
  <c r="M57" i="4" s="1"/>
  <c r="P58" i="4"/>
  <c r="M58" i="4" s="1"/>
  <c r="P59" i="4"/>
  <c r="M59" i="4" s="1"/>
  <c r="P60" i="4"/>
  <c r="P61" i="4"/>
  <c r="P62" i="4"/>
  <c r="P63" i="4"/>
  <c r="P64" i="4"/>
  <c r="P65" i="4"/>
  <c r="M65" i="4" s="1"/>
  <c r="P66" i="4"/>
  <c r="M66" i="4" s="1"/>
  <c r="P67" i="4"/>
  <c r="P68" i="4"/>
  <c r="M68" i="4" s="1"/>
  <c r="P69" i="4"/>
  <c r="P70" i="4"/>
  <c r="M70" i="4" s="1"/>
  <c r="P71" i="4"/>
  <c r="P72" i="4"/>
  <c r="M72" i="4" s="1"/>
  <c r="P73" i="4"/>
  <c r="M73" i="4" s="1"/>
  <c r="P74" i="4"/>
  <c r="P75" i="4"/>
  <c r="P76" i="4"/>
  <c r="P77" i="4"/>
  <c r="M77" i="4" s="1"/>
  <c r="P78" i="4"/>
  <c r="M78" i="4" s="1"/>
  <c r="P79" i="4"/>
  <c r="M79" i="4" s="1"/>
  <c r="P80" i="4"/>
  <c r="M80" i="4" s="1"/>
  <c r="P81" i="4"/>
  <c r="M81" i="4" s="1"/>
  <c r="P82" i="4"/>
  <c r="M82" i="4" s="1"/>
  <c r="P83" i="4"/>
  <c r="M83" i="4" s="1"/>
  <c r="P84" i="4"/>
  <c r="P85" i="4"/>
  <c r="P86" i="4"/>
  <c r="M86" i="4" s="1"/>
  <c r="P87" i="4"/>
  <c r="P88" i="4"/>
  <c r="M88" i="4" s="1"/>
  <c r="P89" i="4"/>
  <c r="M89" i="4" s="1"/>
  <c r="P90" i="4"/>
  <c r="P91" i="4"/>
  <c r="M91" i="4" s="1"/>
  <c r="P92" i="4"/>
  <c r="P93" i="4"/>
  <c r="M93" i="4" s="1"/>
  <c r="P94" i="4"/>
  <c r="M94" i="4" s="1"/>
  <c r="P95" i="4"/>
  <c r="M95" i="4" s="1"/>
  <c r="P96" i="4"/>
  <c r="P97" i="4"/>
  <c r="M97" i="4" s="1"/>
  <c r="P98" i="4"/>
  <c r="P99" i="4"/>
  <c r="P100" i="4"/>
  <c r="M100" i="4" s="1"/>
  <c r="P101" i="4"/>
  <c r="M101" i="4" s="1"/>
  <c r="P102" i="4"/>
  <c r="M102" i="4" s="1"/>
  <c r="P103" i="4"/>
  <c r="M103" i="4" s="1"/>
  <c r="P104" i="4"/>
  <c r="M104" i="4" s="1"/>
  <c r="P105" i="4"/>
  <c r="P106" i="4"/>
  <c r="M106" i="4" s="1"/>
  <c r="P107" i="4"/>
  <c r="P108" i="4"/>
  <c r="P109" i="4"/>
  <c r="P110" i="4"/>
  <c r="P111" i="4"/>
  <c r="P112" i="4"/>
  <c r="P113" i="4"/>
  <c r="P114" i="4"/>
  <c r="M114" i="4" s="1"/>
  <c r="P115" i="4"/>
  <c r="P116" i="4"/>
  <c r="P117" i="4"/>
  <c r="P118" i="4"/>
  <c r="P119" i="4"/>
  <c r="M119" i="4" s="1"/>
  <c r="P120" i="4"/>
  <c r="P121" i="4"/>
  <c r="P122" i="4"/>
  <c r="P123" i="4"/>
  <c r="P124" i="4"/>
  <c r="P125" i="4"/>
  <c r="P126" i="4"/>
  <c r="M126" i="4" s="1"/>
  <c r="P127" i="4"/>
  <c r="M127" i="4" s="1"/>
  <c r="P128" i="4"/>
  <c r="M128" i="4" s="1"/>
  <c r="P129" i="4"/>
  <c r="M129" i="4" s="1"/>
  <c r="P130" i="4"/>
  <c r="M130" i="4" s="1"/>
  <c r="P131" i="4"/>
  <c r="M131" i="4" s="1"/>
  <c r="P132" i="4"/>
  <c r="M132" i="4" s="1"/>
  <c r="P133" i="4"/>
  <c r="P134" i="4"/>
  <c r="P135" i="4"/>
  <c r="P136" i="4"/>
  <c r="P137" i="4"/>
  <c r="M137" i="4" s="1"/>
  <c r="P138" i="4"/>
  <c r="M138" i="4" s="1"/>
  <c r="O138" i="4" s="1"/>
  <c r="P139" i="4"/>
  <c r="M139" i="4" s="1"/>
  <c r="P140" i="4"/>
  <c r="M140" i="4" s="1"/>
  <c r="P141" i="4"/>
  <c r="M141" i="4" s="1"/>
  <c r="P142" i="4"/>
  <c r="M142" i="4" s="1"/>
  <c r="P143" i="4"/>
  <c r="M143" i="4" s="1"/>
  <c r="P144" i="4"/>
  <c r="P145" i="4"/>
  <c r="M145" i="4" s="1"/>
  <c r="P146" i="4"/>
  <c r="P147" i="4"/>
  <c r="P148" i="4"/>
  <c r="M148" i="4" s="1"/>
  <c r="P149" i="4"/>
  <c r="M149" i="4" s="1"/>
  <c r="P150" i="4"/>
  <c r="M150" i="4" s="1"/>
  <c r="P151" i="4"/>
  <c r="M151" i="4" s="1"/>
  <c r="P152" i="4"/>
  <c r="M152" i="4" s="1"/>
  <c r="P153" i="4"/>
  <c r="M153" i="4" s="1"/>
  <c r="P154" i="4"/>
  <c r="M154" i="4" s="1"/>
  <c r="P155" i="4"/>
  <c r="M155" i="4" s="1"/>
  <c r="P156" i="4"/>
  <c r="P157" i="4"/>
  <c r="P158" i="4"/>
  <c r="P159" i="4"/>
  <c r="P160" i="4"/>
  <c r="M160" i="4" s="1"/>
  <c r="P161" i="4"/>
  <c r="M161" i="4" s="1"/>
  <c r="P162" i="4"/>
  <c r="M162" i="4" s="1"/>
  <c r="O162" i="4" s="1"/>
  <c r="P163" i="4"/>
  <c r="M163" i="4" s="1"/>
  <c r="P164" i="4"/>
  <c r="M164" i="4" s="1"/>
  <c r="O164" i="4" s="1"/>
  <c r="P165" i="4"/>
  <c r="M165" i="4" s="1"/>
  <c r="O165" i="4" s="1"/>
  <c r="P166" i="4"/>
  <c r="M166" i="4" s="1"/>
  <c r="O166" i="4" s="1"/>
  <c r="P167" i="4"/>
  <c r="M167" i="4" s="1"/>
  <c r="P168" i="4"/>
  <c r="P169" i="4"/>
  <c r="M169" i="4" s="1"/>
  <c r="P170" i="4"/>
  <c r="P171" i="4"/>
  <c r="P172" i="4"/>
  <c r="M172" i="4" s="1"/>
  <c r="O172" i="4" s="1"/>
  <c r="P173" i="4"/>
  <c r="O173" i="4" s="1"/>
  <c r="P174" i="4"/>
  <c r="M174" i="4" s="1"/>
  <c r="O174" i="4" s="1"/>
  <c r="P175" i="4"/>
  <c r="P176" i="4"/>
  <c r="P177" i="4"/>
  <c r="M177" i="4" s="1"/>
  <c r="O177" i="4" s="1"/>
  <c r="P178" i="4"/>
  <c r="M178" i="4" s="1"/>
  <c r="O178" i="4" s="1"/>
  <c r="P179" i="4"/>
  <c r="O179" i="4" s="1"/>
  <c r="P180" i="4"/>
  <c r="P181" i="4"/>
  <c r="M181" i="4" s="1"/>
  <c r="O181" i="4" s="1"/>
  <c r="P182" i="4"/>
  <c r="P183" i="4"/>
  <c r="P184" i="4"/>
  <c r="P185" i="4"/>
  <c r="M185" i="4" s="1"/>
  <c r="O185" i="4" s="1"/>
  <c r="P186" i="4"/>
  <c r="P187" i="4"/>
  <c r="M187" i="4" s="1"/>
  <c r="O187" i="4" s="1"/>
  <c r="P188" i="4"/>
  <c r="M188" i="4" s="1"/>
  <c r="O188" i="4" s="1"/>
  <c r="P189" i="4"/>
  <c r="M189" i="4" s="1"/>
  <c r="O189" i="4" s="1"/>
  <c r="P190" i="4"/>
  <c r="M190" i="4" s="1"/>
  <c r="O190" i="4" s="1"/>
  <c r="P191" i="4"/>
  <c r="M191" i="4" s="1"/>
  <c r="O191" i="4" s="1"/>
  <c r="P192" i="4"/>
  <c r="M192" i="4" s="1"/>
  <c r="O192" i="4" s="1"/>
  <c r="P193" i="4"/>
  <c r="M193" i="4" s="1"/>
  <c r="O193" i="4" s="1"/>
  <c r="P194" i="4"/>
  <c r="P195" i="4"/>
  <c r="P196" i="4"/>
  <c r="M196" i="4" s="1"/>
  <c r="O196" i="4" s="1"/>
  <c r="P197" i="4"/>
  <c r="O197" i="4" s="1"/>
  <c r="P198" i="4"/>
  <c r="M198" i="4" s="1"/>
  <c r="O198" i="4" s="1"/>
  <c r="P199" i="4"/>
  <c r="M199" i="4" s="1"/>
  <c r="O199" i="4" s="1"/>
  <c r="P200" i="4"/>
  <c r="M200" i="4" s="1"/>
  <c r="O200" i="4" s="1"/>
  <c r="P201" i="4"/>
  <c r="M201" i="4" s="1"/>
  <c r="O201" i="4" s="1"/>
  <c r="P202" i="4"/>
  <c r="M202" i="4" s="1"/>
  <c r="O202" i="4" s="1"/>
  <c r="P203" i="4"/>
  <c r="M203" i="4" s="1"/>
  <c r="O203" i="4" s="1"/>
  <c r="P204" i="4"/>
  <c r="M204" i="4" s="1"/>
  <c r="O204" i="4" s="1"/>
  <c r="P205" i="4"/>
  <c r="M205" i="4" s="1"/>
  <c r="O205" i="4" s="1"/>
  <c r="P206" i="4"/>
  <c r="P207" i="4"/>
  <c r="P208" i="4"/>
  <c r="M208" i="4" s="1"/>
  <c r="O208" i="4" s="1"/>
  <c r="P209" i="4"/>
  <c r="M209" i="4" s="1"/>
  <c r="O209" i="4" s="1"/>
  <c r="P210" i="4"/>
  <c r="O210" i="4" s="1"/>
  <c r="P211" i="4"/>
  <c r="M211" i="4" s="1"/>
  <c r="O211" i="4" s="1"/>
  <c r="P212" i="4"/>
  <c r="M212" i="4" s="1"/>
  <c r="O212" i="4" s="1"/>
  <c r="P213" i="4"/>
  <c r="M213" i="4" s="1"/>
  <c r="O213" i="4" s="1"/>
  <c r="P214" i="4"/>
  <c r="O214" i="4" s="1"/>
  <c r="P215" i="4"/>
  <c r="M215" i="4" s="1"/>
  <c r="O215" i="4" s="1"/>
  <c r="P216" i="4"/>
  <c r="P217" i="4"/>
  <c r="M217" i="4" s="1"/>
  <c r="O217" i="4" s="1"/>
  <c r="P218" i="4"/>
  <c r="P219" i="4"/>
  <c r="P220" i="4"/>
  <c r="O220" i="4" s="1"/>
  <c r="P221" i="4"/>
  <c r="M221" i="4" s="1"/>
  <c r="O221" i="4" s="1"/>
  <c r="P222" i="4"/>
  <c r="M222" i="4" s="1"/>
  <c r="O222" i="4" s="1"/>
  <c r="P223" i="4"/>
  <c r="M223" i="4" s="1"/>
  <c r="O223" i="4" s="1"/>
  <c r="P224" i="4"/>
  <c r="M224" i="4" s="1"/>
  <c r="O224" i="4" s="1"/>
  <c r="P225" i="4"/>
  <c r="M225" i="4" s="1"/>
  <c r="O225" i="4" s="1"/>
  <c r="P226" i="4"/>
  <c r="M226" i="4" s="1"/>
  <c r="O226" i="4" s="1"/>
  <c r="P227" i="4"/>
  <c r="M227" i="4" s="1"/>
  <c r="O227" i="4" s="1"/>
  <c r="P228" i="4"/>
  <c r="P229" i="4"/>
  <c r="M229" i="4" s="1"/>
  <c r="O229" i="4" s="1"/>
  <c r="P230" i="4"/>
  <c r="P231" i="4"/>
  <c r="P232" i="4"/>
  <c r="M232" i="4" s="1"/>
  <c r="O232" i="4" s="1"/>
  <c r="P233" i="4"/>
  <c r="M233" i="4" s="1"/>
  <c r="O233" i="4" s="1"/>
  <c r="P234" i="4"/>
  <c r="M234" i="4" s="1"/>
  <c r="O234" i="4" s="1"/>
  <c r="P235" i="4"/>
  <c r="M235" i="4" s="1"/>
  <c r="O235" i="4" s="1"/>
  <c r="P236" i="4"/>
  <c r="M236" i="4" s="1"/>
  <c r="O236" i="4" s="1"/>
  <c r="P237" i="4"/>
  <c r="M237" i="4" s="1"/>
  <c r="O237" i="4" s="1"/>
  <c r="P238" i="4"/>
  <c r="M238" i="4" s="1"/>
  <c r="O238" i="4" s="1"/>
  <c r="P239" i="4"/>
  <c r="M239" i="4" s="1"/>
  <c r="O239" i="4" s="1"/>
  <c r="P240" i="4"/>
  <c r="P241" i="4"/>
  <c r="M241" i="4" s="1"/>
  <c r="O241" i="4" s="1"/>
  <c r="P242" i="4"/>
  <c r="P243" i="4"/>
  <c r="P244" i="4"/>
  <c r="M244" i="4" s="1"/>
  <c r="O244" i="4" s="1"/>
  <c r="P245" i="4"/>
  <c r="M245" i="4" s="1"/>
  <c r="O245" i="4" s="1"/>
  <c r="P246" i="4"/>
  <c r="M246" i="4" s="1"/>
  <c r="O246" i="4" s="1"/>
  <c r="P247" i="4"/>
  <c r="M247" i="4" s="1"/>
  <c r="O247" i="4" s="1"/>
  <c r="P248" i="4"/>
  <c r="M248" i="4" s="1"/>
  <c r="O248" i="4" s="1"/>
  <c r="P249" i="4"/>
  <c r="M249" i="4" s="1"/>
  <c r="O249" i="4" s="1"/>
  <c r="P250" i="4"/>
  <c r="M250" i="4" s="1"/>
  <c r="O250" i="4" s="1"/>
  <c r="P251" i="4"/>
  <c r="M251" i="4" s="1"/>
  <c r="N251" i="4" s="1"/>
  <c r="P252" i="4"/>
  <c r="P253" i="4"/>
  <c r="M253" i="4" s="1"/>
  <c r="O253" i="4" s="1"/>
  <c r="P254" i="4"/>
  <c r="P255" i="4"/>
  <c r="P256" i="4"/>
  <c r="O256" i="4" s="1"/>
  <c r="P257" i="4"/>
  <c r="P258" i="4"/>
  <c r="O258" i="4" s="1"/>
  <c r="P259" i="4"/>
  <c r="O259" i="4" s="1"/>
  <c r="P260" i="4"/>
  <c r="O260" i="4" s="1"/>
  <c r="P261" i="4"/>
  <c r="O261" i="4" s="1"/>
  <c r="P262" i="4"/>
  <c r="O262" i="4" s="1"/>
  <c r="P263" i="4"/>
  <c r="N263" i="4" s="1"/>
  <c r="P264" i="4"/>
  <c r="M264" i="4" s="1"/>
  <c r="O264" i="4" s="1"/>
  <c r="P265" i="4"/>
  <c r="O265" i="4" s="1"/>
  <c r="P266" i="4"/>
  <c r="P267" i="4"/>
  <c r="P268" i="4"/>
  <c r="P269" i="4"/>
  <c r="M269" i="4" s="1"/>
  <c r="O269" i="4" s="1"/>
  <c r="P270" i="4"/>
  <c r="M270" i="4" s="1"/>
  <c r="O270" i="4" s="1"/>
  <c r="P271" i="4"/>
  <c r="O271" i="4" s="1"/>
  <c r="P272" i="4"/>
  <c r="M272" i="4" s="1"/>
  <c r="O272" i="4" s="1"/>
  <c r="P273" i="4"/>
  <c r="M273" i="4" s="1"/>
  <c r="O273" i="4" s="1"/>
  <c r="P274" i="4"/>
  <c r="M274" i="4" s="1"/>
  <c r="O274" i="4" s="1"/>
  <c r="P275" i="4"/>
  <c r="M275" i="4" s="1"/>
  <c r="O275" i="4" s="1"/>
  <c r="P276" i="4"/>
  <c r="M276" i="4" s="1"/>
  <c r="O276" i="4" s="1"/>
  <c r="P277" i="4"/>
  <c r="M277" i="4" s="1"/>
  <c r="O277" i="4" s="1"/>
  <c r="P278" i="4"/>
  <c r="P279" i="4"/>
  <c r="P280" i="4"/>
  <c r="M280" i="4" s="1"/>
  <c r="O280" i="4" s="1"/>
  <c r="P281" i="4"/>
  <c r="M281" i="4" s="1"/>
  <c r="O281" i="4" s="1"/>
  <c r="P282" i="4"/>
  <c r="M282" i="4" s="1"/>
  <c r="O282" i="4" s="1"/>
  <c r="P283" i="4"/>
  <c r="M283" i="4" s="1"/>
  <c r="O283" i="4" s="1"/>
  <c r="P284" i="4"/>
  <c r="M284" i="4" s="1"/>
  <c r="O284" i="4" s="1"/>
  <c r="P285" i="4"/>
  <c r="M285" i="4" s="1"/>
  <c r="O285" i="4" s="1"/>
  <c r="P286" i="4"/>
  <c r="O286" i="4" s="1"/>
  <c r="P287" i="4"/>
  <c r="M287" i="4" s="1"/>
  <c r="O287" i="4" s="1"/>
  <c r="P288" i="4"/>
  <c r="P289" i="4"/>
  <c r="O289" i="4" s="1"/>
  <c r="P290" i="4"/>
  <c r="P291" i="4"/>
  <c r="P292" i="4"/>
  <c r="M292" i="4" s="1"/>
  <c r="O292" i="4" s="1"/>
  <c r="P293" i="4"/>
  <c r="M293" i="4" s="1"/>
  <c r="O293" i="4" s="1"/>
  <c r="P294" i="4"/>
  <c r="M294" i="4" s="1"/>
  <c r="O294" i="4" s="1"/>
  <c r="P295" i="4"/>
  <c r="M295" i="4" s="1"/>
  <c r="O295" i="4" s="1"/>
  <c r="P296" i="4"/>
  <c r="M296" i="4" s="1"/>
  <c r="O296" i="4" s="1"/>
  <c r="P297" i="4"/>
  <c r="M297" i="4" s="1"/>
  <c r="O297" i="4" s="1"/>
  <c r="P298" i="4"/>
  <c r="M298" i="4" s="1"/>
  <c r="O298" i="4" s="1"/>
  <c r="P299" i="4"/>
  <c r="M299" i="4" s="1"/>
  <c r="O299" i="4" s="1"/>
  <c r="P300" i="4"/>
  <c r="P301" i="4"/>
  <c r="M301" i="4" s="1"/>
  <c r="O301" i="4" s="1"/>
  <c r="P302" i="4"/>
  <c r="P303" i="4"/>
  <c r="P304" i="4"/>
  <c r="O304" i="4" s="1"/>
  <c r="P305" i="4"/>
  <c r="O305" i="4" s="1"/>
  <c r="P306" i="4"/>
  <c r="O306" i="4" s="1"/>
  <c r="P307" i="4"/>
  <c r="O307" i="4" s="1"/>
  <c r="P308" i="4"/>
  <c r="O308" i="4" s="1"/>
  <c r="P309" i="4"/>
  <c r="M309" i="4" s="1"/>
  <c r="O309" i="4" s="1"/>
  <c r="P310" i="4"/>
  <c r="O310" i="4" s="1"/>
  <c r="P311" i="4"/>
  <c r="O311" i="4" s="1"/>
  <c r="P312" i="4"/>
  <c r="P313" i="4"/>
  <c r="P314" i="4"/>
  <c r="P315" i="4"/>
  <c r="P316" i="4"/>
  <c r="P317" i="4"/>
  <c r="P318" i="4"/>
  <c r="M318" i="4" s="1"/>
  <c r="O318" i="4" s="1"/>
  <c r="P319" i="4"/>
  <c r="M319" i="4" s="1"/>
  <c r="O319" i="4" s="1"/>
  <c r="P320" i="4"/>
  <c r="O320" i="4" s="1"/>
  <c r="P321" i="4"/>
  <c r="M321" i="4" s="1"/>
  <c r="O321" i="4" s="1"/>
  <c r="P322" i="4"/>
  <c r="M322" i="4" s="1"/>
  <c r="O322" i="4" s="1"/>
  <c r="P323" i="4"/>
  <c r="O323" i="4" s="1"/>
  <c r="P324" i="4"/>
  <c r="P325" i="4"/>
  <c r="P326" i="4"/>
  <c r="P327" i="4"/>
  <c r="P328" i="4"/>
  <c r="M328" i="4" s="1"/>
  <c r="O328" i="4" s="1"/>
  <c r="P329" i="4"/>
  <c r="M329" i="4" s="1"/>
  <c r="O329" i="4" s="1"/>
  <c r="P330" i="4"/>
  <c r="M330" i="4" s="1"/>
  <c r="O330" i="4" s="1"/>
  <c r="P331" i="4"/>
  <c r="M331" i="4" s="1"/>
  <c r="O331" i="4" s="1"/>
  <c r="P332" i="4"/>
  <c r="P333" i="4"/>
  <c r="P334" i="4"/>
  <c r="P335" i="4"/>
  <c r="P336" i="4"/>
  <c r="P337" i="4"/>
  <c r="P338" i="4"/>
  <c r="P339" i="4"/>
  <c r="P340" i="4"/>
  <c r="O340" i="4" s="1"/>
  <c r="P341" i="4"/>
  <c r="O341" i="4" s="1"/>
  <c r="P342" i="4"/>
  <c r="O342" i="4" s="1"/>
  <c r="P343" i="4"/>
  <c r="M343" i="4" s="1"/>
  <c r="O343" i="4" s="1"/>
  <c r="P344" i="4"/>
  <c r="M344" i="4" s="1"/>
  <c r="O344" i="4" s="1"/>
  <c r="P345" i="4"/>
  <c r="P346" i="4"/>
  <c r="M346" i="4" s="1"/>
  <c r="O346" i="4" s="1"/>
  <c r="P347" i="4"/>
  <c r="M347" i="4" s="1"/>
  <c r="O347" i="4" s="1"/>
  <c r="P348" i="4"/>
  <c r="P349" i="4"/>
  <c r="M349" i="4" s="1"/>
  <c r="O349" i="4" s="1"/>
  <c r="P350" i="4"/>
  <c r="P351" i="4"/>
  <c r="P352" i="4"/>
  <c r="O352" i="4" s="1"/>
  <c r="P353" i="4"/>
  <c r="M353" i="4" s="1"/>
  <c r="O353" i="4" s="1"/>
  <c r="P354" i="4"/>
  <c r="O354" i="4" s="1"/>
  <c r="P355" i="4"/>
  <c r="P356" i="4"/>
  <c r="P357" i="4"/>
  <c r="M357" i="4" s="1"/>
  <c r="O357" i="4" s="1"/>
  <c r="P358" i="4"/>
  <c r="M358" i="4" s="1"/>
  <c r="O358" i="4" s="1"/>
  <c r="P359" i="4"/>
  <c r="M359" i="4" s="1"/>
  <c r="O359" i="4" s="1"/>
  <c r="P360" i="4"/>
  <c r="P361" i="4"/>
  <c r="O361" i="4" s="1"/>
  <c r="P362" i="4"/>
  <c r="P363" i="4"/>
  <c r="P364" i="4"/>
  <c r="O364" i="4" s="1"/>
  <c r="P365" i="4"/>
  <c r="M365" i="4" s="1"/>
  <c r="O365" i="4" s="1"/>
  <c r="P366" i="4"/>
  <c r="M366" i="4" s="1"/>
  <c r="O366" i="4" s="1"/>
  <c r="P367" i="4"/>
  <c r="M367" i="4" s="1"/>
  <c r="O367" i="4" s="1"/>
  <c r="P368" i="4"/>
  <c r="M368" i="4" s="1"/>
  <c r="O368" i="4" s="1"/>
  <c r="P369" i="4"/>
  <c r="M369" i="4" s="1"/>
  <c r="O369" i="4" s="1"/>
  <c r="P370" i="4"/>
  <c r="M370" i="4" s="1"/>
  <c r="O370" i="4" s="1"/>
  <c r="P371" i="4"/>
  <c r="M371" i="4" s="1"/>
  <c r="O371" i="4" s="1"/>
  <c r="P372" i="4"/>
  <c r="P373" i="4"/>
  <c r="M373" i="4" s="1"/>
  <c r="O373" i="4" s="1"/>
  <c r="P374" i="4"/>
  <c r="P375" i="4"/>
  <c r="P376" i="4"/>
  <c r="M376" i="4" s="1"/>
  <c r="O376" i="4" s="1"/>
  <c r="P377" i="4"/>
  <c r="P378" i="4"/>
  <c r="P379" i="4"/>
  <c r="P380" i="4"/>
  <c r="P381" i="4"/>
  <c r="P382" i="4"/>
  <c r="P383" i="4"/>
  <c r="P384" i="4"/>
  <c r="M384" i="4" s="1"/>
  <c r="O384" i="4" s="1"/>
  <c r="P385" i="4"/>
  <c r="O385" i="4" s="1"/>
  <c r="P386" i="4"/>
  <c r="P387" i="4"/>
  <c r="P388" i="4"/>
  <c r="P389" i="4"/>
  <c r="M389" i="4" s="1"/>
  <c r="O389" i="4" s="1"/>
  <c r="P390" i="4"/>
  <c r="M390" i="4" s="1"/>
  <c r="O390" i="4" s="1"/>
  <c r="P391" i="4"/>
  <c r="O391" i="4" s="1"/>
  <c r="P392" i="4"/>
  <c r="M392" i="4" s="1"/>
  <c r="O392" i="4" s="1"/>
  <c r="P393" i="4"/>
  <c r="M393" i="4" s="1"/>
  <c r="O393" i="4" s="1"/>
  <c r="P394" i="4"/>
  <c r="N394" i="4" s="1"/>
  <c r="P395" i="4"/>
  <c r="O395" i="4" s="1"/>
  <c r="P396" i="4"/>
  <c r="P397" i="4"/>
  <c r="M397" i="4" s="1"/>
  <c r="O397" i="4" s="1"/>
  <c r="P398" i="4"/>
  <c r="P399" i="4"/>
  <c r="P400" i="4"/>
  <c r="M400" i="4" s="1"/>
  <c r="O400" i="4" s="1"/>
  <c r="P401" i="4"/>
  <c r="M401" i="4" s="1"/>
  <c r="O401" i="4" s="1"/>
  <c r="P402" i="4"/>
  <c r="M402" i="4" s="1"/>
  <c r="O402" i="4" s="1"/>
  <c r="P403" i="4"/>
  <c r="M403" i="4" s="1"/>
  <c r="O403" i="4" s="1"/>
  <c r="P404" i="4"/>
  <c r="M404" i="4" s="1"/>
  <c r="O404" i="4" s="1"/>
  <c r="P405" i="4"/>
  <c r="M405" i="4" s="1"/>
  <c r="O405" i="4" s="1"/>
  <c r="P406" i="4"/>
  <c r="N406" i="4" s="1"/>
  <c r="P407" i="4"/>
  <c r="M407" i="4" s="1"/>
  <c r="O407" i="4" s="1"/>
  <c r="P408" i="4"/>
  <c r="M408" i="4" s="1"/>
  <c r="O408" i="4" s="1"/>
  <c r="P409" i="4"/>
  <c r="O409" i="4" s="1"/>
  <c r="P410" i="4"/>
  <c r="P411" i="4"/>
  <c r="P412" i="4"/>
  <c r="M412" i="4" s="1"/>
  <c r="O412" i="4" s="1"/>
  <c r="P413" i="4"/>
  <c r="O413" i="4" s="1"/>
  <c r="P414" i="4"/>
  <c r="M414" i="4" s="1"/>
  <c r="O414" i="4" s="1"/>
  <c r="P415" i="4"/>
  <c r="M415" i="4" s="1"/>
  <c r="O415" i="4" s="1"/>
  <c r="P416" i="4"/>
  <c r="M416" i="4" s="1"/>
  <c r="O416" i="4" s="1"/>
  <c r="P417" i="4"/>
  <c r="M417" i="4" s="1"/>
  <c r="O417" i="4" s="1"/>
  <c r="P418" i="4"/>
  <c r="M418" i="4" s="1"/>
  <c r="O418" i="4" s="1"/>
  <c r="P419" i="4"/>
  <c r="M419" i="4" s="1"/>
  <c r="O419" i="4" s="1"/>
  <c r="P420" i="4"/>
  <c r="M420" i="4" s="1"/>
  <c r="O420" i="4" s="1"/>
  <c r="P421" i="4"/>
  <c r="O421" i="4" s="1"/>
  <c r="P422" i="4"/>
  <c r="P423" i="4"/>
  <c r="P424" i="4"/>
  <c r="M424" i="4" s="1"/>
  <c r="O424" i="4" s="1"/>
  <c r="P425" i="4"/>
  <c r="M425" i="4" s="1"/>
  <c r="O425" i="4" s="1"/>
  <c r="P426" i="4"/>
  <c r="M426" i="4" s="1"/>
  <c r="O426" i="4" s="1"/>
  <c r="P427" i="4"/>
  <c r="M427" i="4" s="1"/>
  <c r="O427" i="4" s="1"/>
  <c r="P428" i="4"/>
  <c r="M428" i="4" s="1"/>
  <c r="O428" i="4" s="1"/>
  <c r="P429" i="4"/>
  <c r="O429" i="4" s="1"/>
  <c r="P430" i="4"/>
  <c r="M430" i="4" s="1"/>
  <c r="O430" i="4" s="1"/>
  <c r="P431" i="4"/>
  <c r="M431" i="4" s="1"/>
  <c r="O431" i="4" s="1"/>
  <c r="P432" i="4"/>
  <c r="P433" i="4"/>
  <c r="M433" i="4" s="1"/>
  <c r="O433" i="4" s="1"/>
  <c r="P434" i="4"/>
  <c r="P435" i="4"/>
  <c r="P436" i="4"/>
  <c r="M436" i="4" s="1"/>
  <c r="O436" i="4" s="1"/>
  <c r="P437" i="4"/>
  <c r="M437" i="4" s="1"/>
  <c r="O437" i="4" s="1"/>
  <c r="P438" i="4"/>
  <c r="M438" i="4" s="1"/>
  <c r="O438" i="4" s="1"/>
  <c r="P439" i="4"/>
  <c r="M439" i="4" s="1"/>
  <c r="O439" i="4" s="1"/>
  <c r="P440" i="4"/>
  <c r="M440" i="4" s="1"/>
  <c r="O440" i="4" s="1"/>
  <c r="P441" i="4"/>
  <c r="P442" i="4"/>
  <c r="P443" i="4"/>
  <c r="M443" i="4" s="1"/>
  <c r="O443" i="4" s="1"/>
  <c r="P444" i="4"/>
  <c r="P445" i="4"/>
  <c r="O445" i="4" s="1"/>
  <c r="P446" i="4"/>
  <c r="P447" i="4"/>
  <c r="P448" i="4"/>
  <c r="O448" i="4" s="1"/>
  <c r="P449" i="4"/>
  <c r="M449" i="4" s="1"/>
  <c r="O449" i="4" s="1"/>
  <c r="P450" i="4"/>
  <c r="P451" i="4"/>
  <c r="M451" i="4" s="1"/>
  <c r="O451" i="4" s="1"/>
  <c r="P452" i="4"/>
  <c r="P453" i="4"/>
  <c r="M453" i="4" s="1"/>
  <c r="O453" i="4" s="1"/>
  <c r="P454" i="4"/>
  <c r="M454" i="4" s="1"/>
  <c r="O454" i="4" s="1"/>
  <c r="P455" i="4"/>
  <c r="M455" i="4" s="1"/>
  <c r="O455" i="4" s="1"/>
  <c r="P456" i="4"/>
  <c r="M456" i="4" s="1"/>
  <c r="O456" i="4" s="1"/>
  <c r="P457" i="4"/>
  <c r="O457" i="4" s="1"/>
  <c r="P458" i="4"/>
  <c r="P459" i="4"/>
  <c r="P460" i="4"/>
  <c r="O460" i="4" s="1"/>
  <c r="P461" i="4"/>
  <c r="M461" i="4" s="1"/>
  <c r="O461" i="4" s="1"/>
  <c r="P462" i="4"/>
  <c r="M462" i="4" s="1"/>
  <c r="O462" i="4" s="1"/>
  <c r="P463" i="4"/>
  <c r="M463" i="4" s="1"/>
  <c r="O463" i="4" s="1"/>
  <c r="P464" i="4"/>
  <c r="O464" i="4" s="1"/>
  <c r="P465" i="4"/>
  <c r="M465" i="4" s="1"/>
  <c r="O465" i="4" s="1"/>
  <c r="P466" i="4"/>
  <c r="M466" i="4" s="1"/>
  <c r="O466" i="4" s="1"/>
  <c r="P467" i="4"/>
  <c r="M467" i="4" s="1"/>
  <c r="O467" i="4" s="1"/>
  <c r="P468" i="4"/>
  <c r="P469" i="4"/>
  <c r="M469" i="4" s="1"/>
  <c r="O469" i="4" s="1"/>
  <c r="P470" i="4"/>
  <c r="P471" i="4"/>
  <c r="P472" i="4"/>
  <c r="M472" i="4" s="1"/>
  <c r="O472" i="4" s="1"/>
  <c r="P473" i="4"/>
  <c r="P474" i="4"/>
  <c r="M474" i="4" s="1"/>
  <c r="O474" i="4" s="1"/>
  <c r="P475" i="4"/>
  <c r="M475" i="4" s="1"/>
  <c r="O475" i="4" s="1"/>
  <c r="P476" i="4"/>
  <c r="M476" i="4" s="1"/>
  <c r="O476" i="4" s="1"/>
  <c r="P477" i="4"/>
  <c r="O477" i="4" s="1"/>
  <c r="P478" i="4"/>
  <c r="M478" i="4" s="1"/>
  <c r="O478" i="4" s="1"/>
  <c r="P479" i="4"/>
  <c r="O479" i="4" s="1"/>
  <c r="P480" i="4"/>
  <c r="P481" i="4"/>
  <c r="P482" i="4"/>
  <c r="P483" i="4"/>
  <c r="P484" i="4"/>
  <c r="M484" i="4" s="1"/>
  <c r="O484" i="4" s="1"/>
  <c r="P485" i="4"/>
  <c r="M485" i="4" s="1"/>
  <c r="O485" i="4" s="1"/>
  <c r="P486" i="4"/>
  <c r="M486" i="4" s="1"/>
  <c r="O486" i="4" s="1"/>
  <c r="P487" i="4"/>
  <c r="M487" i="4" s="1"/>
  <c r="O487" i="4" s="1"/>
  <c r="P488" i="4"/>
  <c r="O488" i="4" s="1"/>
  <c r="P489" i="4"/>
  <c r="M489" i="4" s="1"/>
  <c r="O489" i="4" s="1"/>
  <c r="P490" i="4"/>
  <c r="M490" i="4" s="1"/>
  <c r="O490" i="4" s="1"/>
  <c r="P491" i="4"/>
  <c r="P492" i="4"/>
  <c r="M492" i="4" s="1"/>
  <c r="P493" i="4"/>
  <c r="M493" i="4" s="1"/>
  <c r="O493" i="4" s="1"/>
  <c r="P494" i="4"/>
  <c r="P495" i="4"/>
  <c r="P496" i="4"/>
  <c r="M496" i="4" s="1"/>
  <c r="O496" i="4" s="1"/>
  <c r="P497" i="4"/>
  <c r="M497" i="4" s="1"/>
  <c r="O497" i="4" s="1"/>
  <c r="P498" i="4"/>
  <c r="M498" i="4" s="1"/>
  <c r="O498" i="4" s="1"/>
  <c r="P499" i="4"/>
  <c r="M499" i="4" s="1"/>
  <c r="O499" i="4" s="1"/>
  <c r="P500" i="4"/>
  <c r="M500" i="4" s="1"/>
  <c r="O500" i="4" s="1"/>
  <c r="P501" i="4"/>
  <c r="O501" i="4" s="1"/>
  <c r="P502" i="4"/>
  <c r="M502" i="4" s="1"/>
  <c r="O502" i="4" s="1"/>
  <c r="P503" i="4"/>
  <c r="M503" i="4" s="1"/>
  <c r="O503" i="4" s="1"/>
  <c r="P504" i="4"/>
  <c r="P505" i="4"/>
  <c r="M505" i="4" s="1"/>
  <c r="O505" i="4" s="1"/>
  <c r="P506" i="4"/>
  <c r="P507" i="4"/>
  <c r="P508" i="4"/>
  <c r="O508" i="4" s="1"/>
  <c r="P509" i="4"/>
  <c r="M509" i="4" s="1"/>
  <c r="O509" i="4" s="1"/>
  <c r="P510" i="4"/>
  <c r="O510" i="4" s="1"/>
  <c r="P511" i="4"/>
  <c r="P512" i="4"/>
  <c r="P513" i="4"/>
  <c r="M513" i="4" s="1"/>
  <c r="O513" i="4" s="1"/>
  <c r="P514" i="4"/>
  <c r="M514" i="4" s="1"/>
  <c r="O514" i="4" s="1"/>
  <c r="P515" i="4"/>
  <c r="M515" i="4" s="1"/>
  <c r="O515" i="4" s="1"/>
  <c r="P516" i="4"/>
  <c r="P517" i="4"/>
  <c r="M517" i="4" s="1"/>
  <c r="O517" i="4" s="1"/>
  <c r="P518" i="4"/>
  <c r="P519" i="4"/>
  <c r="P520" i="4"/>
  <c r="O520" i="4" s="1"/>
  <c r="P521" i="4"/>
  <c r="O521" i="4" s="1"/>
  <c r="P522" i="4"/>
  <c r="P523" i="4"/>
  <c r="O523" i="4" s="1"/>
  <c r="P524" i="4"/>
  <c r="O524" i="4" s="1"/>
  <c r="P525" i="4"/>
  <c r="O525" i="4" s="1"/>
  <c r="P526" i="4"/>
  <c r="M526" i="4" s="1"/>
  <c r="O526" i="4" s="1"/>
  <c r="P527" i="4"/>
  <c r="O527" i="4" s="1"/>
  <c r="P528" i="4"/>
  <c r="O528" i="4" s="1"/>
  <c r="P529" i="4"/>
  <c r="O529" i="4" s="1"/>
  <c r="P530" i="4"/>
  <c r="P531" i="4"/>
  <c r="P532" i="4"/>
  <c r="M532" i="4" s="1"/>
  <c r="O532" i="4" s="1"/>
  <c r="P533" i="4"/>
  <c r="P534" i="4"/>
  <c r="P535" i="4"/>
  <c r="M535" i="4" s="1"/>
  <c r="O535" i="4" s="1"/>
  <c r="P536" i="4"/>
  <c r="M536" i="4" s="1"/>
  <c r="O536" i="4" s="1"/>
  <c r="P537" i="4"/>
  <c r="O537" i="4" s="1"/>
  <c r="P538" i="4"/>
  <c r="M538" i="4" s="1"/>
  <c r="O538" i="4" s="1"/>
  <c r="P539" i="4"/>
  <c r="M539" i="4" s="1"/>
  <c r="O539" i="4" s="1"/>
  <c r="P540" i="4"/>
  <c r="P541" i="4"/>
  <c r="M541" i="4" s="1"/>
  <c r="O541" i="4" s="1"/>
  <c r="P542" i="4"/>
  <c r="P543" i="4"/>
  <c r="P544" i="4"/>
  <c r="P545" i="4"/>
  <c r="M545" i="4" s="1"/>
  <c r="O545" i="4" s="1"/>
  <c r="P546" i="4"/>
  <c r="M546" i="4" s="1"/>
  <c r="O546" i="4" s="1"/>
  <c r="P547" i="4"/>
  <c r="M547" i="4" s="1"/>
  <c r="O547" i="4" s="1"/>
  <c r="P548" i="4"/>
  <c r="M548" i="4" s="1"/>
  <c r="O548" i="4" s="1"/>
  <c r="P549" i="4"/>
  <c r="M549" i="4" s="1"/>
  <c r="N549" i="4" s="1"/>
  <c r="P550" i="4"/>
  <c r="O550" i="4" s="1"/>
  <c r="P551" i="4"/>
  <c r="P552" i="4"/>
  <c r="M552" i="4" s="1"/>
  <c r="O552" i="4" s="1"/>
  <c r="P553" i="4"/>
  <c r="M553" i="4" s="1"/>
  <c r="O553" i="4" s="1"/>
  <c r="P554" i="4"/>
  <c r="P555" i="4"/>
  <c r="P556" i="4"/>
  <c r="M556" i="4" s="1"/>
  <c r="O556" i="4" s="1"/>
  <c r="P557" i="4"/>
  <c r="M557" i="4" s="1"/>
  <c r="O557" i="4" s="1"/>
  <c r="P558" i="4"/>
  <c r="M558" i="4" s="1"/>
  <c r="O558" i="4" s="1"/>
  <c r="P559" i="4"/>
  <c r="M559" i="4" s="1"/>
  <c r="O559" i="4" s="1"/>
  <c r="P560" i="4"/>
  <c r="M560" i="4" s="1"/>
  <c r="O560" i="4" s="1"/>
  <c r="P561" i="4"/>
  <c r="M561" i="4" s="1"/>
  <c r="O561" i="4" s="1"/>
  <c r="P562" i="4"/>
  <c r="O562" i="4" s="1"/>
  <c r="P563" i="4"/>
  <c r="M563" i="4" s="1"/>
  <c r="O563" i="4" s="1"/>
  <c r="P564" i="4"/>
  <c r="P565" i="4"/>
  <c r="P566" i="4"/>
  <c r="P567" i="4"/>
  <c r="P568" i="4"/>
  <c r="O568" i="4" s="1"/>
  <c r="P569" i="4"/>
  <c r="M569" i="4" s="1"/>
  <c r="O569" i="4" s="1"/>
  <c r="P570" i="4"/>
  <c r="M570" i="4" s="1"/>
  <c r="O570" i="4" s="1"/>
  <c r="P571" i="4"/>
  <c r="O571" i="4" s="1"/>
  <c r="P572" i="4"/>
  <c r="M572" i="4" s="1"/>
  <c r="O572" i="4" s="1"/>
  <c r="P573" i="4"/>
  <c r="P574" i="4"/>
  <c r="M574" i="4" s="1"/>
  <c r="O574" i="4" s="1"/>
  <c r="P575" i="4"/>
  <c r="P576" i="4"/>
  <c r="P577" i="4"/>
  <c r="M577" i="4" s="1"/>
  <c r="O577" i="4" s="1"/>
  <c r="P578" i="4"/>
  <c r="P579" i="4"/>
  <c r="P580" i="4"/>
  <c r="O580" i="4" s="1"/>
  <c r="P581" i="4"/>
  <c r="M581" i="4" s="1"/>
  <c r="O581" i="4" s="1"/>
  <c r="P582" i="4"/>
  <c r="M582" i="4" s="1"/>
  <c r="O582" i="4" s="1"/>
  <c r="P583" i="4"/>
  <c r="O583" i="4" s="1"/>
  <c r="P584" i="4"/>
  <c r="M584" i="4" s="1"/>
  <c r="O584" i="4" s="1"/>
  <c r="P585" i="4"/>
  <c r="M585" i="4" s="1"/>
  <c r="O585" i="4" s="1"/>
  <c r="P586" i="4"/>
  <c r="M586" i="4" s="1"/>
  <c r="O586" i="4" s="1"/>
  <c r="P587" i="4"/>
  <c r="M587" i="4" s="1"/>
  <c r="O587" i="4" s="1"/>
  <c r="P588" i="4"/>
  <c r="P589" i="4"/>
  <c r="M589" i="4" s="1"/>
  <c r="O589" i="4" s="1"/>
  <c r="P590" i="4"/>
  <c r="P591" i="4"/>
  <c r="P592" i="4"/>
  <c r="M592" i="4" s="1"/>
  <c r="O592" i="4" s="1"/>
  <c r="P593" i="4"/>
  <c r="M593" i="4" s="1"/>
  <c r="O593" i="4" s="1"/>
  <c r="P594" i="4"/>
  <c r="O594" i="4" s="1"/>
  <c r="P595" i="4"/>
  <c r="M595" i="4" s="1"/>
  <c r="O595" i="4" s="1"/>
  <c r="P596" i="4"/>
  <c r="O596" i="4" s="1"/>
  <c r="P597" i="4"/>
  <c r="M597" i="4" s="1"/>
  <c r="O597" i="4" s="1"/>
  <c r="P598" i="4"/>
  <c r="M598" i="4" s="1"/>
  <c r="O598" i="4" s="1"/>
  <c r="P599" i="4"/>
  <c r="O599" i="4" s="1"/>
  <c r="P600" i="4"/>
  <c r="M600" i="4" s="1"/>
  <c r="O600" i="4" s="1"/>
  <c r="P601" i="4"/>
  <c r="M601" i="4" s="1"/>
  <c r="O601" i="4" s="1"/>
  <c r="P602" i="4"/>
  <c r="P603" i="4"/>
  <c r="P604" i="4"/>
  <c r="M604" i="4" s="1"/>
  <c r="O604" i="4" s="1"/>
  <c r="P605" i="4"/>
  <c r="M605" i="4" s="1"/>
  <c r="O605" i="4" s="1"/>
  <c r="P606" i="4"/>
  <c r="M606" i="4" s="1"/>
  <c r="O606" i="4" s="1"/>
  <c r="P607" i="4"/>
  <c r="M607" i="4" s="1"/>
  <c r="O607" i="4" s="1"/>
  <c r="P608" i="4"/>
  <c r="M608" i="4" s="1"/>
  <c r="O608" i="4" s="1"/>
  <c r="P609" i="4"/>
  <c r="O609" i="4" s="1"/>
  <c r="P610" i="4"/>
  <c r="M610" i="4" s="1"/>
  <c r="O610" i="4" s="1"/>
  <c r="P611" i="4"/>
  <c r="M611" i="4" s="1"/>
  <c r="O611" i="4" s="1"/>
  <c r="P612" i="4"/>
  <c r="P613" i="4"/>
  <c r="M613" i="4" s="1"/>
  <c r="O613" i="4" s="1"/>
  <c r="P614" i="4"/>
  <c r="P615" i="4"/>
  <c r="P616" i="4"/>
  <c r="M616" i="4" s="1"/>
  <c r="O616" i="4" s="1"/>
  <c r="P617" i="4"/>
  <c r="O617" i="4" s="1"/>
  <c r="P618" i="4"/>
  <c r="M618" i="4" s="1"/>
  <c r="O618" i="4" s="1"/>
  <c r="P619" i="4"/>
  <c r="M619" i="4" s="1"/>
  <c r="O619" i="4" s="1"/>
  <c r="P620" i="4"/>
  <c r="M620" i="4" s="1"/>
  <c r="O620" i="4" s="1"/>
  <c r="P621" i="4"/>
  <c r="O621" i="4" s="1"/>
  <c r="P622" i="4"/>
  <c r="M622" i="4" s="1"/>
  <c r="O622" i="4" s="1"/>
  <c r="P623" i="4"/>
  <c r="M623" i="4" s="1"/>
  <c r="O623" i="4" s="1"/>
  <c r="P624" i="4"/>
  <c r="M624" i="4" s="1"/>
  <c r="O624" i="4" s="1"/>
  <c r="P625" i="4"/>
  <c r="M625" i="4" s="1"/>
  <c r="O625" i="4" s="1"/>
  <c r="P626" i="4"/>
  <c r="P627" i="4"/>
  <c r="P628" i="4"/>
  <c r="M628" i="4" s="1"/>
  <c r="O628" i="4" s="1"/>
  <c r="P629" i="4"/>
  <c r="O629" i="4" s="1"/>
  <c r="P630" i="4"/>
  <c r="O630" i="4" s="1"/>
  <c r="P631" i="4"/>
  <c r="O631" i="4" s="1"/>
  <c r="P632" i="4"/>
  <c r="O632" i="4" s="1"/>
  <c r="P633" i="4"/>
  <c r="O633" i="4" s="1"/>
  <c r="P634" i="4"/>
  <c r="O634" i="4" s="1"/>
  <c r="P635" i="4"/>
  <c r="P636" i="4"/>
  <c r="M636" i="4" s="1"/>
  <c r="P637" i="4"/>
  <c r="O637" i="4" s="1"/>
  <c r="P638" i="4"/>
  <c r="P639" i="4"/>
  <c r="P640" i="4"/>
  <c r="P641" i="4"/>
  <c r="M641" i="4" s="1"/>
  <c r="O641" i="4" s="1"/>
  <c r="P642" i="4"/>
  <c r="O642" i="4" s="1"/>
  <c r="P643" i="4"/>
  <c r="M643" i="4" s="1"/>
  <c r="O643" i="4" s="1"/>
  <c r="P644" i="4"/>
  <c r="M644" i="4" s="1"/>
  <c r="O644" i="4" s="1"/>
  <c r="P645" i="4"/>
  <c r="P646" i="4"/>
  <c r="M646" i="4" s="1"/>
  <c r="O646" i="4" s="1"/>
  <c r="P647" i="4"/>
  <c r="M647" i="4" s="1"/>
  <c r="O647" i="4" s="1"/>
  <c r="P648" i="4"/>
  <c r="P649" i="4"/>
  <c r="N649" i="4" s="1"/>
  <c r="P650" i="4"/>
  <c r="P651" i="4"/>
  <c r="P652" i="4"/>
  <c r="P653" i="4"/>
  <c r="P654" i="4"/>
  <c r="M654" i="4" s="1"/>
  <c r="O654" i="4" s="1"/>
  <c r="P655" i="4"/>
  <c r="M655" i="4" s="1"/>
  <c r="O655" i="4" s="1"/>
  <c r="P656" i="4"/>
  <c r="M656" i="4" s="1"/>
  <c r="O656" i="4" s="1"/>
  <c r="P657" i="4"/>
  <c r="M657" i="4" s="1"/>
  <c r="O657" i="4" s="1"/>
  <c r="P658" i="4"/>
  <c r="M658" i="4" s="1"/>
  <c r="O658" i="4" s="1"/>
  <c r="P659" i="4"/>
  <c r="M659" i="4" s="1"/>
  <c r="O659" i="4" s="1"/>
  <c r="P660" i="4"/>
  <c r="P661" i="4"/>
  <c r="M661" i="4" s="1"/>
  <c r="O661" i="4" s="1"/>
  <c r="P662" i="4"/>
  <c r="P663" i="4"/>
  <c r="P664" i="4"/>
  <c r="M664" i="4" s="1"/>
  <c r="O664" i="4" s="1"/>
  <c r="P665" i="4"/>
  <c r="O665" i="4" s="1"/>
  <c r="P666" i="4"/>
  <c r="M666" i="4" s="1"/>
  <c r="P667" i="4"/>
  <c r="M667" i="4" s="1"/>
  <c r="O667" i="4" s="1"/>
  <c r="P668" i="4"/>
  <c r="O668" i="4" s="1"/>
  <c r="P669" i="4"/>
  <c r="M669" i="4" s="1"/>
  <c r="O669" i="4" s="1"/>
  <c r="P670" i="4"/>
  <c r="M670" i="4" s="1"/>
  <c r="O670" i="4" s="1"/>
  <c r="P671" i="4"/>
  <c r="M671" i="4" s="1"/>
  <c r="O671" i="4" s="1"/>
  <c r="P672" i="4"/>
  <c r="M672" i="4" s="1"/>
  <c r="O672" i="4" s="1"/>
  <c r="P673" i="4"/>
  <c r="M673" i="4" s="1"/>
  <c r="O673" i="4" s="1"/>
  <c r="P674" i="4"/>
  <c r="P675" i="4"/>
  <c r="P676" i="4"/>
  <c r="M676" i="4" s="1"/>
  <c r="O676" i="4" s="1"/>
  <c r="P677" i="4"/>
  <c r="M677" i="4" s="1"/>
  <c r="O677" i="4" s="1"/>
  <c r="P678" i="4"/>
  <c r="M678" i="4" s="1"/>
  <c r="O678" i="4" s="1"/>
  <c r="P679" i="4"/>
  <c r="O679" i="4" s="1"/>
  <c r="P680" i="4"/>
  <c r="M680" i="4" s="1"/>
  <c r="O680" i="4" s="1"/>
  <c r="P681" i="4"/>
  <c r="M681" i="4" s="1"/>
  <c r="O681" i="4" s="1"/>
  <c r="P682" i="4"/>
  <c r="M682" i="4" s="1"/>
  <c r="O682" i="4" s="1"/>
  <c r="P683" i="4"/>
  <c r="M683" i="4" s="1"/>
  <c r="O683" i="4" s="1"/>
  <c r="P684" i="4"/>
  <c r="P685" i="4"/>
  <c r="M685" i="4" s="1"/>
  <c r="O685" i="4" s="1"/>
  <c r="P686" i="4"/>
  <c r="P687" i="4"/>
  <c r="P688" i="4"/>
  <c r="M688" i="4" s="1"/>
  <c r="O688" i="4" s="1"/>
  <c r="P689" i="4"/>
  <c r="M689" i="4" s="1"/>
  <c r="O689" i="4" s="1"/>
  <c r="P690" i="4"/>
  <c r="P691" i="4"/>
  <c r="M691" i="4" s="1"/>
  <c r="O691" i="4" s="1"/>
  <c r="P692" i="4"/>
  <c r="M692" i="4" s="1"/>
  <c r="O692" i="4" s="1"/>
  <c r="P693" i="4"/>
  <c r="M693" i="4" s="1"/>
  <c r="P694" i="4"/>
  <c r="M694" i="4" s="1"/>
  <c r="O694" i="4" s="1"/>
  <c r="P695" i="4"/>
  <c r="M695" i="4" s="1"/>
  <c r="O695" i="4" s="1"/>
  <c r="P696" i="4"/>
  <c r="M696" i="4" s="1"/>
  <c r="O696" i="4" s="1"/>
  <c r="P697" i="4"/>
  <c r="M697" i="4" s="1"/>
  <c r="O697" i="4" s="1"/>
  <c r="P698" i="4"/>
  <c r="P699" i="4"/>
  <c r="P700" i="4"/>
  <c r="M700" i="4" s="1"/>
  <c r="O700" i="4" s="1"/>
  <c r="P701" i="4"/>
  <c r="M701" i="4" s="1"/>
  <c r="O701" i="4" s="1"/>
  <c r="P702" i="4"/>
  <c r="M702" i="4" s="1"/>
  <c r="O702" i="4" s="1"/>
  <c r="P703" i="4"/>
  <c r="O703" i="4" s="1"/>
  <c r="P704" i="4"/>
  <c r="M704" i="4" s="1"/>
  <c r="O704" i="4" s="1"/>
  <c r="P705" i="4"/>
  <c r="O705" i="4" s="1"/>
  <c r="P706" i="4"/>
  <c r="P707" i="4"/>
  <c r="P708" i="4"/>
  <c r="M708" i="4" s="1"/>
  <c r="O708" i="4" s="1"/>
  <c r="P709" i="4"/>
  <c r="M709" i="4" s="1"/>
  <c r="O709" i="4" s="1"/>
  <c r="P710" i="4"/>
  <c r="P711" i="4"/>
  <c r="P712" i="4"/>
  <c r="M712" i="4" s="1"/>
  <c r="O712" i="4" s="1"/>
  <c r="P713" i="4"/>
  <c r="M713" i="4" s="1"/>
  <c r="O713" i="4" s="1"/>
  <c r="P714" i="4"/>
  <c r="P715" i="4"/>
  <c r="P716" i="4"/>
  <c r="P717" i="4"/>
  <c r="M717" i="4" s="1"/>
  <c r="P718" i="4"/>
  <c r="M718" i="4" s="1"/>
  <c r="P719" i="4"/>
  <c r="M719" i="4" s="1"/>
  <c r="P720" i="4"/>
  <c r="P721" i="4"/>
  <c r="M721" i="4" s="1"/>
  <c r="P722" i="4"/>
  <c r="P723" i="4"/>
  <c r="P724" i="4"/>
  <c r="M724" i="4" s="1"/>
  <c r="P725" i="4"/>
  <c r="M725" i="4" s="1"/>
  <c r="P726" i="4"/>
  <c r="P727" i="4"/>
  <c r="P728" i="4"/>
  <c r="M728" i="4" s="1"/>
  <c r="O728" i="4" s="1"/>
  <c r="P729" i="4"/>
  <c r="M729" i="4" s="1"/>
  <c r="O729" i="4" s="1"/>
  <c r="P730" i="4"/>
  <c r="M730" i="4" s="1"/>
  <c r="O730" i="4" s="1"/>
  <c r="P731" i="4"/>
  <c r="O731" i="4" s="1"/>
  <c r="P732" i="4"/>
  <c r="P733" i="4"/>
  <c r="O733" i="4" s="1"/>
  <c r="P734" i="4"/>
  <c r="P735" i="4"/>
  <c r="P736" i="4"/>
  <c r="M736" i="4" s="1"/>
  <c r="O736" i="4" s="1"/>
  <c r="P737" i="4"/>
  <c r="M737" i="4" s="1"/>
  <c r="O737" i="4" s="1"/>
  <c r="P738" i="4"/>
  <c r="M738" i="4" s="1"/>
  <c r="O738" i="4" s="1"/>
  <c r="P739" i="4"/>
  <c r="M739" i="4" s="1"/>
  <c r="O739" i="4" s="1"/>
  <c r="P740" i="4"/>
  <c r="M740" i="4" s="1"/>
  <c r="O740" i="4" s="1"/>
  <c r="P741" i="4"/>
  <c r="M741" i="4" s="1"/>
  <c r="O741" i="4" s="1"/>
  <c r="P742" i="4"/>
  <c r="M742" i="4" s="1"/>
  <c r="O742" i="4" s="1"/>
  <c r="P743" i="4"/>
  <c r="M743" i="4" s="1"/>
  <c r="O743" i="4" s="1"/>
  <c r="P744" i="4"/>
  <c r="M744" i="4" s="1"/>
  <c r="O744" i="4" s="1"/>
  <c r="P745" i="4"/>
  <c r="P746" i="4"/>
  <c r="P747" i="4"/>
  <c r="P748" i="4"/>
  <c r="M748" i="4" s="1"/>
  <c r="O748" i="4" s="1"/>
  <c r="P749" i="4"/>
  <c r="M749" i="4" s="1"/>
  <c r="O749" i="4" s="1"/>
  <c r="P750" i="4"/>
  <c r="M750" i="4" s="1"/>
  <c r="O750" i="4" s="1"/>
  <c r="P751" i="4"/>
  <c r="M751" i="4" s="1"/>
  <c r="O751" i="4" s="1"/>
  <c r="P752" i="4"/>
  <c r="M752" i="4" s="1"/>
  <c r="O752" i="4" s="1"/>
  <c r="P753" i="4"/>
  <c r="M753" i="4" s="1"/>
  <c r="O753" i="4" s="1"/>
  <c r="P754" i="4"/>
  <c r="M754" i="4" s="1"/>
  <c r="O754" i="4" s="1"/>
  <c r="P755" i="4"/>
  <c r="M755" i="4" s="1"/>
  <c r="O755" i="4" s="1"/>
  <c r="P756" i="4"/>
  <c r="P757" i="4"/>
  <c r="P758" i="4"/>
  <c r="P759" i="4"/>
  <c r="P760" i="4"/>
  <c r="M760" i="4" s="1"/>
  <c r="O760" i="4" s="1"/>
  <c r="P761" i="4"/>
  <c r="M761" i="4" s="1"/>
  <c r="P762" i="4"/>
  <c r="P763" i="4"/>
  <c r="P764" i="4"/>
  <c r="M764" i="4" s="1"/>
  <c r="P765" i="4"/>
  <c r="M765" i="4" s="1"/>
  <c r="P766" i="4"/>
  <c r="M766" i="4" s="1"/>
  <c r="P767" i="4"/>
  <c r="P768" i="4"/>
  <c r="P769" i="4"/>
  <c r="P770" i="4"/>
  <c r="P771" i="4"/>
  <c r="P772" i="4"/>
  <c r="M772" i="4" s="1"/>
  <c r="P773" i="4"/>
  <c r="M773" i="4" s="1"/>
  <c r="P774" i="4"/>
  <c r="M774" i="4" s="1"/>
  <c r="P775" i="4"/>
  <c r="M775" i="4" s="1"/>
  <c r="P776" i="4"/>
  <c r="M776" i="4" s="1"/>
  <c r="P777" i="4"/>
  <c r="M777" i="4" s="1"/>
  <c r="P778" i="4"/>
  <c r="M778" i="4" s="1"/>
  <c r="P779" i="4"/>
  <c r="P780" i="4"/>
  <c r="P781" i="4"/>
  <c r="P782" i="4"/>
  <c r="P783" i="4"/>
  <c r="P784" i="4"/>
  <c r="M784" i="4" s="1"/>
  <c r="P785" i="4"/>
  <c r="P786" i="4"/>
  <c r="M786" i="4" s="1"/>
  <c r="O786" i="4" s="1"/>
  <c r="P787" i="4"/>
  <c r="M787" i="4" s="1"/>
  <c r="O787" i="4" s="1"/>
  <c r="P788" i="4"/>
  <c r="M788" i="4" s="1"/>
  <c r="O788" i="4" s="1"/>
  <c r="P789" i="4"/>
  <c r="P790" i="4"/>
  <c r="P791" i="4"/>
  <c r="M791" i="4" s="1"/>
  <c r="O791" i="4" s="1"/>
  <c r="P792" i="4"/>
  <c r="P793" i="4"/>
  <c r="P794" i="4"/>
  <c r="P795" i="4"/>
  <c r="P796" i="4"/>
  <c r="O796" i="4" s="1"/>
  <c r="P797" i="4"/>
  <c r="P798" i="4"/>
  <c r="P799" i="4"/>
  <c r="O799" i="4" s="1"/>
  <c r="P800" i="4"/>
  <c r="O800" i="4" s="1"/>
  <c r="P801" i="4"/>
  <c r="O801" i="4" s="1"/>
  <c r="P802" i="4"/>
  <c r="O802" i="4" s="1"/>
  <c r="P803" i="4"/>
  <c r="M803" i="4" s="1"/>
  <c r="O803" i="4" s="1"/>
  <c r="P804" i="4"/>
  <c r="P805" i="4"/>
  <c r="O805" i="4" s="1"/>
  <c r="P806" i="4"/>
  <c r="P807" i="4"/>
  <c r="P808" i="4"/>
  <c r="P809" i="4"/>
  <c r="M809" i="4" s="1"/>
  <c r="O809" i="4" s="1"/>
  <c r="P810" i="4"/>
  <c r="O810" i="4" s="1"/>
  <c r="P811" i="4"/>
  <c r="M811" i="4" s="1"/>
  <c r="O811" i="4" s="1"/>
  <c r="P812" i="4"/>
  <c r="O812" i="4" s="1"/>
  <c r="P813" i="4"/>
  <c r="M813" i="4" s="1"/>
  <c r="O813" i="4" s="1"/>
  <c r="P814" i="4"/>
  <c r="O814" i="4" s="1"/>
  <c r="P815" i="4"/>
  <c r="M815" i="4" s="1"/>
  <c r="O815" i="4" s="1"/>
  <c r="P816" i="4"/>
  <c r="P817" i="4"/>
  <c r="M817" i="4" s="1"/>
  <c r="O817" i="4" s="1"/>
  <c r="P818" i="4"/>
  <c r="P819" i="4"/>
  <c r="P820" i="4"/>
  <c r="M820" i="4" s="1"/>
  <c r="O820" i="4" s="1"/>
  <c r="P821" i="4"/>
  <c r="O821" i="4" s="1"/>
  <c r="P822" i="4"/>
  <c r="M822" i="4" s="1"/>
  <c r="O822" i="4" s="1"/>
  <c r="P823" i="4"/>
  <c r="M823" i="4" s="1"/>
  <c r="O823" i="4" s="1"/>
  <c r="P824" i="4"/>
  <c r="M824" i="4" s="1"/>
  <c r="O824" i="4" s="1"/>
  <c r="P825" i="4"/>
  <c r="M825" i="4" s="1"/>
  <c r="O825" i="4" s="1"/>
  <c r="P826" i="4"/>
  <c r="M826" i="4" s="1"/>
  <c r="O826" i="4" s="1"/>
  <c r="P827" i="4"/>
  <c r="O827" i="4" s="1"/>
  <c r="P828" i="4"/>
  <c r="M828" i="4" s="1"/>
  <c r="O828" i="4" s="1"/>
  <c r="P829" i="4"/>
  <c r="O829" i="4" s="1"/>
  <c r="P830" i="4"/>
  <c r="P831" i="4"/>
  <c r="P832" i="4"/>
  <c r="M832" i="4" s="1"/>
  <c r="O832" i="4" s="1"/>
  <c r="P833" i="4"/>
  <c r="M833" i="4" s="1"/>
  <c r="O833" i="4" s="1"/>
  <c r="P834" i="4"/>
  <c r="M834" i="4" s="1"/>
  <c r="P835" i="4"/>
  <c r="O835" i="4" s="1"/>
  <c r="P836" i="4"/>
  <c r="P837" i="4"/>
  <c r="O837" i="4" s="1"/>
  <c r="P838" i="4"/>
  <c r="O838" i="4" s="1"/>
  <c r="P839" i="4"/>
  <c r="O839" i="4" s="1"/>
  <c r="P840" i="4"/>
  <c r="P841" i="4"/>
  <c r="O841" i="4" s="1"/>
  <c r="P842" i="4"/>
  <c r="P843" i="4"/>
  <c r="P844" i="4"/>
  <c r="O844" i="4" s="1"/>
  <c r="P845" i="4"/>
  <c r="M845" i="4" s="1"/>
  <c r="O845" i="4" s="1"/>
  <c r="P846" i="4"/>
  <c r="M846" i="4" s="1"/>
  <c r="O846" i="4" s="1"/>
  <c r="P847" i="4"/>
  <c r="P848" i="4"/>
  <c r="M848" i="4" s="1"/>
  <c r="O848" i="4" s="1"/>
  <c r="P849" i="4"/>
  <c r="O849" i="4" s="1"/>
  <c r="P850" i="4"/>
  <c r="M850" i="4" s="1"/>
  <c r="O850" i="4" s="1"/>
  <c r="P851" i="4"/>
  <c r="O851" i="4" s="1"/>
  <c r="P852" i="4"/>
  <c r="M852" i="4" s="1"/>
  <c r="O852" i="4" s="1"/>
  <c r="P853" i="4"/>
  <c r="O853" i="4" s="1"/>
  <c r="P854" i="4"/>
  <c r="P855" i="4"/>
  <c r="P856" i="4"/>
  <c r="M856" i="4" s="1"/>
  <c r="O856" i="4" s="1"/>
  <c r="P857" i="4"/>
  <c r="M857" i="4" s="1"/>
  <c r="O857" i="4" s="1"/>
  <c r="P858" i="4"/>
  <c r="M858" i="4" s="1"/>
  <c r="P859" i="4"/>
  <c r="M859" i="4" s="1"/>
  <c r="O859" i="4" s="1"/>
  <c r="P860" i="4"/>
  <c r="P861" i="4"/>
  <c r="M861" i="4" s="1"/>
  <c r="P862" i="4"/>
  <c r="M862" i="4" s="1"/>
  <c r="O862" i="4" s="1"/>
  <c r="P863" i="4"/>
  <c r="M863" i="4" s="1"/>
  <c r="O863" i="4" s="1"/>
  <c r="P864" i="4"/>
  <c r="M864" i="4" s="1"/>
  <c r="O864" i="4" s="1"/>
  <c r="P865" i="4"/>
  <c r="M865" i="4" s="1"/>
  <c r="O865" i="4" s="1"/>
  <c r="P866" i="4"/>
  <c r="P867" i="4"/>
  <c r="P868" i="4"/>
  <c r="O868" i="4" s="1"/>
  <c r="P869" i="4"/>
  <c r="M869" i="4" s="1"/>
  <c r="O869" i="4" s="1"/>
  <c r="P870" i="4"/>
  <c r="M870" i="4" s="1"/>
  <c r="O870" i="4" s="1"/>
  <c r="P871" i="4"/>
  <c r="M871" i="4" s="1"/>
  <c r="O871" i="4" s="1"/>
  <c r="P872" i="4"/>
  <c r="M872" i="4" s="1"/>
  <c r="O872" i="4" s="1"/>
  <c r="P873" i="4"/>
  <c r="P874" i="4"/>
  <c r="P875" i="4"/>
  <c r="M875" i="4" s="1"/>
  <c r="O875" i="4" s="1"/>
  <c r="P876" i="4"/>
  <c r="P877" i="4"/>
  <c r="M877" i="4" s="1"/>
  <c r="O877" i="4" s="1"/>
  <c r="P878" i="4"/>
  <c r="P879" i="4"/>
  <c r="P880" i="4"/>
  <c r="O880" i="4" s="1"/>
  <c r="P881" i="4"/>
  <c r="O881" i="4" s="1"/>
  <c r="P882" i="4"/>
  <c r="P883" i="4"/>
  <c r="O883" i="4" s="1"/>
  <c r="P884" i="4"/>
  <c r="P885" i="4"/>
  <c r="P886" i="4"/>
  <c r="M886" i="4" s="1"/>
  <c r="O886" i="4" s="1"/>
  <c r="P887" i="4"/>
  <c r="M887" i="4" s="1"/>
  <c r="O887" i="4" s="1"/>
  <c r="P888" i="4"/>
  <c r="P889" i="4"/>
  <c r="M889" i="4" s="1"/>
  <c r="O889" i="4" s="1"/>
  <c r="P890" i="4"/>
  <c r="P891" i="4"/>
  <c r="P892" i="4"/>
  <c r="O892" i="4" s="1"/>
  <c r="P893" i="4"/>
  <c r="M893" i="4" s="1"/>
  <c r="O893" i="4" s="1"/>
  <c r="P894" i="4"/>
  <c r="O894" i="4" s="1"/>
  <c r="P895" i="4"/>
  <c r="M895" i="4" s="1"/>
  <c r="O895" i="4" s="1"/>
  <c r="P896" i="4"/>
  <c r="M896" i="4" s="1"/>
  <c r="O896" i="4" s="1"/>
  <c r="P897" i="4"/>
  <c r="M897" i="4" s="1"/>
  <c r="O897" i="4" s="1"/>
  <c r="P898" i="4"/>
  <c r="M898" i="4" s="1"/>
  <c r="O898" i="4" s="1"/>
  <c r="P899" i="4"/>
  <c r="O899" i="4" s="1"/>
  <c r="P900" i="4"/>
  <c r="M900" i="4" s="1"/>
  <c r="O900" i="4" s="1"/>
  <c r="P901" i="4"/>
  <c r="M901" i="4" s="1"/>
  <c r="O901" i="4" s="1"/>
  <c r="P902" i="4"/>
  <c r="P903" i="4"/>
  <c r="P904" i="4"/>
  <c r="O904" i="4" s="1"/>
  <c r="P905" i="4"/>
  <c r="M905" i="4" s="1"/>
  <c r="P906" i="4"/>
  <c r="O906" i="4" s="1"/>
  <c r="P907" i="4"/>
  <c r="M907" i="4" s="1"/>
  <c r="P908" i="4"/>
  <c r="M908" i="4" s="1"/>
  <c r="P909" i="4"/>
  <c r="M909" i="4" s="1"/>
  <c r="O909" i="4" s="1"/>
  <c r="P910" i="4"/>
  <c r="M910" i="4" s="1"/>
  <c r="O910" i="4" s="1"/>
  <c r="P911" i="4"/>
  <c r="P912" i="4"/>
  <c r="P913" i="4"/>
  <c r="M913" i="4" s="1"/>
  <c r="O913" i="4" s="1"/>
  <c r="P914" i="4"/>
  <c r="P915" i="4"/>
  <c r="P916" i="4"/>
  <c r="O916" i="4" s="1"/>
  <c r="P917" i="4"/>
  <c r="O917" i="4" s="1"/>
  <c r="P918" i="4"/>
  <c r="M918" i="4" s="1"/>
  <c r="O918" i="4" s="1"/>
  <c r="P919" i="4"/>
  <c r="M919" i="4" s="1"/>
  <c r="O919" i="4" s="1"/>
  <c r="P920" i="4"/>
  <c r="O920" i="4" s="1"/>
  <c r="P921" i="4"/>
  <c r="M921" i="4" s="1"/>
  <c r="O921" i="4" s="1"/>
  <c r="P922" i="4"/>
  <c r="M922" i="4" s="1"/>
  <c r="O922" i="4" s="1"/>
  <c r="P923" i="4"/>
  <c r="P924" i="4"/>
  <c r="M924" i="4" s="1"/>
  <c r="O924" i="4" s="1"/>
  <c r="P925" i="4"/>
  <c r="M925" i="4" s="1"/>
  <c r="O925" i="4" s="1"/>
  <c r="P926" i="4"/>
  <c r="P927" i="4"/>
  <c r="P928" i="4"/>
  <c r="M928" i="4" s="1"/>
  <c r="O928" i="4" s="1"/>
  <c r="P929" i="4"/>
  <c r="M929" i="4" s="1"/>
  <c r="P930" i="4"/>
  <c r="M930" i="4" s="1"/>
  <c r="O930" i="4" s="1"/>
  <c r="P931" i="4"/>
  <c r="M931" i="4" s="1"/>
  <c r="P932" i="4"/>
  <c r="M932" i="4" s="1"/>
  <c r="P933" i="4"/>
  <c r="M933" i="4" s="1"/>
  <c r="O933" i="4" s="1"/>
  <c r="P934" i="4"/>
  <c r="O934" i="4" s="1"/>
  <c r="P935" i="4"/>
  <c r="M935" i="4" s="1"/>
  <c r="O935" i="4" s="1"/>
  <c r="P936" i="4"/>
  <c r="M936" i="4" s="1"/>
  <c r="O936" i="4" s="1"/>
  <c r="P937" i="4"/>
  <c r="M937" i="4" s="1"/>
  <c r="O937" i="4" s="1"/>
  <c r="P938" i="4"/>
  <c r="P939" i="4"/>
  <c r="P940" i="4"/>
  <c r="O940" i="4" s="1"/>
  <c r="P941" i="4"/>
  <c r="M941" i="4" s="1"/>
  <c r="O941" i="4" s="1"/>
  <c r="P942" i="4"/>
  <c r="M942" i="4" s="1"/>
  <c r="O942" i="4" s="1"/>
  <c r="P943" i="4"/>
  <c r="P944" i="4"/>
  <c r="P945" i="4"/>
  <c r="M945" i="4" s="1"/>
  <c r="O945" i="4" s="1"/>
  <c r="P946" i="4"/>
  <c r="M946" i="4" s="1"/>
  <c r="O946" i="4" s="1"/>
  <c r="P947" i="4"/>
  <c r="M947" i="4" s="1"/>
  <c r="O947" i="4" s="1"/>
  <c r="P948" i="4"/>
  <c r="P949" i="4"/>
  <c r="O949" i="4" s="1"/>
  <c r="P950" i="4"/>
  <c r="P951" i="4"/>
  <c r="P952" i="4"/>
  <c r="O952" i="4" s="1"/>
  <c r="P953" i="4"/>
  <c r="P954" i="4"/>
  <c r="O954" i="4" s="1"/>
  <c r="P955" i="4"/>
  <c r="P956" i="4"/>
  <c r="M956" i="4" s="1"/>
  <c r="P957" i="4"/>
  <c r="M957" i="4" s="1"/>
  <c r="O957" i="4" s="1"/>
  <c r="P958" i="4"/>
  <c r="O958" i="4" s="1"/>
  <c r="P959" i="4"/>
  <c r="M959" i="4" s="1"/>
  <c r="O959" i="4" s="1"/>
  <c r="P960" i="4"/>
  <c r="P961" i="4"/>
  <c r="O961" i="4" s="1"/>
  <c r="P962" i="4"/>
  <c r="P963" i="4"/>
  <c r="P964" i="4"/>
  <c r="O964" i="4" s="1"/>
  <c r="P965" i="4"/>
  <c r="M965" i="4" s="1"/>
  <c r="O965" i="4" s="1"/>
  <c r="P966" i="4"/>
  <c r="M966" i="4" s="1"/>
  <c r="O966" i="4" s="1"/>
  <c r="P967" i="4"/>
  <c r="M967" i="4" s="1"/>
  <c r="O967" i="4" s="1"/>
  <c r="P968" i="4"/>
  <c r="O968" i="4" s="1"/>
  <c r="P969" i="4"/>
  <c r="M969" i="4" s="1"/>
  <c r="O969" i="4" s="1"/>
  <c r="P970" i="4"/>
  <c r="M970" i="4" s="1"/>
  <c r="O970" i="4" s="1"/>
  <c r="P971" i="4"/>
  <c r="O971" i="4" s="1"/>
  <c r="P972" i="4"/>
  <c r="M972" i="4" s="1"/>
  <c r="O972" i="4" s="1"/>
  <c r="P973" i="4"/>
  <c r="M973" i="4" s="1"/>
  <c r="P974" i="4"/>
  <c r="P975" i="4"/>
  <c r="P976" i="4"/>
  <c r="P977" i="4"/>
  <c r="M977" i="4" s="1"/>
  <c r="P978" i="4"/>
  <c r="M978" i="4" s="1"/>
  <c r="O978" i="4" s="1"/>
  <c r="P979" i="4"/>
  <c r="M979" i="4" s="1"/>
  <c r="O979" i="4" s="1"/>
  <c r="P980" i="4"/>
  <c r="O980" i="4" s="1"/>
  <c r="P981" i="4"/>
  <c r="O981" i="4" s="1"/>
  <c r="P982" i="4"/>
  <c r="O982" i="4" s="1"/>
  <c r="P983" i="4"/>
  <c r="O983" i="4" s="1"/>
  <c r="P984" i="4"/>
  <c r="P985" i="4"/>
  <c r="O985" i="4" s="1"/>
  <c r="P986" i="4"/>
  <c r="P987" i="4"/>
  <c r="P988" i="4"/>
  <c r="M988" i="4" s="1"/>
  <c r="O988" i="4" s="1"/>
  <c r="P989" i="4"/>
  <c r="M989" i="4" s="1"/>
  <c r="O989" i="4" s="1"/>
  <c r="P990" i="4"/>
  <c r="O990" i="4" s="1"/>
  <c r="P991" i="4"/>
  <c r="M991" i="4" s="1"/>
  <c r="O991" i="4" s="1"/>
  <c r="P992" i="4"/>
  <c r="M992" i="4" s="1"/>
  <c r="P993" i="4"/>
  <c r="P994" i="4"/>
  <c r="P995" i="4"/>
  <c r="M995" i="4" s="1"/>
  <c r="O995" i="4" s="1"/>
  <c r="P996" i="4"/>
  <c r="O996" i="4" s="1"/>
  <c r="P997" i="4"/>
  <c r="M997" i="4" s="1"/>
  <c r="O997" i="4" s="1"/>
  <c r="P998" i="4"/>
  <c r="P999" i="4"/>
  <c r="P1000" i="4"/>
  <c r="M1000" i="4" s="1"/>
  <c r="O1000" i="4" s="1"/>
  <c r="P1001" i="4"/>
  <c r="O1001" i="4" s="1"/>
  <c r="P1002" i="4"/>
  <c r="M1002" i="4" s="1"/>
  <c r="O1002" i="4" s="1"/>
  <c r="P1003" i="4"/>
  <c r="M1003" i="4" s="1"/>
  <c r="O1003" i="4" s="1"/>
  <c r="P1004" i="4"/>
  <c r="P1005" i="4"/>
  <c r="P1006" i="4"/>
  <c r="P1007" i="4"/>
  <c r="O1007" i="4" s="1"/>
  <c r="P1008" i="4"/>
  <c r="O1008" i="4" s="1"/>
  <c r="P1009" i="4"/>
  <c r="O1009" i="4" s="1"/>
  <c r="P1010" i="4"/>
  <c r="P1011" i="4"/>
  <c r="P1012" i="4"/>
  <c r="O1012" i="4" s="1"/>
  <c r="P1013" i="4"/>
  <c r="M1013" i="4" s="1"/>
  <c r="O1013" i="4" s="1"/>
  <c r="P1014" i="4"/>
  <c r="M1014" i="4" s="1"/>
  <c r="O1014" i="4" s="1"/>
  <c r="P1015" i="4"/>
  <c r="M1015" i="4" s="1"/>
  <c r="O1015" i="4" s="1"/>
  <c r="P1016" i="4"/>
  <c r="M1016" i="4" s="1"/>
  <c r="P1017" i="4"/>
  <c r="P1018" i="4"/>
  <c r="M1018" i="4" s="1"/>
  <c r="P1019" i="4"/>
  <c r="O1019" i="4" s="1"/>
  <c r="P1020" i="4"/>
  <c r="P1021" i="4"/>
  <c r="O1021" i="4" s="1"/>
  <c r="P1022" i="4"/>
  <c r="P1023" i="4"/>
  <c r="P1024" i="4"/>
  <c r="M1024" i="4" s="1"/>
  <c r="O1024" i="4" s="1"/>
  <c r="P1025" i="4"/>
  <c r="M1025" i="4" s="1"/>
  <c r="O1025" i="4" s="1"/>
  <c r="P1026" i="4"/>
  <c r="O1026" i="4" s="1"/>
  <c r="P1027" i="4"/>
  <c r="M1027" i="4" s="1"/>
  <c r="O1027" i="4" s="1"/>
  <c r="P1028" i="4"/>
  <c r="M1028" i="4" s="1"/>
  <c r="P1029" i="4"/>
  <c r="M1029" i="4" s="1"/>
  <c r="P1030" i="4"/>
  <c r="M1030" i="4" s="1"/>
  <c r="P1031" i="4"/>
  <c r="O1031" i="4" s="1"/>
  <c r="P1032" i="4"/>
  <c r="P1033" i="4"/>
  <c r="O1033" i="4" s="1"/>
  <c r="P1034" i="4"/>
  <c r="P1035" i="4"/>
  <c r="P1036" i="4"/>
  <c r="P1037" i="4"/>
  <c r="P1038" i="4"/>
  <c r="P1039" i="4"/>
  <c r="P1040" i="4"/>
  <c r="P1041" i="4"/>
  <c r="P1042" i="4"/>
  <c r="P1043" i="4"/>
  <c r="P1044" i="4"/>
  <c r="P1045" i="4"/>
  <c r="P1046" i="4"/>
  <c r="P1047" i="4"/>
  <c r="P1048" i="4"/>
  <c r="P1049" i="4"/>
  <c r="P1050" i="4"/>
  <c r="P1051" i="4"/>
  <c r="P1054" i="4"/>
  <c r="M1054" i="4" s="1"/>
  <c r="N1054" i="4" s="1"/>
  <c r="P1055" i="4"/>
  <c r="M1055" i="4" s="1"/>
  <c r="O1055" i="4" s="1"/>
  <c r="P1056" i="4"/>
  <c r="M1056" i="4" s="1"/>
  <c r="O1056" i="4" s="1"/>
  <c r="P1057" i="4"/>
  <c r="M1057" i="4" s="1"/>
  <c r="O1057" i="4" s="1"/>
  <c r="P1058" i="4"/>
  <c r="M1058" i="4" s="1"/>
  <c r="O1058" i="4" s="1"/>
  <c r="P1059" i="4"/>
  <c r="M1059" i="4" s="1"/>
  <c r="O1059" i="4" s="1"/>
  <c r="P1060" i="4"/>
  <c r="O1060" i="4" s="1"/>
  <c r="O1061" i="4"/>
  <c r="P1062" i="4"/>
  <c r="M1062" i="4" s="1"/>
  <c r="O1062" i="4" s="1"/>
  <c r="P1063" i="4"/>
  <c r="M1063" i="4" s="1"/>
  <c r="O1063" i="4" s="1"/>
  <c r="P1064" i="4"/>
  <c r="O1064" i="4" s="1"/>
  <c r="P1065" i="4"/>
  <c r="M1065" i="4" s="1"/>
  <c r="O1065" i="4" s="1"/>
  <c r="P1066" i="4"/>
  <c r="P1067" i="4"/>
  <c r="O1067" i="4" s="1"/>
  <c r="P1068" i="4"/>
  <c r="M1068" i="4" s="1"/>
  <c r="O1068" i="4" s="1"/>
  <c r="P1069" i="4"/>
  <c r="M1069" i="4" s="1"/>
  <c r="O1069" i="4" s="1"/>
  <c r="P1070" i="4"/>
  <c r="M1070" i="4" s="1"/>
  <c r="O1070" i="4" s="1"/>
  <c r="P1071" i="4"/>
  <c r="M1071" i="4" s="1"/>
  <c r="O1071" i="4" s="1"/>
  <c r="P1072" i="4"/>
  <c r="M1072" i="4" s="1"/>
  <c r="O1072" i="4" s="1"/>
  <c r="P1073" i="4"/>
  <c r="M1073" i="4" s="1"/>
  <c r="O1073" i="4" s="1"/>
  <c r="P1074" i="4"/>
  <c r="M1074" i="4" s="1"/>
  <c r="O1074" i="4" s="1"/>
  <c r="P1075" i="4"/>
  <c r="M1075" i="4" s="1"/>
  <c r="O1075" i="4" s="1"/>
  <c r="P1076" i="4"/>
  <c r="M1076" i="4" s="1"/>
  <c r="O1076" i="4" s="1"/>
  <c r="P1077" i="4"/>
  <c r="M1077" i="4" s="1"/>
  <c r="O1077" i="4" s="1"/>
  <c r="P1078" i="4"/>
  <c r="M1078" i="4" s="1"/>
  <c r="O1078" i="4" s="1"/>
  <c r="P1079" i="4"/>
  <c r="M1079" i="4" s="1"/>
  <c r="O1079" i="4" s="1"/>
  <c r="P1080" i="4"/>
  <c r="M1080" i="4" s="1"/>
  <c r="O1080" i="4" s="1"/>
  <c r="P1081" i="4"/>
  <c r="M1081" i="4" s="1"/>
  <c r="O1081" i="4" s="1"/>
  <c r="P1082" i="4"/>
  <c r="M1082" i="4" s="1"/>
  <c r="O1082" i="4" s="1"/>
  <c r="P1083" i="4"/>
  <c r="M1083" i="4" s="1"/>
  <c r="O1083" i="4" s="1"/>
  <c r="P1084" i="4"/>
  <c r="P1085" i="4"/>
  <c r="M1085" i="4" s="1"/>
  <c r="O1085" i="4" s="1"/>
  <c r="P1086" i="4"/>
  <c r="M1086" i="4" s="1"/>
  <c r="O1086" i="4" s="1"/>
  <c r="P1087" i="4"/>
  <c r="M1087" i="4" s="1"/>
  <c r="P1088" i="4"/>
  <c r="M1088" i="4" s="1"/>
  <c r="P1089" i="4"/>
  <c r="M1089" i="4" s="1"/>
  <c r="P1090" i="4"/>
  <c r="M1090" i="4" s="1"/>
  <c r="O1090" i="4" s="1"/>
  <c r="P1091" i="4"/>
  <c r="M1091" i="4" s="1"/>
  <c r="O1091" i="4" s="1"/>
  <c r="P1092" i="4"/>
  <c r="M1092" i="4" s="1"/>
  <c r="O1092" i="4" s="1"/>
  <c r="P1093" i="4"/>
  <c r="M1093" i="4" s="1"/>
  <c r="O1093" i="4" s="1"/>
  <c r="P1094" i="4"/>
  <c r="M1094" i="4" s="1"/>
  <c r="O1094" i="4" s="1"/>
  <c r="P1095" i="4"/>
  <c r="M1095" i="4" s="1"/>
  <c r="O1095" i="4" s="1"/>
  <c r="P1096" i="4"/>
  <c r="M1096" i="4" s="1"/>
  <c r="O1096" i="4" s="1"/>
  <c r="P1097" i="4"/>
  <c r="M1097" i="4" s="1"/>
  <c r="O1097" i="4" s="1"/>
  <c r="P1098" i="4"/>
  <c r="M1098" i="4" s="1"/>
  <c r="O1098" i="4" s="1"/>
  <c r="P1099" i="4"/>
  <c r="M1099" i="4" s="1"/>
  <c r="P1100" i="4"/>
  <c r="M1100" i="4" s="1"/>
  <c r="P1101" i="4"/>
  <c r="M1101" i="4" s="1"/>
  <c r="P1102" i="4"/>
  <c r="M1102" i="4" s="1"/>
  <c r="O1102" i="4" s="1"/>
  <c r="P1103" i="4"/>
  <c r="M1103" i="4" s="1"/>
  <c r="O1103" i="4" s="1"/>
  <c r="P1104" i="4"/>
  <c r="M1104" i="4" s="1"/>
  <c r="O1104" i="4" s="1"/>
  <c r="P1105" i="4"/>
  <c r="M1105" i="4" s="1"/>
  <c r="O1105" i="4" s="1"/>
  <c r="P1106" i="4"/>
  <c r="M1106" i="4" s="1"/>
  <c r="O1106" i="4" s="1"/>
  <c r="P1107" i="4"/>
  <c r="M1107" i="4" s="1"/>
  <c r="O1107" i="4" s="1"/>
  <c r="P1108" i="4"/>
  <c r="M1108" i="4" s="1"/>
  <c r="O1108" i="4" s="1"/>
  <c r="P1109" i="4"/>
  <c r="M1109" i="4" s="1"/>
  <c r="O1109" i="4" s="1"/>
  <c r="P1110" i="4"/>
  <c r="M1110" i="4" s="1"/>
  <c r="O1110" i="4" s="1"/>
  <c r="P1111" i="4"/>
  <c r="M1111" i="4" s="1"/>
  <c r="P1112" i="4"/>
  <c r="M1112" i="4" s="1"/>
  <c r="P1113" i="4"/>
  <c r="M1113" i="4" s="1"/>
  <c r="P1114" i="4"/>
  <c r="M1114" i="4" s="1"/>
  <c r="O1114" i="4" s="1"/>
  <c r="P1115" i="4"/>
  <c r="M1115" i="4" s="1"/>
  <c r="O1115" i="4" s="1"/>
  <c r="P1116" i="4"/>
  <c r="M1116" i="4" s="1"/>
  <c r="O1116" i="4" s="1"/>
  <c r="P1117" i="4"/>
  <c r="M1117" i="4" s="1"/>
  <c r="O1117" i="4" s="1"/>
  <c r="P1118" i="4"/>
  <c r="M1118" i="4" s="1"/>
  <c r="O1118" i="4" s="1"/>
  <c r="P1119" i="4"/>
  <c r="M1119" i="4" s="1"/>
  <c r="O1119" i="4" s="1"/>
  <c r="P1120" i="4"/>
  <c r="M1120" i="4" s="1"/>
  <c r="O1120" i="4" s="1"/>
  <c r="P1121" i="4"/>
  <c r="M1121" i="4" s="1"/>
  <c r="O1121" i="4" s="1"/>
  <c r="P1122" i="4"/>
  <c r="M1122" i="4" s="1"/>
  <c r="O1122" i="4" s="1"/>
  <c r="P1123" i="4"/>
  <c r="M1123" i="4" s="1"/>
  <c r="P1124" i="4"/>
  <c r="M1124" i="4" s="1"/>
  <c r="P1125" i="4"/>
  <c r="M1125" i="4" s="1"/>
  <c r="P1126" i="4"/>
  <c r="M1126" i="4" s="1"/>
  <c r="O1126" i="4" s="1"/>
  <c r="P1127" i="4"/>
  <c r="M1127" i="4" s="1"/>
  <c r="O1127" i="4" s="1"/>
  <c r="P1128" i="4"/>
  <c r="M1128" i="4" s="1"/>
  <c r="O1128" i="4" s="1"/>
  <c r="P1129" i="4"/>
  <c r="M1129" i="4" s="1"/>
  <c r="O1129" i="4" s="1"/>
  <c r="P1130" i="4"/>
  <c r="M1130" i="4" s="1"/>
  <c r="O1130" i="4" s="1"/>
  <c r="P1131" i="4"/>
  <c r="M1131" i="4" s="1"/>
  <c r="O1131" i="4" s="1"/>
  <c r="P1132" i="4"/>
  <c r="M1132" i="4" s="1"/>
  <c r="O1132" i="4" s="1"/>
  <c r="P1133" i="4"/>
  <c r="M1133" i="4" s="1"/>
  <c r="O1133" i="4" s="1"/>
  <c r="P1134" i="4"/>
  <c r="M1134" i="4" s="1"/>
  <c r="O1134" i="4" s="1"/>
  <c r="P1135" i="4"/>
  <c r="M1135" i="4" s="1"/>
  <c r="P1136" i="4"/>
  <c r="M1136" i="4" s="1"/>
  <c r="P1137" i="4"/>
  <c r="M1137" i="4" s="1"/>
  <c r="P1138" i="4"/>
  <c r="M1138" i="4" s="1"/>
  <c r="O1138" i="4" s="1"/>
  <c r="P1139" i="4"/>
  <c r="M1139" i="4" s="1"/>
  <c r="O1139" i="4" s="1"/>
  <c r="P1140" i="4"/>
  <c r="M1140" i="4" s="1"/>
  <c r="O1140" i="4" s="1"/>
  <c r="P1141" i="4"/>
  <c r="M1141" i="4" s="1"/>
  <c r="O1141" i="4" s="1"/>
  <c r="P1142" i="4"/>
  <c r="M1142" i="4" s="1"/>
  <c r="O1142" i="4" s="1"/>
  <c r="P1143" i="4"/>
  <c r="M1143" i="4" s="1"/>
  <c r="O1143" i="4" s="1"/>
  <c r="P1144" i="4"/>
  <c r="M1144" i="4" s="1"/>
  <c r="O1144" i="4" s="1"/>
  <c r="P1145" i="4"/>
  <c r="M1145" i="4" s="1"/>
  <c r="O1145" i="4" s="1"/>
  <c r="P1146" i="4"/>
  <c r="M1146" i="4" s="1"/>
  <c r="O1146" i="4" s="1"/>
  <c r="P1147" i="4"/>
  <c r="M1147" i="4" s="1"/>
  <c r="P1148" i="4"/>
  <c r="M1148" i="4" s="1"/>
  <c r="P1149" i="4"/>
  <c r="M1149" i="4" s="1"/>
  <c r="P1150" i="4"/>
  <c r="M1150" i="4" s="1"/>
  <c r="O1150" i="4" s="1"/>
  <c r="P1151" i="4"/>
  <c r="M1151" i="4" s="1"/>
  <c r="O1151" i="4" s="1"/>
  <c r="P1152" i="4"/>
  <c r="M1152" i="4" s="1"/>
  <c r="O1152" i="4" s="1"/>
  <c r="P1153" i="4"/>
  <c r="M1153" i="4" s="1"/>
  <c r="O1153" i="4" s="1"/>
  <c r="P1154" i="4"/>
  <c r="M1154" i="4" s="1"/>
  <c r="O1154" i="4" s="1"/>
  <c r="P1155" i="4"/>
  <c r="M1155" i="4" s="1"/>
  <c r="O1155" i="4" s="1"/>
  <c r="P1156" i="4"/>
  <c r="M1156" i="4" s="1"/>
  <c r="O1156" i="4" s="1"/>
  <c r="P1157" i="4"/>
  <c r="M1157" i="4" s="1"/>
  <c r="O1157" i="4" s="1"/>
  <c r="P1158" i="4"/>
  <c r="M1158" i="4" s="1"/>
  <c r="O1158" i="4" s="1"/>
  <c r="P1159" i="4"/>
  <c r="M1159" i="4" s="1"/>
  <c r="P1160" i="4"/>
  <c r="M1160" i="4" s="1"/>
  <c r="P1161" i="4"/>
  <c r="M1161" i="4" s="1"/>
  <c r="P1162" i="4"/>
  <c r="M1162" i="4" s="1"/>
  <c r="O1162" i="4" s="1"/>
  <c r="P1163" i="4"/>
  <c r="M1163" i="4" s="1"/>
  <c r="O1163" i="4" s="1"/>
  <c r="P1164" i="4"/>
  <c r="M1164" i="4" s="1"/>
  <c r="O1164" i="4" s="1"/>
  <c r="P1165" i="4"/>
  <c r="M1165" i="4" s="1"/>
  <c r="O1165" i="4" s="1"/>
  <c r="P1166" i="4"/>
  <c r="M1166" i="4" s="1"/>
  <c r="O1166" i="4" s="1"/>
  <c r="P1167" i="4"/>
  <c r="M1167" i="4" s="1"/>
  <c r="O1167" i="4" s="1"/>
  <c r="P1168" i="4"/>
  <c r="M1168" i="4" s="1"/>
  <c r="O1168" i="4" s="1"/>
  <c r="P1169" i="4"/>
  <c r="M1169" i="4" s="1"/>
  <c r="O1169" i="4" s="1"/>
  <c r="P1170" i="4"/>
  <c r="M1170" i="4" s="1"/>
  <c r="O1170" i="4" s="1"/>
  <c r="P1171" i="4"/>
  <c r="M1171" i="4" s="1"/>
  <c r="P1172" i="4"/>
  <c r="M1172" i="4" s="1"/>
  <c r="P1173" i="4"/>
  <c r="M1173" i="4" s="1"/>
  <c r="P1174" i="4"/>
  <c r="M1174" i="4" s="1"/>
  <c r="O1174" i="4" s="1"/>
  <c r="P1175" i="4"/>
  <c r="M1175" i="4" s="1"/>
  <c r="O1175" i="4" s="1"/>
  <c r="P1176" i="4"/>
  <c r="M1176" i="4" s="1"/>
  <c r="O1176" i="4" s="1"/>
  <c r="P1177" i="4"/>
  <c r="M1177" i="4" s="1"/>
  <c r="O1177" i="4" s="1"/>
  <c r="P1178" i="4"/>
  <c r="M1178" i="4" s="1"/>
  <c r="O1178" i="4" s="1"/>
  <c r="P1179" i="4"/>
  <c r="M1179" i="4" s="1"/>
  <c r="O1179" i="4" s="1"/>
  <c r="P1180" i="4"/>
  <c r="M1180" i="4" s="1"/>
  <c r="O1180" i="4" s="1"/>
  <c r="P1181" i="4"/>
  <c r="M1181" i="4" s="1"/>
  <c r="O1181" i="4" s="1"/>
  <c r="P1182" i="4"/>
  <c r="M1182" i="4" s="1"/>
  <c r="O1182" i="4" s="1"/>
  <c r="P1183" i="4"/>
  <c r="M1183" i="4" s="1"/>
  <c r="P1184" i="4"/>
  <c r="M1184" i="4" s="1"/>
  <c r="P1185" i="4"/>
  <c r="M1185" i="4" s="1"/>
  <c r="P1186" i="4"/>
  <c r="M1186" i="4" s="1"/>
  <c r="O1186" i="4" s="1"/>
  <c r="P1187" i="4"/>
  <c r="M1187" i="4" s="1"/>
  <c r="O1187" i="4" s="1"/>
  <c r="P1188" i="4"/>
  <c r="M1188" i="4" s="1"/>
  <c r="O1188" i="4" s="1"/>
  <c r="P1189" i="4"/>
  <c r="M1189" i="4" s="1"/>
  <c r="O1189" i="4" s="1"/>
  <c r="P1190" i="4"/>
  <c r="M1190" i="4" s="1"/>
  <c r="O1190" i="4" s="1"/>
  <c r="P1191" i="4"/>
  <c r="M1191" i="4" s="1"/>
  <c r="O1191" i="4" s="1"/>
  <c r="P1192" i="4"/>
  <c r="M1192" i="4" s="1"/>
  <c r="O1192" i="4" s="1"/>
  <c r="P1193" i="4"/>
  <c r="M1193" i="4" s="1"/>
  <c r="O1193" i="4" s="1"/>
  <c r="P1194" i="4"/>
  <c r="M1194" i="4" s="1"/>
  <c r="O1194" i="4" s="1"/>
  <c r="P1195" i="4"/>
  <c r="M1195" i="4" s="1"/>
  <c r="P1196" i="4"/>
  <c r="M1196" i="4" s="1"/>
  <c r="P1197" i="4"/>
  <c r="M1197" i="4" s="1"/>
  <c r="P1198" i="4"/>
  <c r="M1198" i="4" s="1"/>
  <c r="O1198" i="4" s="1"/>
  <c r="P1199" i="4"/>
  <c r="M1199" i="4" s="1"/>
  <c r="O1199" i="4" s="1"/>
  <c r="P1200" i="4"/>
  <c r="M1200" i="4" s="1"/>
  <c r="O1200" i="4" s="1"/>
  <c r="P1201" i="4"/>
  <c r="M1201" i="4" s="1"/>
  <c r="O1201" i="4" s="1"/>
  <c r="P1202" i="4"/>
  <c r="M1202" i="4" s="1"/>
  <c r="O1202" i="4" s="1"/>
  <c r="P1203" i="4"/>
  <c r="M1203" i="4" s="1"/>
  <c r="O1203" i="4" s="1"/>
  <c r="P1204" i="4"/>
  <c r="M1204" i="4" s="1"/>
  <c r="O1204" i="4" s="1"/>
  <c r="P1205" i="4"/>
  <c r="M1205" i="4" s="1"/>
  <c r="O1205" i="4" s="1"/>
  <c r="P1206" i="4"/>
  <c r="M1206" i="4" s="1"/>
  <c r="O1206" i="4" s="1"/>
  <c r="P1207" i="4"/>
  <c r="M1207" i="4" s="1"/>
  <c r="P1208" i="4"/>
  <c r="M1208" i="4" s="1"/>
  <c r="P1209" i="4"/>
  <c r="M1209" i="4" s="1"/>
  <c r="P1210" i="4"/>
  <c r="M1210" i="4" s="1"/>
  <c r="O1210" i="4" s="1"/>
  <c r="P1211" i="4"/>
  <c r="M1211" i="4" s="1"/>
  <c r="O1211" i="4" s="1"/>
  <c r="P1212" i="4"/>
  <c r="M1212" i="4" s="1"/>
  <c r="O1212" i="4" s="1"/>
  <c r="P1213" i="4"/>
  <c r="M1213" i="4" s="1"/>
  <c r="O1213" i="4" s="1"/>
  <c r="P1214" i="4"/>
  <c r="M1214" i="4" s="1"/>
  <c r="O1214" i="4" s="1"/>
  <c r="P1215" i="4"/>
  <c r="M1215" i="4" s="1"/>
  <c r="O1215" i="4" s="1"/>
  <c r="P1216" i="4"/>
  <c r="M1216" i="4" s="1"/>
  <c r="O1216" i="4" s="1"/>
  <c r="P1217" i="4"/>
  <c r="M1217" i="4" s="1"/>
  <c r="O1217" i="4" s="1"/>
  <c r="P1218" i="4"/>
  <c r="M1218" i="4" s="1"/>
  <c r="O1218" i="4" s="1"/>
  <c r="P1219" i="4"/>
  <c r="M1219" i="4" s="1"/>
  <c r="P1220" i="4"/>
  <c r="M1220" i="4" s="1"/>
  <c r="P1221" i="4"/>
  <c r="M1221" i="4" s="1"/>
  <c r="P1222" i="4"/>
  <c r="M1222" i="4" s="1"/>
  <c r="O1222" i="4" s="1"/>
  <c r="P1223" i="4"/>
  <c r="M1223" i="4" s="1"/>
  <c r="O1223" i="4" s="1"/>
  <c r="P1224" i="4"/>
  <c r="M1224" i="4" s="1"/>
  <c r="O1224" i="4" s="1"/>
  <c r="P1225" i="4"/>
  <c r="M1225" i="4" s="1"/>
  <c r="O1225" i="4" s="1"/>
  <c r="P1226" i="4"/>
  <c r="M1226" i="4" s="1"/>
  <c r="O1226" i="4" s="1"/>
  <c r="P1227" i="4"/>
  <c r="M1227" i="4" s="1"/>
  <c r="O1227" i="4" s="1"/>
  <c r="P1228" i="4"/>
  <c r="M1228" i="4" s="1"/>
  <c r="O1228" i="4" s="1"/>
  <c r="P1229" i="4"/>
  <c r="M1229" i="4" s="1"/>
  <c r="O1229" i="4" s="1"/>
  <c r="P1230" i="4"/>
  <c r="M1230" i="4" s="1"/>
  <c r="O1230" i="4" s="1"/>
  <c r="P1231" i="4"/>
  <c r="M1231" i="4" s="1"/>
  <c r="P1232" i="4"/>
  <c r="M1232" i="4" s="1"/>
  <c r="P1233" i="4"/>
  <c r="M1233" i="4" s="1"/>
  <c r="P1234" i="4"/>
  <c r="M1234" i="4" s="1"/>
  <c r="O1234" i="4" s="1"/>
  <c r="P1235" i="4"/>
  <c r="M1235" i="4" s="1"/>
  <c r="O1235" i="4" s="1"/>
  <c r="P1236" i="4"/>
  <c r="M1236" i="4" s="1"/>
  <c r="O1236" i="4" s="1"/>
  <c r="P1237" i="4"/>
  <c r="M1237" i="4" s="1"/>
  <c r="O1237" i="4" s="1"/>
  <c r="P1238" i="4"/>
  <c r="M1238" i="4" s="1"/>
  <c r="O1238" i="4" s="1"/>
  <c r="P1239" i="4"/>
  <c r="M1239" i="4" s="1"/>
  <c r="O1239" i="4" s="1"/>
  <c r="P1240" i="4"/>
  <c r="M1240" i="4" s="1"/>
  <c r="O1240" i="4" s="1"/>
  <c r="P1241" i="4"/>
  <c r="M1241" i="4" s="1"/>
  <c r="O1241" i="4" s="1"/>
  <c r="P1242" i="4"/>
  <c r="M1242" i="4" s="1"/>
  <c r="O1242" i="4" s="1"/>
  <c r="P1243" i="4"/>
  <c r="M1243" i="4" s="1"/>
  <c r="P1244" i="4"/>
  <c r="M1244" i="4" s="1"/>
  <c r="P1245" i="4"/>
  <c r="M1245" i="4" s="1"/>
  <c r="P1246" i="4"/>
  <c r="M1246" i="4" s="1"/>
  <c r="O1246" i="4" s="1"/>
  <c r="P1247" i="4"/>
  <c r="M1247" i="4" s="1"/>
  <c r="O1247" i="4" s="1"/>
  <c r="P1248" i="4"/>
  <c r="M1248" i="4" s="1"/>
  <c r="O1248" i="4" s="1"/>
  <c r="P1249" i="4"/>
  <c r="M1249" i="4" s="1"/>
  <c r="O1249" i="4" s="1"/>
  <c r="P1250" i="4"/>
  <c r="M1250" i="4" s="1"/>
  <c r="O1250" i="4" s="1"/>
  <c r="P1251" i="4"/>
  <c r="M1251" i="4" s="1"/>
  <c r="O1251" i="4" s="1"/>
  <c r="P1252" i="4"/>
  <c r="M1252" i="4" s="1"/>
  <c r="O1252" i="4" s="1"/>
  <c r="P1253" i="4"/>
  <c r="M1253" i="4" s="1"/>
  <c r="O1253" i="4" s="1"/>
  <c r="P1254" i="4"/>
  <c r="M1254" i="4" s="1"/>
  <c r="O1254" i="4" s="1"/>
  <c r="P1255" i="4"/>
  <c r="M1255" i="4" s="1"/>
  <c r="P1256" i="4"/>
  <c r="M1256" i="4" s="1"/>
  <c r="P1257" i="4"/>
  <c r="M1257" i="4" s="1"/>
  <c r="P1258" i="4"/>
  <c r="M1258" i="4" s="1"/>
  <c r="O1258" i="4" s="1"/>
  <c r="P1259" i="4"/>
  <c r="M1259" i="4" s="1"/>
  <c r="O1259" i="4" s="1"/>
  <c r="P1260" i="4"/>
  <c r="M1260" i="4" s="1"/>
  <c r="O1260" i="4" s="1"/>
  <c r="P1261" i="4"/>
  <c r="M1261" i="4" s="1"/>
  <c r="O1261" i="4" s="1"/>
  <c r="P1262" i="4"/>
  <c r="M1262" i="4" s="1"/>
  <c r="O1262" i="4" s="1"/>
  <c r="P1263" i="4"/>
  <c r="M1263" i="4" s="1"/>
  <c r="O1263" i="4" s="1"/>
  <c r="P1264" i="4"/>
  <c r="M1264" i="4" s="1"/>
  <c r="O1264" i="4" s="1"/>
  <c r="P1265" i="4"/>
  <c r="M1265" i="4" s="1"/>
  <c r="O1265" i="4" s="1"/>
  <c r="P1266" i="4"/>
  <c r="M1266" i="4" s="1"/>
  <c r="O1266" i="4" s="1"/>
  <c r="P1267" i="4"/>
  <c r="M1267" i="4" s="1"/>
  <c r="P1268" i="4"/>
  <c r="M1268" i="4" s="1"/>
  <c r="P1269" i="4"/>
  <c r="M1269" i="4" s="1"/>
  <c r="P1270" i="4"/>
  <c r="M1270" i="4" s="1"/>
  <c r="O1270" i="4" s="1"/>
  <c r="P1271" i="4"/>
  <c r="M1271" i="4" s="1"/>
  <c r="O1271" i="4" s="1"/>
  <c r="P1272" i="4"/>
  <c r="M1272" i="4" s="1"/>
  <c r="O1272" i="4" s="1"/>
  <c r="P1273" i="4"/>
  <c r="M1273" i="4" s="1"/>
  <c r="O1273" i="4" s="1"/>
  <c r="P1274" i="4"/>
  <c r="M1274" i="4" s="1"/>
  <c r="O1274" i="4" s="1"/>
  <c r="P1275" i="4"/>
  <c r="M1275" i="4" s="1"/>
  <c r="O1275" i="4" s="1"/>
  <c r="P1276" i="4"/>
  <c r="M1276" i="4" s="1"/>
  <c r="O1276" i="4" s="1"/>
  <c r="P1277" i="4"/>
  <c r="M1277" i="4" s="1"/>
  <c r="O1277" i="4" s="1"/>
  <c r="P1278" i="4"/>
  <c r="M1278" i="4" s="1"/>
  <c r="O1278" i="4" s="1"/>
  <c r="P1279" i="4"/>
  <c r="M1279" i="4" s="1"/>
  <c r="P1280" i="4"/>
  <c r="M1280" i="4" s="1"/>
  <c r="P1281" i="4"/>
  <c r="M1281" i="4" s="1"/>
  <c r="P1282" i="4"/>
  <c r="M1282" i="4" s="1"/>
  <c r="O1282" i="4" s="1"/>
  <c r="P1283" i="4"/>
  <c r="M1283" i="4" s="1"/>
  <c r="O1283" i="4" s="1"/>
  <c r="P1284" i="4"/>
  <c r="M1284" i="4" s="1"/>
  <c r="O1284" i="4" s="1"/>
  <c r="P1285" i="4"/>
  <c r="M1285" i="4" s="1"/>
  <c r="O1285" i="4" s="1"/>
  <c r="P1286" i="4"/>
  <c r="M1286" i="4" s="1"/>
  <c r="O1286" i="4" s="1"/>
  <c r="P1287" i="4"/>
  <c r="M1287" i="4" s="1"/>
  <c r="O1287" i="4" s="1"/>
  <c r="P1288" i="4"/>
  <c r="M1288" i="4" s="1"/>
  <c r="O1288" i="4" s="1"/>
  <c r="P1289" i="4"/>
  <c r="M1289" i="4" s="1"/>
  <c r="O1289" i="4" s="1"/>
  <c r="P1290" i="4"/>
  <c r="M1290" i="4" s="1"/>
  <c r="O1290" i="4" s="1"/>
  <c r="P1291" i="4"/>
  <c r="M1291" i="4" s="1"/>
  <c r="P1292" i="4"/>
  <c r="M1292" i="4" s="1"/>
  <c r="P1293" i="4"/>
  <c r="M1293" i="4" s="1"/>
  <c r="P1294" i="4"/>
  <c r="M1294" i="4" s="1"/>
  <c r="O1294" i="4" s="1"/>
  <c r="P1295" i="4"/>
  <c r="M1295" i="4" s="1"/>
  <c r="O1295" i="4" s="1"/>
  <c r="P1296" i="4"/>
  <c r="M1296" i="4" s="1"/>
  <c r="O1296" i="4" s="1"/>
  <c r="P1297" i="4"/>
  <c r="M1297" i="4" s="1"/>
  <c r="O1297" i="4" s="1"/>
  <c r="P1298" i="4"/>
  <c r="M1298" i="4" s="1"/>
  <c r="O1298" i="4" s="1"/>
  <c r="P1299" i="4"/>
  <c r="M1299" i="4" s="1"/>
  <c r="O1299" i="4" s="1"/>
  <c r="P1300" i="4"/>
  <c r="M1300" i="4" s="1"/>
  <c r="O1300" i="4" s="1"/>
  <c r="P1301" i="4"/>
  <c r="M1301" i="4" s="1"/>
  <c r="O1301" i="4" s="1"/>
  <c r="P1302" i="4"/>
  <c r="M1302" i="4" s="1"/>
  <c r="O1302" i="4" s="1"/>
  <c r="P1303" i="4"/>
  <c r="M1303" i="4" s="1"/>
  <c r="P1304" i="4"/>
  <c r="M1304" i="4" s="1"/>
  <c r="P1305" i="4"/>
  <c r="M1305" i="4" s="1"/>
  <c r="P1306" i="4"/>
  <c r="M1306" i="4" s="1"/>
  <c r="O1306" i="4" s="1"/>
  <c r="P1307" i="4"/>
  <c r="M1307" i="4" s="1"/>
  <c r="O1307" i="4" s="1"/>
  <c r="P1308" i="4"/>
  <c r="M1308" i="4" s="1"/>
  <c r="O1308" i="4" s="1"/>
  <c r="P1309" i="4"/>
  <c r="M1309" i="4" s="1"/>
  <c r="O1309" i="4" s="1"/>
  <c r="P1310" i="4"/>
  <c r="M1310" i="4" s="1"/>
  <c r="O1310" i="4" s="1"/>
  <c r="P1311" i="4"/>
  <c r="M1311" i="4" s="1"/>
  <c r="O1311" i="4" s="1"/>
  <c r="P1312" i="4"/>
  <c r="M1312" i="4" s="1"/>
  <c r="O1312" i="4" s="1"/>
  <c r="P1313" i="4"/>
  <c r="M1313" i="4" s="1"/>
  <c r="O1313" i="4" s="1"/>
  <c r="P1314" i="4"/>
  <c r="M1314" i="4" s="1"/>
  <c r="O1314" i="4" s="1"/>
  <c r="P1315" i="4"/>
  <c r="M1315" i="4" s="1"/>
  <c r="P1316" i="4"/>
  <c r="M1316" i="4" s="1"/>
  <c r="P1317" i="4"/>
  <c r="M1317" i="4" s="1"/>
  <c r="P1318" i="4"/>
  <c r="M1318" i="4" s="1"/>
  <c r="O1318" i="4" s="1"/>
  <c r="P1319" i="4"/>
  <c r="M1319" i="4" s="1"/>
  <c r="O1319" i="4" s="1"/>
  <c r="P1320" i="4"/>
  <c r="M1320" i="4" s="1"/>
  <c r="O1320" i="4" s="1"/>
  <c r="P1321" i="4"/>
  <c r="M1321" i="4" s="1"/>
  <c r="O1321" i="4" s="1"/>
  <c r="P1322" i="4"/>
  <c r="M1322" i="4" s="1"/>
  <c r="O1322" i="4" s="1"/>
  <c r="P1323" i="4"/>
  <c r="M1323" i="4" s="1"/>
  <c r="O1323" i="4" s="1"/>
  <c r="P1324" i="4"/>
  <c r="M1324" i="4" s="1"/>
  <c r="O1324" i="4" s="1"/>
  <c r="P1325" i="4"/>
  <c r="M1325" i="4" s="1"/>
  <c r="O1325" i="4" s="1"/>
  <c r="P1326" i="4"/>
  <c r="M1326" i="4" s="1"/>
  <c r="O1326" i="4" s="1"/>
  <c r="P1327" i="4"/>
  <c r="M1327" i="4" s="1"/>
  <c r="P1328" i="4"/>
  <c r="M1328" i="4" s="1"/>
  <c r="P1329" i="4"/>
  <c r="M1329" i="4" s="1"/>
  <c r="P1330" i="4"/>
  <c r="M1330" i="4" s="1"/>
  <c r="O1330" i="4" s="1"/>
  <c r="P1331" i="4"/>
  <c r="M1331" i="4" s="1"/>
  <c r="O1331" i="4" s="1"/>
  <c r="P1332" i="4"/>
  <c r="M1332" i="4" s="1"/>
  <c r="O1332" i="4" s="1"/>
  <c r="P1333" i="4"/>
  <c r="M1333" i="4" s="1"/>
  <c r="O1333" i="4" s="1"/>
  <c r="P1334" i="4"/>
  <c r="M1334" i="4" s="1"/>
  <c r="O1334" i="4" s="1"/>
  <c r="P1335" i="4"/>
  <c r="M1335" i="4" s="1"/>
  <c r="O1335" i="4" s="1"/>
  <c r="P1336" i="4"/>
  <c r="M1336" i="4" s="1"/>
  <c r="O1336" i="4" s="1"/>
  <c r="P1337" i="4"/>
  <c r="M1337" i="4" s="1"/>
  <c r="O1337" i="4" s="1"/>
  <c r="P1338" i="4"/>
  <c r="M1338" i="4" s="1"/>
  <c r="O1338" i="4" s="1"/>
  <c r="P1339" i="4"/>
  <c r="M1339" i="4" s="1"/>
  <c r="P1340" i="4"/>
  <c r="M1340" i="4" s="1"/>
  <c r="P1341" i="4"/>
  <c r="M1341" i="4" s="1"/>
  <c r="P1342" i="4"/>
  <c r="M1342" i="4" s="1"/>
  <c r="O1342" i="4" s="1"/>
  <c r="P1343" i="4"/>
  <c r="M1343" i="4" s="1"/>
  <c r="O1343" i="4" s="1"/>
  <c r="P1344" i="4"/>
  <c r="M1344" i="4" s="1"/>
  <c r="O1344" i="4" s="1"/>
  <c r="P1345" i="4"/>
  <c r="M1345" i="4" s="1"/>
  <c r="O1345" i="4" s="1"/>
  <c r="P1346" i="4"/>
  <c r="M1346" i="4" s="1"/>
  <c r="O1346" i="4" s="1"/>
  <c r="P1347" i="4"/>
  <c r="M1347" i="4" s="1"/>
  <c r="O1347" i="4" s="1"/>
  <c r="P1348" i="4"/>
  <c r="M1348" i="4" s="1"/>
  <c r="O1348" i="4" s="1"/>
  <c r="P1349" i="4"/>
  <c r="M1349" i="4" s="1"/>
  <c r="O1349" i="4" s="1"/>
  <c r="P1350" i="4"/>
  <c r="M1350" i="4" s="1"/>
  <c r="O1350" i="4" s="1"/>
  <c r="P1351" i="4"/>
  <c r="M1351" i="4" s="1"/>
  <c r="P1352" i="4"/>
  <c r="M1352" i="4" s="1"/>
  <c r="P1353" i="4"/>
  <c r="M1353" i="4" s="1"/>
  <c r="P1354" i="4"/>
  <c r="M1354" i="4" s="1"/>
  <c r="O1354" i="4" s="1"/>
  <c r="P1355" i="4"/>
  <c r="M1355" i="4" s="1"/>
  <c r="O1355" i="4" s="1"/>
  <c r="P1356" i="4"/>
  <c r="M1356" i="4" s="1"/>
  <c r="O1356" i="4" s="1"/>
  <c r="P1357" i="4"/>
  <c r="M1357" i="4" s="1"/>
  <c r="O1357" i="4" s="1"/>
  <c r="P1358" i="4"/>
  <c r="M1358" i="4" s="1"/>
  <c r="O1358" i="4" s="1"/>
  <c r="P1359" i="4"/>
  <c r="M1359" i="4" s="1"/>
  <c r="O1359" i="4" s="1"/>
  <c r="P1360" i="4"/>
  <c r="M1360" i="4" s="1"/>
  <c r="O1360" i="4" s="1"/>
  <c r="P1361" i="4"/>
  <c r="M1361" i="4" s="1"/>
  <c r="O1361" i="4" s="1"/>
  <c r="P1362" i="4"/>
  <c r="M1362" i="4" s="1"/>
  <c r="O1362" i="4" s="1"/>
  <c r="P1363" i="4"/>
  <c r="M1363" i="4" s="1"/>
  <c r="P1364" i="4"/>
  <c r="M1364" i="4" s="1"/>
  <c r="P1365" i="4"/>
  <c r="M1365" i="4" s="1"/>
  <c r="P1366" i="4"/>
  <c r="M1366" i="4" s="1"/>
  <c r="O1366" i="4" s="1"/>
  <c r="P1367" i="4"/>
  <c r="M1367" i="4" s="1"/>
  <c r="O1367" i="4" s="1"/>
  <c r="P1368" i="4"/>
  <c r="M1368" i="4" s="1"/>
  <c r="O1368" i="4" s="1"/>
  <c r="P1369" i="4"/>
  <c r="M1369" i="4" s="1"/>
  <c r="O1369" i="4" s="1"/>
  <c r="P1370" i="4"/>
  <c r="M1370" i="4" s="1"/>
  <c r="O1370" i="4" s="1"/>
  <c r="P1371" i="4"/>
  <c r="M1371" i="4" s="1"/>
  <c r="O1371" i="4" s="1"/>
  <c r="P1372" i="4"/>
  <c r="M1372" i="4" s="1"/>
  <c r="O1372" i="4" s="1"/>
  <c r="P1373" i="4"/>
  <c r="M1373" i="4" s="1"/>
  <c r="O1373" i="4" s="1"/>
  <c r="P1374" i="4"/>
  <c r="M1374" i="4" s="1"/>
  <c r="O1374" i="4" s="1"/>
  <c r="P1375" i="4"/>
  <c r="M1375" i="4" s="1"/>
  <c r="P1376" i="4"/>
  <c r="M1376" i="4" s="1"/>
  <c r="P1377" i="4"/>
  <c r="M1377" i="4" s="1"/>
  <c r="P1378" i="4"/>
  <c r="M1378" i="4" s="1"/>
  <c r="O1378" i="4" s="1"/>
  <c r="P1379" i="4"/>
  <c r="M1379" i="4" s="1"/>
  <c r="O1379" i="4" s="1"/>
  <c r="P1380" i="4"/>
  <c r="M1380" i="4" s="1"/>
  <c r="O1380" i="4" s="1"/>
  <c r="P1381" i="4"/>
  <c r="M1381" i="4" s="1"/>
  <c r="O1381" i="4" s="1"/>
  <c r="P1382" i="4"/>
  <c r="M1382" i="4" s="1"/>
  <c r="O1382" i="4" s="1"/>
  <c r="P1383" i="4"/>
  <c r="M1383" i="4" s="1"/>
  <c r="O1383" i="4" s="1"/>
  <c r="P1384" i="4"/>
  <c r="M1384" i="4" s="1"/>
  <c r="O1384" i="4" s="1"/>
  <c r="P1385" i="4"/>
  <c r="M1385" i="4" s="1"/>
  <c r="O1385" i="4" s="1"/>
  <c r="P1386" i="4"/>
  <c r="M1386" i="4" s="1"/>
  <c r="O1386" i="4" s="1"/>
  <c r="P1387" i="4"/>
  <c r="M1387" i="4" s="1"/>
  <c r="P1388" i="4"/>
  <c r="M1388" i="4" s="1"/>
  <c r="P1389" i="4"/>
  <c r="M1389" i="4" s="1"/>
  <c r="P1390" i="4"/>
  <c r="M1390" i="4" s="1"/>
  <c r="O1390" i="4" s="1"/>
  <c r="P1391" i="4"/>
  <c r="M1391" i="4" s="1"/>
  <c r="O1391" i="4" s="1"/>
  <c r="P1392" i="4"/>
  <c r="M1392" i="4" s="1"/>
  <c r="O1392" i="4" s="1"/>
  <c r="P1393" i="4"/>
  <c r="M1393" i="4" s="1"/>
  <c r="O1393" i="4" s="1"/>
  <c r="P1394" i="4"/>
  <c r="M1394" i="4" s="1"/>
  <c r="O1394" i="4" s="1"/>
  <c r="P1395" i="4"/>
  <c r="M1395" i="4" s="1"/>
  <c r="O1395" i="4" s="1"/>
  <c r="P1396" i="4"/>
  <c r="M1396" i="4" s="1"/>
  <c r="O1396" i="4" s="1"/>
  <c r="P1397" i="4"/>
  <c r="M1397" i="4" s="1"/>
  <c r="O1397" i="4" s="1"/>
  <c r="P1398" i="4"/>
  <c r="M1398" i="4" s="1"/>
  <c r="O1398" i="4" s="1"/>
  <c r="P1399" i="4"/>
  <c r="M1399" i="4" s="1"/>
  <c r="P1400" i="4"/>
  <c r="M1400" i="4" s="1"/>
  <c r="P1401" i="4"/>
  <c r="M1401" i="4" s="1"/>
  <c r="P1402" i="4"/>
  <c r="M1402" i="4" s="1"/>
  <c r="O1402" i="4" s="1"/>
  <c r="P1403" i="4"/>
  <c r="M1403" i="4" s="1"/>
  <c r="O1403" i="4" s="1"/>
  <c r="P1404" i="4"/>
  <c r="M1404" i="4" s="1"/>
  <c r="O1404" i="4" s="1"/>
  <c r="P1405" i="4"/>
  <c r="M1405" i="4" s="1"/>
  <c r="O1405" i="4" s="1"/>
  <c r="P1406" i="4"/>
  <c r="M1406" i="4" s="1"/>
  <c r="O1406" i="4" s="1"/>
  <c r="P1407" i="4"/>
  <c r="M1407" i="4" s="1"/>
  <c r="O1407" i="4" s="1"/>
  <c r="P1408" i="4"/>
  <c r="M1408" i="4" s="1"/>
  <c r="O1408" i="4" s="1"/>
  <c r="P1409" i="4"/>
  <c r="M1409" i="4" s="1"/>
  <c r="O1409" i="4" s="1"/>
  <c r="P1410" i="4"/>
  <c r="M1410" i="4" s="1"/>
  <c r="O1410" i="4" s="1"/>
  <c r="P1411" i="4"/>
  <c r="M1411" i="4" s="1"/>
  <c r="P1412" i="4"/>
  <c r="M1412" i="4" s="1"/>
  <c r="P1413" i="4"/>
  <c r="M1413" i="4" s="1"/>
  <c r="P1414" i="4"/>
  <c r="M1414" i="4" s="1"/>
  <c r="O1414" i="4" s="1"/>
  <c r="P1415" i="4"/>
  <c r="M1415" i="4" s="1"/>
  <c r="O1415" i="4" s="1"/>
  <c r="P1416" i="4"/>
  <c r="M1416" i="4" s="1"/>
  <c r="O1416" i="4" s="1"/>
  <c r="P1417" i="4"/>
  <c r="M1417" i="4" s="1"/>
  <c r="O1417" i="4" s="1"/>
  <c r="P1418" i="4"/>
  <c r="M1418" i="4" s="1"/>
  <c r="O1418" i="4" s="1"/>
  <c r="P1419" i="4"/>
  <c r="M1419" i="4" s="1"/>
  <c r="O1419" i="4" s="1"/>
  <c r="P1420" i="4"/>
  <c r="M1420" i="4" s="1"/>
  <c r="O1420" i="4" s="1"/>
  <c r="P1421" i="4"/>
  <c r="M1421" i="4" s="1"/>
  <c r="O1421" i="4" s="1"/>
  <c r="P1422" i="4"/>
  <c r="M1422" i="4" s="1"/>
  <c r="O1422" i="4" s="1"/>
  <c r="P1423" i="4"/>
  <c r="M1423" i="4" s="1"/>
  <c r="P1424" i="4"/>
  <c r="M1424" i="4" s="1"/>
  <c r="P1425" i="4"/>
  <c r="M1425" i="4" s="1"/>
  <c r="P1426" i="4"/>
  <c r="M1426" i="4" s="1"/>
  <c r="O1426" i="4" s="1"/>
  <c r="P1427" i="4"/>
  <c r="M1427" i="4" s="1"/>
  <c r="O1427" i="4" s="1"/>
  <c r="P1428" i="4"/>
  <c r="M1428" i="4" s="1"/>
  <c r="O1428" i="4" s="1"/>
  <c r="P1429" i="4"/>
  <c r="M1429" i="4" s="1"/>
  <c r="O1429" i="4" s="1"/>
  <c r="P1430" i="4"/>
  <c r="M1430" i="4" s="1"/>
  <c r="O1430" i="4" s="1"/>
  <c r="P1431" i="4"/>
  <c r="M1431" i="4" s="1"/>
  <c r="O1431" i="4" s="1"/>
  <c r="P1432" i="4"/>
  <c r="M1432" i="4" s="1"/>
  <c r="O1432" i="4" s="1"/>
  <c r="P1433" i="4"/>
  <c r="M1433" i="4" s="1"/>
  <c r="O1433" i="4" s="1"/>
  <c r="P1434" i="4"/>
  <c r="M1434" i="4" s="1"/>
  <c r="O1434" i="4" s="1"/>
  <c r="P1435" i="4"/>
  <c r="M1435" i="4" s="1"/>
  <c r="P1436" i="4"/>
  <c r="M1436" i="4" s="1"/>
  <c r="P1437" i="4"/>
  <c r="M1437" i="4" s="1"/>
  <c r="P1438" i="4"/>
  <c r="M1438" i="4" s="1"/>
  <c r="O1438" i="4" s="1"/>
  <c r="P1439" i="4"/>
  <c r="M1439" i="4" s="1"/>
  <c r="O1439" i="4" s="1"/>
  <c r="P1440" i="4"/>
  <c r="M1440" i="4" s="1"/>
  <c r="O1440" i="4" s="1"/>
  <c r="P1441" i="4"/>
  <c r="M1441" i="4" s="1"/>
  <c r="O1441" i="4" s="1"/>
  <c r="P1442" i="4"/>
  <c r="M1442" i="4" s="1"/>
  <c r="O1442" i="4" s="1"/>
  <c r="P1443" i="4"/>
  <c r="M1443" i="4" s="1"/>
  <c r="O1443" i="4" s="1"/>
  <c r="P1444" i="4"/>
  <c r="M1444" i="4" s="1"/>
  <c r="O1444" i="4" s="1"/>
  <c r="P1445" i="4"/>
  <c r="M1445" i="4" s="1"/>
  <c r="O1445" i="4" s="1"/>
  <c r="P1446" i="4"/>
  <c r="M1446" i="4" s="1"/>
  <c r="O1446" i="4" s="1"/>
  <c r="P1447" i="4"/>
  <c r="M1447" i="4" s="1"/>
  <c r="P1448" i="4"/>
  <c r="M1448" i="4" s="1"/>
  <c r="P1449" i="4"/>
  <c r="M1449" i="4" s="1"/>
  <c r="P1450" i="4"/>
  <c r="M1450" i="4" s="1"/>
  <c r="O1450" i="4" s="1"/>
  <c r="P1451" i="4"/>
  <c r="M1451" i="4" s="1"/>
  <c r="O1451" i="4" s="1"/>
  <c r="P1452" i="4"/>
  <c r="M1452" i="4" s="1"/>
  <c r="O1452" i="4" s="1"/>
  <c r="P1453" i="4"/>
  <c r="M1453" i="4" s="1"/>
  <c r="O1453" i="4" s="1"/>
  <c r="P1454" i="4"/>
  <c r="M1454" i="4" s="1"/>
  <c r="O1454" i="4" s="1"/>
  <c r="P1455" i="4"/>
  <c r="M1455" i="4" s="1"/>
  <c r="O1455" i="4" s="1"/>
  <c r="P1456" i="4"/>
  <c r="M1456" i="4" s="1"/>
  <c r="O1456" i="4" s="1"/>
  <c r="P1457" i="4"/>
  <c r="M1457" i="4" s="1"/>
  <c r="O1457" i="4" s="1"/>
  <c r="P1458" i="4"/>
  <c r="M1458" i="4" s="1"/>
  <c r="O1458" i="4" s="1"/>
  <c r="P1459" i="4"/>
  <c r="M1459" i="4" s="1"/>
  <c r="P1460" i="4"/>
  <c r="M1460" i="4" s="1"/>
  <c r="P1461" i="4"/>
  <c r="M1461" i="4" s="1"/>
  <c r="P1462" i="4"/>
  <c r="M1462" i="4" s="1"/>
  <c r="O1462" i="4" s="1"/>
  <c r="P1463" i="4"/>
  <c r="M1463" i="4" s="1"/>
  <c r="O1463" i="4" s="1"/>
  <c r="P1464" i="4"/>
  <c r="M1464" i="4" s="1"/>
  <c r="O1464" i="4" s="1"/>
  <c r="P1465" i="4"/>
  <c r="M1465" i="4" s="1"/>
  <c r="O1465" i="4" s="1"/>
  <c r="P1466" i="4"/>
  <c r="M1466" i="4" s="1"/>
  <c r="O1466" i="4" s="1"/>
  <c r="P1467" i="4"/>
  <c r="M1467" i="4" s="1"/>
  <c r="O1467" i="4" s="1"/>
  <c r="P1468" i="4"/>
  <c r="M1468" i="4" s="1"/>
  <c r="O1468" i="4" s="1"/>
  <c r="P1469" i="4"/>
  <c r="M1469" i="4" s="1"/>
  <c r="O1469" i="4" s="1"/>
  <c r="P1470" i="4"/>
  <c r="M1470" i="4" s="1"/>
  <c r="O1470" i="4" s="1"/>
  <c r="P1471" i="4"/>
  <c r="M1471" i="4" s="1"/>
  <c r="P1472" i="4"/>
  <c r="M1472" i="4" s="1"/>
  <c r="P1473" i="4"/>
  <c r="M1473" i="4" s="1"/>
  <c r="P1474" i="4"/>
  <c r="M1474" i="4" s="1"/>
  <c r="O1474" i="4" s="1"/>
  <c r="P1475" i="4"/>
  <c r="M1475" i="4" s="1"/>
  <c r="O1475" i="4" s="1"/>
  <c r="P1476" i="4"/>
  <c r="M1476" i="4" s="1"/>
  <c r="O1476" i="4" s="1"/>
  <c r="P1477" i="4"/>
  <c r="M1477" i="4" s="1"/>
  <c r="O1477" i="4" s="1"/>
  <c r="P1478" i="4"/>
  <c r="M1478" i="4" s="1"/>
  <c r="O1478" i="4" s="1"/>
  <c r="P1479" i="4"/>
  <c r="M1479" i="4" s="1"/>
  <c r="O1479" i="4" s="1"/>
  <c r="P1480" i="4"/>
  <c r="M1480" i="4" s="1"/>
  <c r="O1480" i="4" s="1"/>
  <c r="P1481" i="4"/>
  <c r="M1481" i="4" s="1"/>
  <c r="O1481" i="4" s="1"/>
  <c r="P1482" i="4"/>
  <c r="M1482" i="4" s="1"/>
  <c r="O1482" i="4" s="1"/>
  <c r="P1483" i="4"/>
  <c r="M1483" i="4" s="1"/>
  <c r="P1484" i="4"/>
  <c r="M1484" i="4" s="1"/>
  <c r="P1485" i="4"/>
  <c r="M1485" i="4" s="1"/>
  <c r="P1486" i="4"/>
  <c r="M1486" i="4" s="1"/>
  <c r="O1486" i="4" s="1"/>
  <c r="P1487" i="4"/>
  <c r="M1487" i="4" s="1"/>
  <c r="O1487" i="4" s="1"/>
  <c r="P1488" i="4"/>
  <c r="M1488" i="4" s="1"/>
  <c r="O1488" i="4" s="1"/>
  <c r="P1489" i="4"/>
  <c r="M1489" i="4" s="1"/>
  <c r="O1489" i="4" s="1"/>
  <c r="P1490" i="4"/>
  <c r="M1490" i="4" s="1"/>
  <c r="O1490" i="4" s="1"/>
  <c r="P1491" i="4"/>
  <c r="M1491" i="4" s="1"/>
  <c r="O1491" i="4" s="1"/>
  <c r="P1492" i="4"/>
  <c r="M1492" i="4" s="1"/>
  <c r="O1492" i="4" s="1"/>
  <c r="P1493" i="4"/>
  <c r="M1493" i="4" s="1"/>
  <c r="O1493" i="4" s="1"/>
  <c r="P1494" i="4"/>
  <c r="M1494" i="4" s="1"/>
  <c r="O1494" i="4" s="1"/>
  <c r="P1495" i="4"/>
  <c r="M1495" i="4" s="1"/>
  <c r="P1496" i="4"/>
  <c r="M1496" i="4" s="1"/>
  <c r="P1497" i="4"/>
  <c r="M1497" i="4" s="1"/>
  <c r="P1498" i="4"/>
  <c r="M1498" i="4" s="1"/>
  <c r="O1498" i="4" s="1"/>
  <c r="P1499" i="4"/>
  <c r="M1499" i="4" s="1"/>
  <c r="O1499" i="4" s="1"/>
  <c r="P1500" i="4"/>
  <c r="M1500" i="4" s="1"/>
  <c r="O1500" i="4" s="1"/>
  <c r="P1501" i="4"/>
  <c r="M1501" i="4" s="1"/>
  <c r="O1501" i="4" s="1"/>
  <c r="P1502" i="4"/>
  <c r="M1502" i="4" s="1"/>
  <c r="O1502" i="4" s="1"/>
  <c r="P1503" i="4"/>
  <c r="M1503" i="4" s="1"/>
  <c r="O1503" i="4" s="1"/>
  <c r="P1504" i="4"/>
  <c r="M1504" i="4" s="1"/>
  <c r="O1504" i="4" s="1"/>
  <c r="P1505" i="4"/>
  <c r="M1505" i="4" s="1"/>
  <c r="O1505" i="4" s="1"/>
  <c r="P1506" i="4"/>
  <c r="M1506" i="4" s="1"/>
  <c r="O1506" i="4" s="1"/>
  <c r="P1507" i="4"/>
  <c r="M1507" i="4" s="1"/>
  <c r="P1508" i="4"/>
  <c r="M1508" i="4" s="1"/>
  <c r="P1509" i="4"/>
  <c r="M1509" i="4" s="1"/>
  <c r="P1510" i="4"/>
  <c r="M1510" i="4" s="1"/>
  <c r="O1510" i="4" s="1"/>
  <c r="P1511" i="4"/>
  <c r="M1511" i="4" s="1"/>
  <c r="O1511" i="4" s="1"/>
  <c r="P1512" i="4"/>
  <c r="M1512" i="4" s="1"/>
  <c r="O1512" i="4" s="1"/>
  <c r="P1513" i="4"/>
  <c r="M1513" i="4" s="1"/>
  <c r="O1513" i="4" s="1"/>
  <c r="P1514" i="4"/>
  <c r="M1514" i="4" s="1"/>
  <c r="O1514" i="4" s="1"/>
  <c r="P1515" i="4"/>
  <c r="M1515" i="4" s="1"/>
  <c r="O1515" i="4" s="1"/>
  <c r="P1516" i="4"/>
  <c r="M1516" i="4" s="1"/>
  <c r="O1516" i="4" s="1"/>
  <c r="P1517" i="4"/>
  <c r="M1517" i="4" s="1"/>
  <c r="O1517" i="4" s="1"/>
  <c r="P1518" i="4"/>
  <c r="M1518" i="4" s="1"/>
  <c r="O1518" i="4" s="1"/>
  <c r="P1519" i="4"/>
  <c r="M1519" i="4" s="1"/>
  <c r="P1520" i="4"/>
  <c r="M1520" i="4" s="1"/>
  <c r="P1521" i="4"/>
  <c r="M1521" i="4" s="1"/>
  <c r="P1522" i="4"/>
  <c r="M1522" i="4" s="1"/>
  <c r="O1522" i="4" s="1"/>
  <c r="P1523" i="4"/>
  <c r="M1523" i="4" s="1"/>
  <c r="O1523" i="4" s="1"/>
  <c r="P1524" i="4"/>
  <c r="M1524" i="4" s="1"/>
  <c r="O1524" i="4" s="1"/>
  <c r="P1525" i="4"/>
  <c r="M1525" i="4" s="1"/>
  <c r="O1525" i="4" s="1"/>
  <c r="P1526" i="4"/>
  <c r="M1526" i="4" s="1"/>
  <c r="O1526" i="4" s="1"/>
  <c r="P1527" i="4"/>
  <c r="M1527" i="4" s="1"/>
  <c r="O1527" i="4" s="1"/>
  <c r="P1528" i="4"/>
  <c r="M1528" i="4" s="1"/>
  <c r="O1528" i="4" s="1"/>
  <c r="P1529" i="4"/>
  <c r="M1529" i="4" s="1"/>
  <c r="O1529" i="4" s="1"/>
  <c r="P1530" i="4"/>
  <c r="M1530" i="4" s="1"/>
  <c r="O1530" i="4" s="1"/>
  <c r="P1531" i="4"/>
  <c r="M1531" i="4" s="1"/>
  <c r="P1532" i="4"/>
  <c r="M1532" i="4" s="1"/>
  <c r="P1533" i="4"/>
  <c r="M1533" i="4" s="1"/>
  <c r="P1534" i="4"/>
  <c r="M1534" i="4" s="1"/>
  <c r="O1534" i="4" s="1"/>
  <c r="P1535" i="4"/>
  <c r="M1535" i="4" s="1"/>
  <c r="O1535" i="4" s="1"/>
  <c r="P1536" i="4"/>
  <c r="M1536" i="4" s="1"/>
  <c r="O1536" i="4" s="1"/>
  <c r="P1537" i="4"/>
  <c r="M1537" i="4" s="1"/>
  <c r="O1537" i="4" s="1"/>
  <c r="P1538" i="4"/>
  <c r="M1538" i="4" s="1"/>
  <c r="O1538" i="4" s="1"/>
  <c r="P1539" i="4"/>
  <c r="M1539" i="4" s="1"/>
  <c r="O1539" i="4" s="1"/>
  <c r="P1540" i="4"/>
  <c r="M1540" i="4" s="1"/>
  <c r="O1540" i="4" s="1"/>
  <c r="P1541" i="4"/>
  <c r="M1541" i="4" s="1"/>
  <c r="O1541" i="4" s="1"/>
  <c r="P1542" i="4"/>
  <c r="M1542" i="4" s="1"/>
  <c r="O1542" i="4" s="1"/>
  <c r="P1543" i="4"/>
  <c r="M1543" i="4" s="1"/>
  <c r="P1544" i="4"/>
  <c r="M1544" i="4" s="1"/>
  <c r="P1545" i="4"/>
  <c r="M1545" i="4" s="1"/>
  <c r="P1546" i="4"/>
  <c r="M1546" i="4" s="1"/>
  <c r="O1546" i="4" s="1"/>
  <c r="P1547" i="4"/>
  <c r="M1547" i="4" s="1"/>
  <c r="O1547" i="4" s="1"/>
  <c r="P1548" i="4"/>
  <c r="M1548" i="4" s="1"/>
  <c r="O1548" i="4" s="1"/>
  <c r="P1549" i="4"/>
  <c r="M1549" i="4" s="1"/>
  <c r="O1549" i="4" s="1"/>
  <c r="P1550" i="4"/>
  <c r="M1550" i="4" s="1"/>
  <c r="O1550" i="4" s="1"/>
  <c r="P1551" i="4"/>
  <c r="M1551" i="4" s="1"/>
  <c r="O1551" i="4" s="1"/>
  <c r="P1552" i="4"/>
  <c r="M1552" i="4" s="1"/>
  <c r="O1552" i="4" s="1"/>
  <c r="P1553" i="4"/>
  <c r="M1553" i="4" s="1"/>
  <c r="O1553" i="4" s="1"/>
  <c r="P1554" i="4"/>
  <c r="M1554" i="4" s="1"/>
  <c r="O1554" i="4" s="1"/>
  <c r="P1555" i="4"/>
  <c r="M1555" i="4" s="1"/>
  <c r="P1556" i="4"/>
  <c r="M1556" i="4" s="1"/>
  <c r="P1557" i="4"/>
  <c r="M1557" i="4" s="1"/>
  <c r="P1558" i="4"/>
  <c r="M1558" i="4" s="1"/>
  <c r="O1558" i="4" s="1"/>
  <c r="P1559" i="4"/>
  <c r="M1559" i="4" s="1"/>
  <c r="O1559" i="4" s="1"/>
  <c r="P1560" i="4"/>
  <c r="M1560" i="4" s="1"/>
  <c r="O1560" i="4" s="1"/>
  <c r="P1561" i="4"/>
  <c r="M1561" i="4" s="1"/>
  <c r="O1561" i="4" s="1"/>
  <c r="P1562" i="4"/>
  <c r="M1562" i="4" s="1"/>
  <c r="O1562" i="4" s="1"/>
  <c r="P1563" i="4"/>
  <c r="M1563" i="4" s="1"/>
  <c r="O1563" i="4" s="1"/>
  <c r="P1564" i="4"/>
  <c r="M1564" i="4" s="1"/>
  <c r="O1564" i="4" s="1"/>
  <c r="P1565" i="4"/>
  <c r="M1565" i="4" s="1"/>
  <c r="O1565" i="4" s="1"/>
  <c r="P1566" i="4"/>
  <c r="M1566" i="4" s="1"/>
  <c r="O1566" i="4" s="1"/>
  <c r="P1567" i="4"/>
  <c r="M1567" i="4" s="1"/>
  <c r="P1568" i="4"/>
  <c r="M1568" i="4" s="1"/>
  <c r="P1569" i="4"/>
  <c r="M1569" i="4" s="1"/>
  <c r="P1570" i="4"/>
  <c r="M1570" i="4" s="1"/>
  <c r="O1570" i="4" s="1"/>
  <c r="P1571" i="4"/>
  <c r="M1571" i="4" s="1"/>
  <c r="O1571" i="4" s="1"/>
  <c r="P1572" i="4"/>
  <c r="M1572" i="4" s="1"/>
  <c r="O1572" i="4" s="1"/>
  <c r="P1573" i="4"/>
  <c r="M1573" i="4" s="1"/>
  <c r="O1573" i="4" s="1"/>
  <c r="P1574" i="4"/>
  <c r="M1574" i="4" s="1"/>
  <c r="O1574" i="4" s="1"/>
  <c r="P1575" i="4"/>
  <c r="M1575" i="4" s="1"/>
  <c r="O1575" i="4" s="1"/>
  <c r="P1576" i="4"/>
  <c r="M1576" i="4" s="1"/>
  <c r="O1576" i="4" s="1"/>
  <c r="P1577" i="4"/>
  <c r="M1577" i="4" s="1"/>
  <c r="O1577" i="4" s="1"/>
  <c r="P1578" i="4"/>
  <c r="M1578" i="4" s="1"/>
  <c r="O1578" i="4" s="1"/>
  <c r="P1579" i="4"/>
  <c r="M1579" i="4" s="1"/>
  <c r="P1580" i="4"/>
  <c r="M1580" i="4" s="1"/>
  <c r="P1581" i="4"/>
  <c r="M1581" i="4" s="1"/>
  <c r="P1582" i="4"/>
  <c r="M1582" i="4" s="1"/>
  <c r="O1582" i="4" s="1"/>
  <c r="P1583" i="4"/>
  <c r="M1583" i="4" s="1"/>
  <c r="O1583" i="4" s="1"/>
  <c r="P1584" i="4"/>
  <c r="M1584" i="4" s="1"/>
  <c r="O1584" i="4" s="1"/>
  <c r="P1585" i="4"/>
  <c r="M1585" i="4" s="1"/>
  <c r="O1585" i="4" s="1"/>
  <c r="P1586" i="4"/>
  <c r="M1586" i="4" s="1"/>
  <c r="O1586" i="4" s="1"/>
  <c r="P1587" i="4"/>
  <c r="M1587" i="4" s="1"/>
  <c r="O1587" i="4" s="1"/>
  <c r="P1588" i="4"/>
  <c r="M1588" i="4" s="1"/>
  <c r="O1588" i="4" s="1"/>
  <c r="P1589" i="4"/>
  <c r="M1589" i="4" s="1"/>
  <c r="O1589" i="4" s="1"/>
  <c r="P1590" i="4"/>
  <c r="M1590" i="4" s="1"/>
  <c r="O1590" i="4" s="1"/>
  <c r="P1591" i="4"/>
  <c r="M1591" i="4" s="1"/>
  <c r="P1592" i="4"/>
  <c r="M1592" i="4" s="1"/>
  <c r="P1593" i="4"/>
  <c r="M1593" i="4" s="1"/>
  <c r="P1594" i="4"/>
  <c r="M1594" i="4" s="1"/>
  <c r="O1594" i="4" s="1"/>
  <c r="P1595" i="4"/>
  <c r="M1595" i="4" s="1"/>
  <c r="O1595" i="4" s="1"/>
  <c r="P1596" i="4"/>
  <c r="M1596" i="4" s="1"/>
  <c r="O1596" i="4" s="1"/>
  <c r="P1597" i="4"/>
  <c r="M1597" i="4" s="1"/>
  <c r="O1597" i="4" s="1"/>
  <c r="P1598" i="4"/>
  <c r="M1598" i="4" s="1"/>
  <c r="O1598" i="4" s="1"/>
  <c r="P1599" i="4"/>
  <c r="M1599" i="4" s="1"/>
  <c r="O1599" i="4" s="1"/>
  <c r="P1600" i="4"/>
  <c r="M1600" i="4" s="1"/>
  <c r="O1600" i="4" s="1"/>
  <c r="P1601" i="4"/>
  <c r="M1601" i="4" s="1"/>
  <c r="O1601" i="4" s="1"/>
  <c r="P1602" i="4"/>
  <c r="M1602" i="4" s="1"/>
  <c r="O1602" i="4" s="1"/>
  <c r="P1603" i="4"/>
  <c r="M1603" i="4" s="1"/>
  <c r="P1604" i="4"/>
  <c r="M1604" i="4" s="1"/>
  <c r="P1605" i="4"/>
  <c r="M1605" i="4" s="1"/>
  <c r="P1606" i="4"/>
  <c r="M1606" i="4" s="1"/>
  <c r="O1606" i="4" s="1"/>
  <c r="P1607" i="4"/>
  <c r="M1607" i="4" s="1"/>
  <c r="O1607" i="4" s="1"/>
  <c r="P1608" i="4"/>
  <c r="M1608" i="4" s="1"/>
  <c r="O1608" i="4" s="1"/>
  <c r="P1609" i="4"/>
  <c r="M1609" i="4" s="1"/>
  <c r="O1609" i="4" s="1"/>
  <c r="P1610" i="4"/>
  <c r="M1610" i="4" s="1"/>
  <c r="O1610" i="4" s="1"/>
  <c r="P1611" i="4"/>
  <c r="M1611" i="4" s="1"/>
  <c r="O1611" i="4" s="1"/>
  <c r="P1612" i="4"/>
  <c r="M1612" i="4" s="1"/>
  <c r="O1612" i="4" s="1"/>
  <c r="P1613" i="4"/>
  <c r="M1613" i="4" s="1"/>
  <c r="O1613" i="4" s="1"/>
  <c r="P1614" i="4"/>
  <c r="M1614" i="4" s="1"/>
  <c r="O1614" i="4" s="1"/>
  <c r="P1615" i="4"/>
  <c r="M1615" i="4" s="1"/>
  <c r="P1616" i="4"/>
  <c r="M1616" i="4" s="1"/>
  <c r="P1617" i="4"/>
  <c r="M1617" i="4" s="1"/>
  <c r="P1618" i="4"/>
  <c r="M1618" i="4" s="1"/>
  <c r="O1618" i="4" s="1"/>
  <c r="P1619" i="4"/>
  <c r="M1619" i="4" s="1"/>
  <c r="O1619" i="4" s="1"/>
  <c r="P1620" i="4"/>
  <c r="M1620" i="4" s="1"/>
  <c r="O1620" i="4" s="1"/>
  <c r="P1621" i="4"/>
  <c r="M1621" i="4" s="1"/>
  <c r="O1621" i="4" s="1"/>
  <c r="P1622" i="4"/>
  <c r="M1622" i="4" s="1"/>
  <c r="O1622" i="4" s="1"/>
  <c r="P1623" i="4"/>
  <c r="M1623" i="4" s="1"/>
  <c r="O1623" i="4" s="1"/>
  <c r="P1624" i="4"/>
  <c r="M1624" i="4" s="1"/>
  <c r="O1624" i="4" s="1"/>
  <c r="P1625" i="4"/>
  <c r="M1625" i="4" s="1"/>
  <c r="O1625" i="4" s="1"/>
  <c r="P1626" i="4"/>
  <c r="M1626" i="4" s="1"/>
  <c r="O1626" i="4" s="1"/>
  <c r="P1627" i="4"/>
  <c r="M1627" i="4" s="1"/>
  <c r="P1628" i="4"/>
  <c r="M1628" i="4" s="1"/>
  <c r="P1629" i="4"/>
  <c r="M1629" i="4" s="1"/>
  <c r="P1630" i="4"/>
  <c r="M1630" i="4" s="1"/>
  <c r="O1630" i="4" s="1"/>
  <c r="P1631" i="4"/>
  <c r="M1631" i="4" s="1"/>
  <c r="O1631" i="4" s="1"/>
  <c r="P1632" i="4"/>
  <c r="M1632" i="4" s="1"/>
  <c r="O1632" i="4" s="1"/>
  <c r="P1633" i="4"/>
  <c r="M1633" i="4" s="1"/>
  <c r="O1633" i="4" s="1"/>
  <c r="P1634" i="4"/>
  <c r="M1634" i="4" s="1"/>
  <c r="O1634" i="4" s="1"/>
  <c r="P1635" i="4"/>
  <c r="M1635" i="4" s="1"/>
  <c r="O1635" i="4" s="1"/>
  <c r="P1636" i="4"/>
  <c r="M1636" i="4" s="1"/>
  <c r="O1636" i="4" s="1"/>
  <c r="P1637" i="4"/>
  <c r="M1637" i="4" s="1"/>
  <c r="O1637" i="4" s="1"/>
  <c r="P1638" i="4"/>
  <c r="M1638" i="4" s="1"/>
  <c r="O1638" i="4" s="1"/>
  <c r="P1639" i="4"/>
  <c r="M1639" i="4" s="1"/>
  <c r="P1640" i="4"/>
  <c r="M1640" i="4" s="1"/>
  <c r="P1641" i="4"/>
  <c r="M1641" i="4" s="1"/>
  <c r="P1642" i="4"/>
  <c r="M1642" i="4" s="1"/>
  <c r="O1642" i="4" s="1"/>
  <c r="P1643" i="4"/>
  <c r="M1643" i="4" s="1"/>
  <c r="O1643" i="4" s="1"/>
  <c r="P1644" i="4"/>
  <c r="M1644" i="4" s="1"/>
  <c r="O1644" i="4" s="1"/>
  <c r="P1645" i="4"/>
  <c r="M1645" i="4" s="1"/>
  <c r="O1645" i="4" s="1"/>
  <c r="P1646" i="4"/>
  <c r="M1646" i="4" s="1"/>
  <c r="O1646" i="4" s="1"/>
  <c r="P1647" i="4"/>
  <c r="M1647" i="4" s="1"/>
  <c r="O1647" i="4" s="1"/>
  <c r="P1648" i="4"/>
  <c r="M1648" i="4" s="1"/>
  <c r="O1648" i="4" s="1"/>
  <c r="P1649" i="4"/>
  <c r="M1649" i="4" s="1"/>
  <c r="O1649" i="4" s="1"/>
  <c r="P1650" i="4"/>
  <c r="M1650" i="4" s="1"/>
  <c r="O1650" i="4" s="1"/>
  <c r="P1651" i="4"/>
  <c r="M1651" i="4" s="1"/>
  <c r="P1652" i="4"/>
  <c r="M1652" i="4" s="1"/>
  <c r="P1653" i="4"/>
  <c r="M1653" i="4" s="1"/>
  <c r="P1654" i="4"/>
  <c r="M1654" i="4" s="1"/>
  <c r="O1654" i="4" s="1"/>
  <c r="P1655" i="4"/>
  <c r="M1655" i="4" s="1"/>
  <c r="O1655" i="4" s="1"/>
  <c r="P1656" i="4"/>
  <c r="M1656" i="4" s="1"/>
  <c r="O1656" i="4" s="1"/>
  <c r="P1657" i="4"/>
  <c r="M1657" i="4" s="1"/>
  <c r="O1657" i="4" s="1"/>
  <c r="P1658" i="4"/>
  <c r="M1658" i="4" s="1"/>
  <c r="O1658" i="4" s="1"/>
  <c r="P1659" i="4"/>
  <c r="M1659" i="4" s="1"/>
  <c r="O1659" i="4" s="1"/>
  <c r="P1660" i="4"/>
  <c r="M1660" i="4" s="1"/>
  <c r="O1660" i="4" s="1"/>
  <c r="P1661" i="4"/>
  <c r="M1661" i="4" s="1"/>
  <c r="O1661" i="4" s="1"/>
  <c r="P1662" i="4"/>
  <c r="M1662" i="4" s="1"/>
  <c r="O1662" i="4" s="1"/>
  <c r="P1663" i="4"/>
  <c r="M1663" i="4" s="1"/>
  <c r="P1664" i="4"/>
  <c r="M1664" i="4" s="1"/>
  <c r="P1665" i="4"/>
  <c r="M1665" i="4" s="1"/>
  <c r="P1666" i="4"/>
  <c r="M1666" i="4" s="1"/>
  <c r="O1666" i="4" s="1"/>
  <c r="P1667" i="4"/>
  <c r="M1667" i="4" s="1"/>
  <c r="O1667" i="4" s="1"/>
  <c r="P1668" i="4"/>
  <c r="M1668" i="4" s="1"/>
  <c r="O1668" i="4" s="1"/>
  <c r="P1669" i="4"/>
  <c r="M1669" i="4" s="1"/>
  <c r="O1669" i="4" s="1"/>
  <c r="P1670" i="4"/>
  <c r="M1670" i="4" s="1"/>
  <c r="O1670" i="4" s="1"/>
  <c r="P1671" i="4"/>
  <c r="M1671" i="4" s="1"/>
  <c r="O1671" i="4" s="1"/>
  <c r="P1672" i="4"/>
  <c r="M1672" i="4" s="1"/>
  <c r="O1672" i="4" s="1"/>
  <c r="P1673" i="4"/>
  <c r="M1673" i="4" s="1"/>
  <c r="O1673" i="4" s="1"/>
  <c r="P1674" i="4"/>
  <c r="M1674" i="4" s="1"/>
  <c r="O1674" i="4" s="1"/>
  <c r="P1675" i="4"/>
  <c r="M1675" i="4" s="1"/>
  <c r="P1676" i="4"/>
  <c r="M1676" i="4" s="1"/>
  <c r="P1677" i="4"/>
  <c r="M1677" i="4" s="1"/>
  <c r="P1678" i="4"/>
  <c r="M1678" i="4" s="1"/>
  <c r="O1678" i="4" s="1"/>
  <c r="P1679" i="4"/>
  <c r="M1679" i="4" s="1"/>
  <c r="O1679" i="4" s="1"/>
  <c r="P1680" i="4"/>
  <c r="M1680" i="4" s="1"/>
  <c r="O1680" i="4" s="1"/>
  <c r="P1681" i="4"/>
  <c r="M1681" i="4" s="1"/>
  <c r="O1681" i="4" s="1"/>
  <c r="P1682" i="4"/>
  <c r="M1682" i="4" s="1"/>
  <c r="O1682" i="4" s="1"/>
  <c r="P1683" i="4"/>
  <c r="M1683" i="4" s="1"/>
  <c r="O1683" i="4" s="1"/>
  <c r="P1684" i="4"/>
  <c r="M1684" i="4" s="1"/>
  <c r="O1684" i="4" s="1"/>
  <c r="P1685" i="4"/>
  <c r="M1685" i="4" s="1"/>
  <c r="O1685" i="4" s="1"/>
  <c r="P1686" i="4"/>
  <c r="M1686" i="4" s="1"/>
  <c r="O1686" i="4" s="1"/>
  <c r="P1687" i="4"/>
  <c r="M1687" i="4" s="1"/>
  <c r="P1688" i="4"/>
  <c r="M1688" i="4" s="1"/>
  <c r="P1689" i="4"/>
  <c r="M1689" i="4" s="1"/>
  <c r="P1690" i="4"/>
  <c r="M1690" i="4" s="1"/>
  <c r="O1690" i="4" s="1"/>
  <c r="P1691" i="4"/>
  <c r="M1691" i="4" s="1"/>
  <c r="O1691" i="4" s="1"/>
  <c r="P1692" i="4"/>
  <c r="M1692" i="4" s="1"/>
  <c r="O1692" i="4" s="1"/>
  <c r="P1693" i="4"/>
  <c r="M1693" i="4" s="1"/>
  <c r="O1693" i="4" s="1"/>
  <c r="P1694" i="4"/>
  <c r="M1694" i="4" s="1"/>
  <c r="O1694" i="4" s="1"/>
  <c r="P1695" i="4"/>
  <c r="M1695" i="4" s="1"/>
  <c r="O1695" i="4" s="1"/>
  <c r="P1696" i="4"/>
  <c r="M1696" i="4" s="1"/>
  <c r="O1696" i="4" s="1"/>
  <c r="P1697" i="4"/>
  <c r="M1697" i="4" s="1"/>
  <c r="O1697" i="4" s="1"/>
  <c r="P1698" i="4"/>
  <c r="M1698" i="4" s="1"/>
  <c r="O1698" i="4" s="1"/>
  <c r="P1699" i="4"/>
  <c r="M1699" i="4" s="1"/>
  <c r="P1700" i="4"/>
  <c r="M1700" i="4" s="1"/>
  <c r="P1701" i="4"/>
  <c r="M1701" i="4" s="1"/>
  <c r="P1702" i="4"/>
  <c r="M1702" i="4" s="1"/>
  <c r="O1702" i="4" s="1"/>
  <c r="P1703" i="4"/>
  <c r="M1703" i="4" s="1"/>
  <c r="O1703" i="4" s="1"/>
  <c r="P1704" i="4"/>
  <c r="M1704" i="4" s="1"/>
  <c r="O1704" i="4" s="1"/>
  <c r="P1705" i="4"/>
  <c r="M1705" i="4" s="1"/>
  <c r="O1705" i="4" s="1"/>
  <c r="P1706" i="4"/>
  <c r="M1706" i="4" s="1"/>
  <c r="O1706" i="4" s="1"/>
  <c r="P1707" i="4"/>
  <c r="M1707" i="4" s="1"/>
  <c r="O1707" i="4" s="1"/>
  <c r="P1708" i="4"/>
  <c r="M1708" i="4" s="1"/>
  <c r="O1708" i="4" s="1"/>
  <c r="P1709" i="4"/>
  <c r="M1709" i="4" s="1"/>
  <c r="O1709" i="4" s="1"/>
  <c r="P1710" i="4"/>
  <c r="M1710" i="4" s="1"/>
  <c r="O1710" i="4" s="1"/>
  <c r="P1711" i="4"/>
  <c r="M1711" i="4" s="1"/>
  <c r="P1712" i="4"/>
  <c r="M1712" i="4" s="1"/>
  <c r="P1713" i="4"/>
  <c r="M1713" i="4" s="1"/>
  <c r="P1714" i="4"/>
  <c r="M1714" i="4" s="1"/>
  <c r="O1714" i="4" s="1"/>
  <c r="P1715" i="4"/>
  <c r="M1715" i="4" s="1"/>
  <c r="O1715" i="4" s="1"/>
  <c r="P1716" i="4"/>
  <c r="M1716" i="4" s="1"/>
  <c r="O1716" i="4" s="1"/>
  <c r="P1717" i="4"/>
  <c r="M1717" i="4" s="1"/>
  <c r="O1717" i="4" s="1"/>
  <c r="P1718" i="4"/>
  <c r="M1718" i="4" s="1"/>
  <c r="O1718" i="4" s="1"/>
  <c r="P1719" i="4"/>
  <c r="M1719" i="4" s="1"/>
  <c r="O1719" i="4" s="1"/>
  <c r="P1720" i="4"/>
  <c r="M1720" i="4" s="1"/>
  <c r="O1720" i="4" s="1"/>
  <c r="P1721" i="4"/>
  <c r="M1721" i="4" s="1"/>
  <c r="O1721" i="4" s="1"/>
  <c r="P1722" i="4"/>
  <c r="M1722" i="4" s="1"/>
  <c r="O1722" i="4" s="1"/>
  <c r="P1723" i="4"/>
  <c r="M1723" i="4" s="1"/>
  <c r="P1724" i="4"/>
  <c r="M1724" i="4" s="1"/>
  <c r="P1725" i="4"/>
  <c r="M1725" i="4" s="1"/>
  <c r="P1726" i="4"/>
  <c r="M1726" i="4" s="1"/>
  <c r="O1726" i="4" s="1"/>
  <c r="P1727" i="4"/>
  <c r="M1727" i="4" s="1"/>
  <c r="O1727" i="4" s="1"/>
  <c r="P1728" i="4"/>
  <c r="M1728" i="4" s="1"/>
  <c r="O1728" i="4" s="1"/>
  <c r="P1729" i="4"/>
  <c r="M1729" i="4" s="1"/>
  <c r="O1729" i="4" s="1"/>
  <c r="P1730" i="4"/>
  <c r="M1730" i="4" s="1"/>
  <c r="O1730" i="4" s="1"/>
  <c r="P1731" i="4"/>
  <c r="M1731" i="4" s="1"/>
  <c r="O1731" i="4" s="1"/>
  <c r="P1732" i="4"/>
  <c r="M1732" i="4" s="1"/>
  <c r="O1732" i="4" s="1"/>
  <c r="P1733" i="4"/>
  <c r="M1733" i="4" s="1"/>
  <c r="O1733" i="4" s="1"/>
  <c r="P1734" i="4"/>
  <c r="M1734" i="4" s="1"/>
  <c r="O1734" i="4" s="1"/>
  <c r="P1735" i="4"/>
  <c r="M1735" i="4" s="1"/>
  <c r="P1736" i="4"/>
  <c r="M1736" i="4" s="1"/>
  <c r="P1737" i="4"/>
  <c r="M1737" i="4" s="1"/>
  <c r="P1738" i="4"/>
  <c r="M1738" i="4" s="1"/>
  <c r="P1739" i="4"/>
  <c r="M1739" i="4" s="1"/>
  <c r="P1740" i="4"/>
  <c r="M1740" i="4" s="1"/>
  <c r="P1741" i="4"/>
  <c r="M1741" i="4" s="1"/>
  <c r="P1742" i="4"/>
  <c r="M1742" i="4" s="1"/>
  <c r="P1743" i="4"/>
  <c r="M1743" i="4" s="1"/>
  <c r="N1743" i="4" s="1"/>
  <c r="P1744" i="4"/>
  <c r="M1744" i="4" s="1"/>
  <c r="N1744" i="4" s="1"/>
  <c r="P1745" i="4"/>
  <c r="M1745" i="4" s="1"/>
  <c r="P1746" i="4"/>
  <c r="M1746" i="4" s="1"/>
  <c r="P1747" i="4"/>
  <c r="M1747" i="4" s="1"/>
  <c r="P1748" i="4"/>
  <c r="M1748" i="4" s="1"/>
  <c r="P1749" i="4"/>
  <c r="M1749" i="4" s="1"/>
  <c r="P1750" i="4"/>
  <c r="M1750" i="4" s="1"/>
  <c r="P1751" i="4"/>
  <c r="M1751" i="4" s="1"/>
  <c r="P1752" i="4"/>
  <c r="M1752" i="4" s="1"/>
  <c r="P1753" i="4"/>
  <c r="M1753" i="4" s="1"/>
  <c r="P1754" i="4"/>
  <c r="M1754" i="4" s="1"/>
  <c r="P1755" i="4"/>
  <c r="M1755" i="4" s="1"/>
  <c r="N1755" i="4" s="1"/>
  <c r="P1756" i="4"/>
  <c r="M1756" i="4" s="1"/>
  <c r="N1756" i="4" s="1"/>
  <c r="P1757" i="4"/>
  <c r="M1757" i="4" s="1"/>
  <c r="P1758" i="4"/>
  <c r="M1758" i="4" s="1"/>
  <c r="P1759" i="4"/>
  <c r="M1759" i="4" s="1"/>
  <c r="P1760" i="4"/>
  <c r="M1760" i="4" s="1"/>
  <c r="P1761" i="4"/>
  <c r="M1761" i="4" s="1"/>
  <c r="P1762" i="4"/>
  <c r="M1762" i="4" s="1"/>
  <c r="P1763" i="4"/>
  <c r="M1763" i="4" s="1"/>
  <c r="P1764" i="4"/>
  <c r="M1764" i="4" s="1"/>
  <c r="P1765" i="4"/>
  <c r="M1765" i="4" s="1"/>
  <c r="P1766" i="4"/>
  <c r="M1766" i="4" s="1"/>
  <c r="P1767" i="4"/>
  <c r="M1767" i="4" s="1"/>
  <c r="N1767" i="4" s="1"/>
  <c r="P1768" i="4"/>
  <c r="M1768" i="4" s="1"/>
  <c r="N1768" i="4" s="1"/>
  <c r="P1769" i="4"/>
  <c r="M1769" i="4" s="1"/>
  <c r="P1770" i="4"/>
  <c r="M1770" i="4" s="1"/>
  <c r="P1771" i="4"/>
  <c r="M1771" i="4" s="1"/>
  <c r="P1772" i="4"/>
  <c r="M1772" i="4" s="1"/>
  <c r="P1773" i="4"/>
  <c r="M1773" i="4" s="1"/>
  <c r="P1774" i="4"/>
  <c r="M1774" i="4" s="1"/>
  <c r="P1775" i="4"/>
  <c r="M1775" i="4" s="1"/>
  <c r="P1776" i="4"/>
  <c r="M1776" i="4" s="1"/>
  <c r="P1777" i="4"/>
  <c r="M1777" i="4" s="1"/>
  <c r="P1778" i="4"/>
  <c r="M1778" i="4" s="1"/>
  <c r="P1779" i="4"/>
  <c r="M1779" i="4" s="1"/>
  <c r="N1779" i="4" s="1"/>
  <c r="P1780" i="4"/>
  <c r="M1780" i="4" s="1"/>
  <c r="N1780" i="4" s="1"/>
  <c r="P1781" i="4"/>
  <c r="M1781" i="4" s="1"/>
  <c r="P1782" i="4"/>
  <c r="M1782" i="4" s="1"/>
  <c r="P1783" i="4"/>
  <c r="M1783" i="4" s="1"/>
  <c r="P1784" i="4"/>
  <c r="M1784" i="4" s="1"/>
  <c r="P1785" i="4"/>
  <c r="M1785" i="4" s="1"/>
  <c r="P1786" i="4"/>
  <c r="M1786" i="4" s="1"/>
  <c r="P1787" i="4"/>
  <c r="M1787" i="4" s="1"/>
  <c r="P1788" i="4"/>
  <c r="M1788" i="4" s="1"/>
  <c r="P1789" i="4"/>
  <c r="M1789" i="4" s="1"/>
  <c r="P1790" i="4"/>
  <c r="M1790" i="4" s="1"/>
  <c r="P1791" i="4"/>
  <c r="M1791" i="4" s="1"/>
  <c r="N1791" i="4" s="1"/>
  <c r="P1792" i="4"/>
  <c r="M1792" i="4" s="1"/>
  <c r="N1792" i="4" s="1"/>
  <c r="P1793" i="4"/>
  <c r="M1793" i="4" s="1"/>
  <c r="P1794" i="4"/>
  <c r="M1794" i="4" s="1"/>
  <c r="P1795" i="4"/>
  <c r="M1795" i="4" s="1"/>
  <c r="P1796" i="4"/>
  <c r="M1796" i="4" s="1"/>
  <c r="P1797" i="4"/>
  <c r="M1797" i="4" s="1"/>
  <c r="P1798" i="4"/>
  <c r="M1798" i="4" s="1"/>
  <c r="P1799" i="4"/>
  <c r="M1799" i="4" s="1"/>
  <c r="P1800" i="4"/>
  <c r="M1800" i="4" s="1"/>
  <c r="P1801" i="4"/>
  <c r="M1801" i="4" s="1"/>
  <c r="P1802" i="4"/>
  <c r="M1802" i="4" s="1"/>
  <c r="P1803" i="4"/>
  <c r="M1803" i="4" s="1"/>
  <c r="N1803" i="4" s="1"/>
  <c r="P1804" i="4"/>
  <c r="M1804" i="4" s="1"/>
  <c r="N1804" i="4" s="1"/>
  <c r="P1805" i="4"/>
  <c r="M1805" i="4" s="1"/>
  <c r="P1806" i="4"/>
  <c r="M1806" i="4" s="1"/>
  <c r="P1807" i="4"/>
  <c r="M1807" i="4" s="1"/>
  <c r="P1808" i="4"/>
  <c r="M1808" i="4" s="1"/>
  <c r="P1809" i="4"/>
  <c r="M1809" i="4" s="1"/>
  <c r="P1810" i="4"/>
  <c r="M1810" i="4" s="1"/>
  <c r="P1811" i="4"/>
  <c r="M1811" i="4" s="1"/>
  <c r="P1812" i="4"/>
  <c r="M1812" i="4" s="1"/>
  <c r="P1813" i="4"/>
  <c r="M1813" i="4" s="1"/>
  <c r="P1814" i="4"/>
  <c r="M1814" i="4" s="1"/>
  <c r="P1815" i="4"/>
  <c r="M1815" i="4" s="1"/>
  <c r="N1815" i="4" s="1"/>
  <c r="P1816" i="4"/>
  <c r="M1816" i="4" s="1"/>
  <c r="N1816" i="4" s="1"/>
  <c r="P1817" i="4"/>
  <c r="M1817" i="4" s="1"/>
  <c r="P1818" i="4"/>
  <c r="M1818" i="4" s="1"/>
  <c r="P1819" i="4"/>
  <c r="M1819" i="4" s="1"/>
  <c r="P1820" i="4"/>
  <c r="M1820" i="4" s="1"/>
  <c r="P1821" i="4"/>
  <c r="M1821" i="4" s="1"/>
  <c r="P1822" i="4"/>
  <c r="M1822" i="4" s="1"/>
  <c r="P1823" i="4"/>
  <c r="M1823" i="4" s="1"/>
  <c r="P1824" i="4"/>
  <c r="M1824" i="4" s="1"/>
  <c r="P1825" i="4"/>
  <c r="M1825" i="4" s="1"/>
  <c r="P1826" i="4"/>
  <c r="M1826" i="4" s="1"/>
  <c r="P1827" i="4"/>
  <c r="M1827" i="4" s="1"/>
  <c r="N1827" i="4" s="1"/>
  <c r="P1828" i="4"/>
  <c r="M1828" i="4" s="1"/>
  <c r="N1828" i="4" s="1"/>
  <c r="P1829" i="4"/>
  <c r="M1829" i="4" s="1"/>
  <c r="P1830" i="4"/>
  <c r="M1830" i="4" s="1"/>
  <c r="P1831" i="4"/>
  <c r="M1831" i="4" s="1"/>
  <c r="P1832" i="4"/>
  <c r="M1832" i="4" s="1"/>
  <c r="P1833" i="4"/>
  <c r="M1833" i="4" s="1"/>
  <c r="P1834" i="4"/>
  <c r="M1834" i="4" s="1"/>
  <c r="P1835" i="4"/>
  <c r="M1835" i="4" s="1"/>
  <c r="P1836" i="4"/>
  <c r="M1836" i="4" s="1"/>
  <c r="P1837" i="4"/>
  <c r="M1837" i="4" s="1"/>
  <c r="P1838" i="4"/>
  <c r="M1838" i="4" s="1"/>
  <c r="P1839" i="4"/>
  <c r="M1839" i="4" s="1"/>
  <c r="N1839" i="4" s="1"/>
  <c r="P1840" i="4"/>
  <c r="M1840" i="4" s="1"/>
  <c r="N1840" i="4" s="1"/>
  <c r="P1841" i="4"/>
  <c r="M1841" i="4" s="1"/>
  <c r="P1842" i="4"/>
  <c r="M1842" i="4" s="1"/>
  <c r="P1843" i="4"/>
  <c r="M1843" i="4" s="1"/>
  <c r="P1844" i="4"/>
  <c r="M1844" i="4" s="1"/>
  <c r="P1845" i="4"/>
  <c r="M1845" i="4" s="1"/>
  <c r="P1846" i="4"/>
  <c r="M1846" i="4" s="1"/>
  <c r="P1847" i="4"/>
  <c r="M1847" i="4" s="1"/>
  <c r="P1848" i="4"/>
  <c r="M1848" i="4" s="1"/>
  <c r="P1849" i="4"/>
  <c r="M1849" i="4" s="1"/>
  <c r="P1850" i="4"/>
  <c r="M1850" i="4" s="1"/>
  <c r="P1851" i="4"/>
  <c r="M1851" i="4" s="1"/>
  <c r="N1851" i="4" s="1"/>
  <c r="P1852" i="4"/>
  <c r="M1852" i="4" s="1"/>
  <c r="N1852" i="4" s="1"/>
  <c r="P1853" i="4"/>
  <c r="M1853" i="4" s="1"/>
  <c r="P1854" i="4"/>
  <c r="M1854" i="4" s="1"/>
  <c r="P1855" i="4"/>
  <c r="M1855" i="4" s="1"/>
  <c r="P1856" i="4"/>
  <c r="M1856" i="4" s="1"/>
  <c r="P1857" i="4"/>
  <c r="M1857" i="4" s="1"/>
  <c r="P1858" i="4"/>
  <c r="M1858" i="4" s="1"/>
  <c r="P1859" i="4"/>
  <c r="M1859" i="4" s="1"/>
  <c r="P1860" i="4"/>
  <c r="M1860" i="4" s="1"/>
  <c r="P1861" i="4"/>
  <c r="M1861" i="4" s="1"/>
  <c r="P1862" i="4"/>
  <c r="M1862" i="4" s="1"/>
  <c r="P1863" i="4"/>
  <c r="M1863" i="4" s="1"/>
  <c r="N1863" i="4" s="1"/>
  <c r="P1864" i="4"/>
  <c r="M1864" i="4" s="1"/>
  <c r="N1864" i="4" s="1"/>
  <c r="P1865" i="4"/>
  <c r="M1865" i="4" s="1"/>
  <c r="P1866" i="4"/>
  <c r="M1866" i="4" s="1"/>
  <c r="P1867" i="4"/>
  <c r="M1867" i="4" s="1"/>
  <c r="P1868" i="4"/>
  <c r="M1868" i="4" s="1"/>
  <c r="P1869" i="4"/>
  <c r="M1869" i="4" s="1"/>
  <c r="P1870" i="4"/>
  <c r="M1870" i="4" s="1"/>
  <c r="P1871" i="4"/>
  <c r="M1871" i="4" s="1"/>
  <c r="P1872" i="4"/>
  <c r="M1872" i="4" s="1"/>
  <c r="P1873" i="4"/>
  <c r="M1873" i="4" s="1"/>
  <c r="P1874" i="4"/>
  <c r="M1874" i="4" s="1"/>
  <c r="P1875" i="4"/>
  <c r="M1875" i="4" s="1"/>
  <c r="N1875" i="4" s="1"/>
  <c r="P1876" i="4"/>
  <c r="M1876" i="4" s="1"/>
  <c r="N1876" i="4" s="1"/>
  <c r="P1877" i="4"/>
  <c r="M1877" i="4" s="1"/>
  <c r="P1878" i="4"/>
  <c r="M1878" i="4" s="1"/>
  <c r="P1879" i="4"/>
  <c r="M1879" i="4" s="1"/>
  <c r="P1880" i="4"/>
  <c r="M1880" i="4" s="1"/>
  <c r="P1881" i="4"/>
  <c r="M1881" i="4" s="1"/>
  <c r="P1882" i="4"/>
  <c r="M1882" i="4" s="1"/>
  <c r="P1883" i="4"/>
  <c r="M1883" i="4" s="1"/>
  <c r="P1884" i="4"/>
  <c r="M1884" i="4" s="1"/>
  <c r="P1885" i="4"/>
  <c r="M1885" i="4" s="1"/>
  <c r="P1886" i="4"/>
  <c r="M1886" i="4" s="1"/>
  <c r="P1887" i="4"/>
  <c r="M1887" i="4" s="1"/>
  <c r="N1887" i="4" s="1"/>
  <c r="P1888" i="4"/>
  <c r="M1888" i="4" s="1"/>
  <c r="N1888" i="4" s="1"/>
  <c r="P1889" i="4"/>
  <c r="M1889" i="4" s="1"/>
  <c r="P1890" i="4"/>
  <c r="M1890" i="4" s="1"/>
  <c r="P1891" i="4"/>
  <c r="M1891" i="4" s="1"/>
  <c r="P1892" i="4"/>
  <c r="M1892" i="4" s="1"/>
  <c r="P1893" i="4"/>
  <c r="M1893" i="4" s="1"/>
  <c r="P1894" i="4"/>
  <c r="M1894" i="4" s="1"/>
  <c r="P1895" i="4"/>
  <c r="M1895" i="4" s="1"/>
  <c r="P1896" i="4"/>
  <c r="M1896" i="4" s="1"/>
  <c r="P1897" i="4"/>
  <c r="M1897" i="4" s="1"/>
  <c r="P1898" i="4"/>
  <c r="M1898" i="4" s="1"/>
  <c r="P1899" i="4"/>
  <c r="M1899" i="4" s="1"/>
  <c r="N1899" i="4" s="1"/>
  <c r="P1900" i="4"/>
  <c r="M1900" i="4" s="1"/>
  <c r="N1900" i="4" s="1"/>
  <c r="P1901" i="4"/>
  <c r="M1901" i="4" s="1"/>
  <c r="P1902" i="4"/>
  <c r="M1902" i="4" s="1"/>
  <c r="P1903" i="4"/>
  <c r="M1903" i="4" s="1"/>
  <c r="P1904" i="4"/>
  <c r="M1904" i="4" s="1"/>
  <c r="P1905" i="4"/>
  <c r="M1905" i="4" s="1"/>
  <c r="P1906" i="4"/>
  <c r="M1906" i="4" s="1"/>
  <c r="P1907" i="4"/>
  <c r="M1907" i="4" s="1"/>
  <c r="P1908" i="4"/>
  <c r="M1908" i="4" s="1"/>
  <c r="P1909" i="4"/>
  <c r="M1909" i="4" s="1"/>
  <c r="P1910" i="4"/>
  <c r="M1910" i="4" s="1"/>
  <c r="P1911" i="4"/>
  <c r="M1911" i="4" s="1"/>
  <c r="N1911" i="4" s="1"/>
  <c r="P1912" i="4"/>
  <c r="M1912" i="4" s="1"/>
  <c r="N1912" i="4" s="1"/>
  <c r="P1913" i="4"/>
  <c r="M1913" i="4" s="1"/>
  <c r="P1914" i="4"/>
  <c r="M1914" i="4" s="1"/>
  <c r="P1915" i="4"/>
  <c r="M1915" i="4" s="1"/>
  <c r="P1916" i="4"/>
  <c r="M1916" i="4" s="1"/>
  <c r="P1917" i="4"/>
  <c r="M1917" i="4" s="1"/>
  <c r="P1918" i="4"/>
  <c r="M1918" i="4" s="1"/>
  <c r="P1919" i="4"/>
  <c r="M1919" i="4" s="1"/>
  <c r="P1920" i="4"/>
  <c r="M1920" i="4" s="1"/>
  <c r="P1921" i="4"/>
  <c r="M1921" i="4" s="1"/>
  <c r="P1922" i="4"/>
  <c r="M1922" i="4" s="1"/>
  <c r="P1923" i="4"/>
  <c r="M1923" i="4" s="1"/>
  <c r="N1923" i="4" s="1"/>
  <c r="P1924" i="4"/>
  <c r="M1924" i="4" s="1"/>
  <c r="N1924" i="4" s="1"/>
  <c r="P1925" i="4"/>
  <c r="M1925" i="4" s="1"/>
  <c r="P1926" i="4"/>
  <c r="M1926" i="4" s="1"/>
  <c r="P1927" i="4"/>
  <c r="M1927" i="4" s="1"/>
  <c r="P1928" i="4"/>
  <c r="M1928" i="4" s="1"/>
  <c r="P1929" i="4"/>
  <c r="M1929" i="4" s="1"/>
  <c r="P1930" i="4"/>
  <c r="M1930" i="4" s="1"/>
  <c r="P1931" i="4"/>
  <c r="M1931" i="4" s="1"/>
  <c r="P1932" i="4"/>
  <c r="M1932" i="4" s="1"/>
  <c r="P1933" i="4"/>
  <c r="M1933" i="4" s="1"/>
  <c r="P1934" i="4"/>
  <c r="M1934" i="4" s="1"/>
  <c r="P1935" i="4"/>
  <c r="M1935" i="4" s="1"/>
  <c r="N1935" i="4" s="1"/>
  <c r="P1936" i="4"/>
  <c r="M1936" i="4" s="1"/>
  <c r="N1936" i="4" s="1"/>
  <c r="P1937" i="4"/>
  <c r="M1937" i="4" s="1"/>
  <c r="P1938" i="4"/>
  <c r="M1938" i="4" s="1"/>
  <c r="P1939" i="4"/>
  <c r="M1939" i="4" s="1"/>
  <c r="P1940" i="4"/>
  <c r="M1940" i="4" s="1"/>
  <c r="P1941" i="4"/>
  <c r="M1941" i="4" s="1"/>
  <c r="P1942" i="4"/>
  <c r="M1942" i="4" s="1"/>
  <c r="P1943" i="4"/>
  <c r="M1943" i="4" s="1"/>
  <c r="P1944" i="4"/>
  <c r="M1944" i="4" s="1"/>
  <c r="P1945" i="4"/>
  <c r="M1945" i="4" s="1"/>
  <c r="P1946" i="4"/>
  <c r="M1946" i="4" s="1"/>
  <c r="P1947" i="4"/>
  <c r="M1947" i="4" s="1"/>
  <c r="N1947" i="4" s="1"/>
  <c r="P1948" i="4"/>
  <c r="M1948" i="4" s="1"/>
  <c r="N1948" i="4" s="1"/>
  <c r="P1949" i="4"/>
  <c r="M1949" i="4" s="1"/>
  <c r="P3" i="4"/>
  <c r="M1045" i="4"/>
  <c r="O1045" i="4" s="1"/>
  <c r="M1047" i="4"/>
  <c r="O1047" i="4" s="1"/>
  <c r="M1048" i="4"/>
  <c r="N1048" i="4" s="1"/>
  <c r="M1049" i="4"/>
  <c r="N1049" i="4" s="1"/>
  <c r="M1050" i="4"/>
  <c r="M1051" i="4"/>
  <c r="N1051" i="4" s="1"/>
  <c r="M1044" i="4"/>
  <c r="O1044" i="4" s="1"/>
  <c r="M1041" i="4"/>
  <c r="N1041" i="4" s="1"/>
  <c r="M1042" i="4"/>
  <c r="N1042" i="4" s="1"/>
  <c r="M1043" i="4"/>
  <c r="N1043" i="4" s="1"/>
  <c r="M1040" i="4"/>
  <c r="O1040" i="4" s="1"/>
  <c r="M1039" i="4"/>
  <c r="O1039" i="4" s="1"/>
  <c r="M1038" i="4"/>
  <c r="O1038" i="4" s="1"/>
  <c r="M1037" i="4"/>
  <c r="O1037" i="4" s="1"/>
  <c r="M1036" i="4"/>
  <c r="O1036" i="4" s="1"/>
  <c r="Y36" i="9"/>
  <c r="Y37" i="9"/>
  <c r="Y38" i="9"/>
  <c r="Y39" i="9"/>
  <c r="Y40" i="9"/>
  <c r="Y41" i="9"/>
  <c r="Y42" i="9"/>
  <c r="Y43" i="9"/>
  <c r="Y44" i="9"/>
  <c r="Y45" i="9"/>
  <c r="Y46" i="9"/>
  <c r="Y47"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3" i="9"/>
  <c r="V33" i="9"/>
  <c r="V34" i="9"/>
  <c r="V35" i="9"/>
  <c r="V36" i="9"/>
  <c r="V37" i="9"/>
  <c r="V38" i="9"/>
  <c r="V39" i="9"/>
  <c r="V40" i="9"/>
  <c r="V41" i="9"/>
  <c r="V42" i="9"/>
  <c r="V43" i="9"/>
  <c r="V44" i="9"/>
  <c r="V45" i="9"/>
  <c r="V46" i="9"/>
  <c r="V47"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3" i="9"/>
  <c r="S33" i="9"/>
  <c r="S34" i="9"/>
  <c r="S35" i="9"/>
  <c r="S36" i="9"/>
  <c r="S37" i="9"/>
  <c r="S38" i="9"/>
  <c r="S39" i="9"/>
  <c r="S40" i="9"/>
  <c r="S41" i="9"/>
  <c r="S42" i="9"/>
  <c r="S43" i="9"/>
  <c r="S44" i="9"/>
  <c r="S45" i="9"/>
  <c r="S46" i="9"/>
  <c r="S47"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3" i="9"/>
  <c r="P37" i="9"/>
  <c r="P38" i="9"/>
  <c r="P39" i="9"/>
  <c r="P40" i="9"/>
  <c r="P41" i="9"/>
  <c r="P42" i="9"/>
  <c r="P43" i="9"/>
  <c r="P44" i="9"/>
  <c r="P45" i="9"/>
  <c r="P46" i="9"/>
  <c r="P47"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3" i="9"/>
  <c r="M42" i="9"/>
  <c r="M43" i="9"/>
  <c r="M44" i="9"/>
  <c r="M45" i="9"/>
  <c r="M46" i="9"/>
  <c r="M47"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3" i="9"/>
  <c r="J42" i="9"/>
  <c r="J43" i="9"/>
  <c r="J44" i="9"/>
  <c r="J45" i="9"/>
  <c r="J46" i="9"/>
  <c r="J47"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3" i="9"/>
  <c r="C4" i="9"/>
  <c r="G4" i="9" s="1"/>
  <c r="C5" i="9"/>
  <c r="G5" i="9" s="1"/>
  <c r="C6" i="9"/>
  <c r="M6" i="9" s="1"/>
  <c r="C7" i="9"/>
  <c r="G7" i="9" s="1"/>
  <c r="C8" i="9"/>
  <c r="G8" i="9" s="1"/>
  <c r="C9" i="9"/>
  <c r="J6" i="9" s="1"/>
  <c r="C10" i="9"/>
  <c r="G10" i="9" s="1"/>
  <c r="C11" i="9"/>
  <c r="G11" i="9" s="1"/>
  <c r="C12" i="9"/>
  <c r="J7" i="9" s="1"/>
  <c r="C13" i="9"/>
  <c r="J8" i="9" s="1"/>
  <c r="C14" i="9"/>
  <c r="J9" i="9" s="1"/>
  <c r="C15" i="9"/>
  <c r="J10" i="9" s="1"/>
  <c r="C16" i="9"/>
  <c r="G16" i="9" s="1"/>
  <c r="C17" i="9"/>
  <c r="G17" i="9" s="1"/>
  <c r="C18" i="9"/>
  <c r="J13" i="9" s="1"/>
  <c r="C19" i="9"/>
  <c r="J14" i="9" s="1"/>
  <c r="C20" i="9"/>
  <c r="G20" i="9" s="1"/>
  <c r="C21" i="9"/>
  <c r="J15" i="9" s="1"/>
  <c r="C22" i="9"/>
  <c r="J16" i="9" s="1"/>
  <c r="C23" i="9"/>
  <c r="J17" i="9" s="1"/>
  <c r="C24" i="9"/>
  <c r="J18" i="9" s="1"/>
  <c r="C25" i="9"/>
  <c r="J19" i="9" s="1"/>
  <c r="C26" i="9"/>
  <c r="J20" i="9" s="1"/>
  <c r="C27" i="9"/>
  <c r="J21" i="9" s="1"/>
  <c r="C28" i="9"/>
  <c r="G28" i="9" s="1"/>
  <c r="C29" i="9"/>
  <c r="G29" i="9" s="1"/>
  <c r="C30" i="9"/>
  <c r="G30" i="9" s="1"/>
  <c r="C31" i="9"/>
  <c r="J25" i="9" s="1"/>
  <c r="C32" i="9"/>
  <c r="J26" i="9" s="1"/>
  <c r="C33" i="9"/>
  <c r="J27" i="9" s="1"/>
  <c r="C34" i="9"/>
  <c r="J28" i="9" s="1"/>
  <c r="C35" i="9"/>
  <c r="J29" i="9" s="1"/>
  <c r="C36" i="9"/>
  <c r="J30" i="9" s="1"/>
  <c r="C37" i="9"/>
  <c r="J31" i="9" s="1"/>
  <c r="C38" i="9"/>
  <c r="J32" i="9" s="1"/>
  <c r="C39" i="9"/>
  <c r="J33" i="9" s="1"/>
  <c r="C40" i="9"/>
  <c r="G40" i="9" s="1"/>
  <c r="C41" i="9"/>
  <c r="G41" i="9" s="1"/>
  <c r="C42" i="9"/>
  <c r="G42" i="9" s="1"/>
  <c r="C43" i="9"/>
  <c r="J37" i="9" s="1"/>
  <c r="C44" i="9"/>
  <c r="J38" i="9" s="1"/>
  <c r="C45" i="9"/>
  <c r="J39" i="9" s="1"/>
  <c r="C46" i="9"/>
  <c r="J40" i="9" s="1"/>
  <c r="C47" i="9"/>
  <c r="J41" i="9" s="1"/>
  <c r="C3" i="9"/>
  <c r="G3" i="9" s="1"/>
  <c r="O4" i="8" a="1"/>
  <c r="O4" i="8" s="1"/>
  <c r="O5" i="8" a="1"/>
  <c r="O5" i="8" s="1"/>
  <c r="O6" i="8" a="1"/>
  <c r="O6" i="8" s="1"/>
  <c r="O7" i="8" a="1"/>
  <c r="O7" i="8" s="1"/>
  <c r="O8" i="8" a="1"/>
  <c r="O8" i="8" s="1"/>
  <c r="O9" i="8" a="1"/>
  <c r="O9" i="8" s="1"/>
  <c r="O10" i="8" a="1"/>
  <c r="O10" i="8" s="1"/>
  <c r="O11" i="8" a="1"/>
  <c r="O11" i="8" s="1"/>
  <c r="O12" i="8" a="1"/>
  <c r="O12" i="8" s="1"/>
  <c r="O13" i="8" a="1"/>
  <c r="O13" i="8" s="1"/>
  <c r="O14" i="8" a="1"/>
  <c r="O14" i="8" s="1"/>
  <c r="O15" i="8" a="1"/>
  <c r="O15" i="8" s="1"/>
  <c r="O16" i="8" a="1"/>
  <c r="O16" i="8" s="1"/>
  <c r="O17" i="8" a="1"/>
  <c r="O17" i="8" s="1"/>
  <c r="O18" i="8" a="1"/>
  <c r="O18" i="8" s="1"/>
  <c r="O19" i="8" a="1"/>
  <c r="O19" i="8" s="1"/>
  <c r="O20" i="8" a="1"/>
  <c r="O20" i="8" s="1"/>
  <c r="O21" i="8" a="1"/>
  <c r="O21" i="8" s="1"/>
  <c r="O22" i="8" a="1"/>
  <c r="O22" i="8" s="1"/>
  <c r="O3" i="8" a="1"/>
  <c r="O3" i="8" s="1"/>
  <c r="B4" i="8" a="1"/>
  <c r="B4" i="8" s="1"/>
  <c r="B5" i="8" a="1"/>
  <c r="B5" i="8" s="1"/>
  <c r="B6" i="8" a="1"/>
  <c r="B6" i="8" s="1"/>
  <c r="B7" i="8" a="1"/>
  <c r="B7" i="8" s="1"/>
  <c r="B8" i="8" a="1"/>
  <c r="B8" i="8" s="1"/>
  <c r="B9" i="8" a="1"/>
  <c r="B9" i="8" s="1"/>
  <c r="B10" i="8" a="1"/>
  <c r="B10" i="8" s="1"/>
  <c r="B11" i="8" a="1"/>
  <c r="B11" i="8" s="1"/>
  <c r="B12" i="8" a="1"/>
  <c r="B12" i="8" s="1"/>
  <c r="B13" i="8" a="1"/>
  <c r="B13" i="8" s="1"/>
  <c r="B14" i="8" a="1"/>
  <c r="B14" i="8" s="1"/>
  <c r="B15" i="8" a="1"/>
  <c r="B15" i="8" s="1"/>
  <c r="B16" i="8" a="1"/>
  <c r="B16" i="8" s="1"/>
  <c r="B17" i="8" a="1"/>
  <c r="B17" i="8" s="1"/>
  <c r="B18" i="8" a="1"/>
  <c r="B18" i="8" s="1"/>
  <c r="B19" i="8" a="1"/>
  <c r="B19" i="8" s="1"/>
  <c r="B20" i="8" a="1"/>
  <c r="B20" i="8" s="1"/>
  <c r="B21" i="8" a="1"/>
  <c r="B21" i="8" s="1"/>
  <c r="B22" i="8" a="1"/>
  <c r="B22" i="8" s="1"/>
  <c r="B3" i="8" a="1"/>
  <c r="B3" i="8" s="1"/>
  <c r="V4" i="4" a="1"/>
  <c r="V4" i="4" s="1"/>
  <c r="T4" i="4" s="1"/>
  <c r="V5" i="4" a="1"/>
  <c r="V5" i="4" s="1"/>
  <c r="T5" i="4" s="1"/>
  <c r="V6" i="4" a="1"/>
  <c r="V6" i="4" s="1"/>
  <c r="T6" i="4" s="1"/>
  <c r="V7" i="4" a="1"/>
  <c r="V7" i="4" s="1"/>
  <c r="T7" i="4" s="1"/>
  <c r="V8" i="4" a="1"/>
  <c r="V8" i="4" s="1"/>
  <c r="T8" i="4" s="1"/>
  <c r="V9" i="4" a="1"/>
  <c r="V9" i="4" s="1"/>
  <c r="T9" i="4" s="1"/>
  <c r="V10" i="4" a="1"/>
  <c r="V10" i="4" s="1"/>
  <c r="T10" i="4" s="1"/>
  <c r="V11" i="4" a="1"/>
  <c r="V11" i="4" s="1"/>
  <c r="T11" i="4" s="1"/>
  <c r="V12" i="4" a="1"/>
  <c r="V12" i="4" s="1"/>
  <c r="T12" i="4" s="1"/>
  <c r="V13" i="4" a="1"/>
  <c r="V13" i="4" s="1"/>
  <c r="T13" i="4" s="1"/>
  <c r="V14" i="4" a="1"/>
  <c r="V14" i="4" s="1"/>
  <c r="T14" i="4" s="1"/>
  <c r="V15" i="4" a="1"/>
  <c r="V15" i="4" s="1"/>
  <c r="T15" i="4" s="1"/>
  <c r="V16" i="4" a="1"/>
  <c r="V16" i="4" s="1"/>
  <c r="T16" i="4" s="1"/>
  <c r="V17" i="4" a="1"/>
  <c r="V17" i="4" s="1"/>
  <c r="T17" i="4" s="1"/>
  <c r="V18" i="4" a="1"/>
  <c r="V18" i="4" s="1"/>
  <c r="T18" i="4" s="1"/>
  <c r="V19" i="4" a="1"/>
  <c r="V19" i="4" s="1"/>
  <c r="T19" i="4" s="1"/>
  <c r="V20" i="4" a="1"/>
  <c r="V20" i="4" s="1"/>
  <c r="T20" i="4" s="1"/>
  <c r="V21" i="4" a="1"/>
  <c r="V21" i="4" s="1"/>
  <c r="T21" i="4" s="1"/>
  <c r="V22" i="4" a="1"/>
  <c r="V22" i="4" s="1"/>
  <c r="T22" i="4" s="1"/>
  <c r="V23" i="4" a="1"/>
  <c r="V23" i="4" s="1"/>
  <c r="T23" i="4" s="1"/>
  <c r="V24" i="4" a="1"/>
  <c r="V24" i="4" s="1"/>
  <c r="T24" i="4" s="1"/>
  <c r="V25" i="4" a="1"/>
  <c r="V25" i="4" s="1"/>
  <c r="T25" i="4" s="1"/>
  <c r="V26" i="4" a="1"/>
  <c r="V26" i="4" s="1"/>
  <c r="T26" i="4" s="1"/>
  <c r="V27" i="4" a="1"/>
  <c r="V27" i="4" s="1"/>
  <c r="T27" i="4" s="1"/>
  <c r="V28" i="4" a="1"/>
  <c r="V28" i="4" s="1"/>
  <c r="T28" i="4" s="1"/>
  <c r="V29" i="4" a="1"/>
  <c r="V29" i="4" s="1"/>
  <c r="T29" i="4" s="1"/>
  <c r="V30" i="4" a="1"/>
  <c r="V30" i="4" s="1"/>
  <c r="T30" i="4" s="1"/>
  <c r="V31" i="4" a="1"/>
  <c r="V31" i="4" s="1"/>
  <c r="T31" i="4" s="1"/>
  <c r="V32" i="4" a="1"/>
  <c r="V32" i="4" s="1"/>
  <c r="T32" i="4" s="1"/>
  <c r="V33" i="4" a="1"/>
  <c r="V33" i="4" s="1"/>
  <c r="T33" i="4" s="1"/>
  <c r="V34" i="4" a="1"/>
  <c r="V34" i="4" s="1"/>
  <c r="T34" i="4" s="1"/>
  <c r="V35" i="4" a="1"/>
  <c r="V35" i="4" s="1"/>
  <c r="T35" i="4" s="1"/>
  <c r="V36" i="4" a="1"/>
  <c r="V36" i="4" s="1"/>
  <c r="T36" i="4" s="1"/>
  <c r="V37" i="4" a="1"/>
  <c r="V37" i="4" s="1"/>
  <c r="T37" i="4" s="1"/>
  <c r="V38" i="4" a="1"/>
  <c r="V38" i="4" s="1"/>
  <c r="T38" i="4" s="1"/>
  <c r="V39" i="4" a="1"/>
  <c r="V39" i="4" s="1"/>
  <c r="T39" i="4" s="1"/>
  <c r="V40" i="4" a="1"/>
  <c r="V40" i="4" s="1"/>
  <c r="T40" i="4" s="1"/>
  <c r="V41" i="4" a="1"/>
  <c r="V41" i="4" s="1"/>
  <c r="T41" i="4" s="1"/>
  <c r="V42" i="4" a="1"/>
  <c r="V42" i="4" s="1"/>
  <c r="T42" i="4" s="1"/>
  <c r="V43" i="4" a="1"/>
  <c r="V43" i="4" s="1"/>
  <c r="T43" i="4" s="1"/>
  <c r="V44" i="4" a="1"/>
  <c r="V44" i="4" s="1"/>
  <c r="T44" i="4" s="1"/>
  <c r="V45" i="4" a="1"/>
  <c r="V45" i="4" s="1"/>
  <c r="T45" i="4" s="1"/>
  <c r="V46" i="4" a="1"/>
  <c r="V46" i="4" s="1"/>
  <c r="T46" i="4" s="1"/>
  <c r="V47" i="4" a="1"/>
  <c r="V47" i="4" s="1"/>
  <c r="T47" i="4" s="1"/>
  <c r="V48" i="4" a="1"/>
  <c r="V48" i="4" s="1"/>
  <c r="T48" i="4" s="1"/>
  <c r="V49" i="4" a="1"/>
  <c r="V49" i="4" s="1"/>
  <c r="T49" i="4" s="1"/>
  <c r="V50" i="4" a="1"/>
  <c r="V50" i="4" s="1"/>
  <c r="T50" i="4" s="1"/>
  <c r="V51" i="4" a="1"/>
  <c r="V51" i="4" s="1"/>
  <c r="T51" i="4" s="1"/>
  <c r="V52" i="4" a="1"/>
  <c r="V52" i="4" s="1"/>
  <c r="T52" i="4" s="1"/>
  <c r="V53" i="4" a="1"/>
  <c r="V53" i="4" s="1"/>
  <c r="T53" i="4" s="1"/>
  <c r="V54" i="4" a="1"/>
  <c r="V54" i="4" s="1"/>
  <c r="T54" i="4" s="1"/>
  <c r="V55" i="4" a="1"/>
  <c r="V55" i="4" s="1"/>
  <c r="T55" i="4" s="1"/>
  <c r="V56" i="4" a="1"/>
  <c r="V56" i="4" s="1"/>
  <c r="T56" i="4" s="1"/>
  <c r="V57" i="4" a="1"/>
  <c r="V57" i="4" s="1"/>
  <c r="T57" i="4" s="1"/>
  <c r="V58" i="4" a="1"/>
  <c r="V58" i="4" s="1"/>
  <c r="T58" i="4" s="1"/>
  <c r="V59" i="4" a="1"/>
  <c r="V59" i="4" s="1"/>
  <c r="T59" i="4" s="1"/>
  <c r="V60" i="4" a="1"/>
  <c r="V60" i="4" s="1"/>
  <c r="T60" i="4" s="1"/>
  <c r="V61" i="4" a="1"/>
  <c r="V61" i="4" s="1"/>
  <c r="T61" i="4" s="1"/>
  <c r="V62" i="4" a="1"/>
  <c r="V62" i="4" s="1"/>
  <c r="T62" i="4" s="1"/>
  <c r="V63" i="4" a="1"/>
  <c r="V63" i="4" s="1"/>
  <c r="T63" i="4" s="1"/>
  <c r="V64" i="4" a="1"/>
  <c r="V64" i="4" s="1"/>
  <c r="T64" i="4" s="1"/>
  <c r="V65" i="4" a="1"/>
  <c r="V65" i="4" s="1"/>
  <c r="T65" i="4" s="1"/>
  <c r="V66" i="4" a="1"/>
  <c r="V66" i="4" s="1"/>
  <c r="T66" i="4" s="1"/>
  <c r="V67" i="4" a="1"/>
  <c r="V67" i="4" s="1"/>
  <c r="T67" i="4" s="1"/>
  <c r="V68" i="4" a="1"/>
  <c r="V68" i="4" s="1"/>
  <c r="T68" i="4" s="1"/>
  <c r="V3" i="4" a="1"/>
  <c r="V3" i="4" s="1"/>
  <c r="T3" i="4" s="1"/>
  <c r="O5" i="6" a="1"/>
  <c r="O5" i="6" s="1"/>
  <c r="O6" i="6" a="1"/>
  <c r="O6" i="6" s="1"/>
  <c r="O7" i="6" a="1"/>
  <c r="O7" i="6" s="1"/>
  <c r="O8" i="6" a="1"/>
  <c r="O8" i="6" s="1"/>
  <c r="O9" i="6" a="1"/>
  <c r="O9" i="6" s="1"/>
  <c r="O10" i="6" a="1"/>
  <c r="O10" i="6" s="1"/>
  <c r="O11" i="6" a="1"/>
  <c r="O11" i="6" s="1"/>
  <c r="O12" i="6" a="1"/>
  <c r="O12" i="6" s="1"/>
  <c r="O13" i="6" a="1"/>
  <c r="O13" i="6" s="1"/>
  <c r="O14" i="6" a="1"/>
  <c r="O14" i="6" s="1"/>
  <c r="O15" i="6" a="1"/>
  <c r="O15" i="6" s="1"/>
  <c r="O16" i="6" a="1"/>
  <c r="O16" i="6" s="1"/>
  <c r="O17" i="6" a="1"/>
  <c r="O17" i="6" s="1"/>
  <c r="O18" i="6" a="1"/>
  <c r="O18" i="6" s="1"/>
  <c r="O19" i="6" a="1"/>
  <c r="O19" i="6" s="1"/>
  <c r="O20" i="6" a="1"/>
  <c r="O20" i="6" s="1"/>
  <c r="O21" i="6" a="1"/>
  <c r="O21" i="6" s="1"/>
  <c r="O22" i="6" a="1"/>
  <c r="O22" i="6" s="1"/>
  <c r="O23" i="6" a="1"/>
  <c r="O23" i="6" s="1"/>
  <c r="O24" i="6" a="1"/>
  <c r="O24" i="6" s="1"/>
  <c r="O25" i="6" a="1"/>
  <c r="O25" i="6" s="1"/>
  <c r="O26" i="6" a="1"/>
  <c r="O26" i="6" s="1"/>
  <c r="O27" i="6" a="1"/>
  <c r="O27" i="6" s="1"/>
  <c r="O28" i="6" a="1"/>
  <c r="O28" i="6" s="1"/>
  <c r="O29" i="6" a="1"/>
  <c r="O29" i="6" s="1"/>
  <c r="O30" i="6" a="1"/>
  <c r="O30" i="6" s="1"/>
  <c r="O31" i="6" a="1"/>
  <c r="O31" i="6" s="1"/>
  <c r="O32" i="6" a="1"/>
  <c r="O32" i="6" s="1"/>
  <c r="O33" i="6" a="1"/>
  <c r="O33" i="6" s="1"/>
  <c r="O34" i="6" a="1"/>
  <c r="O34" i="6" s="1"/>
  <c r="O35" i="6" a="1"/>
  <c r="O35" i="6" s="1"/>
  <c r="O36" i="6" a="1"/>
  <c r="O36" i="6" s="1"/>
  <c r="O37" i="6" a="1"/>
  <c r="O37" i="6" s="1"/>
  <c r="O38" i="6" a="1"/>
  <c r="O38" i="6" s="1"/>
  <c r="O39" i="6" a="1"/>
  <c r="O39" i="6" s="1"/>
  <c r="O40" i="6" a="1"/>
  <c r="O40" i="6" s="1"/>
  <c r="O41" i="6" a="1"/>
  <c r="O41" i="6" s="1"/>
  <c r="O42" i="6" a="1"/>
  <c r="O42" i="6" s="1"/>
  <c r="O43" i="6" a="1"/>
  <c r="O43" i="6" s="1"/>
  <c r="O44" i="6" a="1"/>
  <c r="O44" i="6" s="1"/>
  <c r="O45" i="6" a="1"/>
  <c r="O45" i="6" s="1"/>
  <c r="O46" i="6" a="1"/>
  <c r="O46" i="6" s="1"/>
  <c r="O47" i="6" a="1"/>
  <c r="O47" i="6" s="1"/>
  <c r="O48" i="6" a="1"/>
  <c r="O48" i="6" s="1"/>
  <c r="O49" i="6" a="1"/>
  <c r="O49" i="6" s="1"/>
  <c r="O50" i="6" a="1"/>
  <c r="O50" i="6" s="1"/>
  <c r="O51" i="6" a="1"/>
  <c r="O51" i="6" s="1"/>
  <c r="O52" i="6" a="1"/>
  <c r="O52" i="6" s="1"/>
  <c r="O53" i="6" a="1"/>
  <c r="O53" i="6" s="1"/>
  <c r="O54" i="6" a="1"/>
  <c r="O54" i="6" s="1"/>
  <c r="O55" i="6" a="1"/>
  <c r="O55" i="6" s="1"/>
  <c r="O56" i="6" a="1"/>
  <c r="O56" i="6" s="1"/>
  <c r="O57" i="6" a="1"/>
  <c r="O57" i="6" s="1"/>
  <c r="O58" i="6" a="1"/>
  <c r="O58" i="6" s="1"/>
  <c r="O59" i="6" a="1"/>
  <c r="O59" i="6" s="1"/>
  <c r="O60" i="6" a="1"/>
  <c r="O60" i="6" s="1"/>
  <c r="O61" i="6" a="1"/>
  <c r="O61" i="6" s="1"/>
  <c r="O62" i="6" a="1"/>
  <c r="O62" i="6" s="1"/>
  <c r="O63" i="6" a="1"/>
  <c r="O63" i="6" s="1"/>
  <c r="O64" i="6" a="1"/>
  <c r="O64" i="6" s="1"/>
  <c r="O65" i="6" a="1"/>
  <c r="O65" i="6" s="1"/>
  <c r="O66" i="6" a="1"/>
  <c r="O66" i="6" s="1"/>
  <c r="O67" i="6" a="1"/>
  <c r="O67" i="6" s="1"/>
  <c r="O68" i="6" a="1"/>
  <c r="O68" i="6" s="1"/>
  <c r="O69" i="6" a="1"/>
  <c r="O69" i="6" s="1"/>
  <c r="O70" i="6" a="1"/>
  <c r="O70" i="6" s="1"/>
  <c r="O71" i="6" a="1"/>
  <c r="O71" i="6" s="1"/>
  <c r="O72" i="6" a="1"/>
  <c r="O72" i="6" s="1"/>
  <c r="O73" i="6" a="1"/>
  <c r="O73" i="6" s="1"/>
  <c r="O74" i="6" a="1"/>
  <c r="O74" i="6" s="1"/>
  <c r="O75" i="6" a="1"/>
  <c r="O75" i="6" s="1"/>
  <c r="O76" i="6" a="1"/>
  <c r="O76" i="6" s="1"/>
  <c r="O77" i="6" a="1"/>
  <c r="O77" i="6" s="1"/>
  <c r="O78" i="6" a="1"/>
  <c r="O78" i="6" s="1"/>
  <c r="O79" i="6" a="1"/>
  <c r="O79" i="6" s="1"/>
  <c r="O80" i="6" a="1"/>
  <c r="O80" i="6" s="1"/>
  <c r="O81" i="6" a="1"/>
  <c r="O81" i="6" s="1"/>
  <c r="O82" i="6" a="1"/>
  <c r="O82" i="6" s="1"/>
  <c r="O83" i="6" a="1"/>
  <c r="O83" i="6" s="1"/>
  <c r="O84" i="6" a="1"/>
  <c r="O84" i="6" s="1"/>
  <c r="O85" i="6" a="1"/>
  <c r="O85" i="6" s="1"/>
  <c r="O86" i="6" a="1"/>
  <c r="O86" i="6" s="1"/>
  <c r="O87" i="6" a="1"/>
  <c r="O87" i="6" s="1"/>
  <c r="O88" i="6" a="1"/>
  <c r="O88" i="6" s="1"/>
  <c r="O89" i="6" a="1"/>
  <c r="O89" i="6" s="1"/>
  <c r="O90" i="6" a="1"/>
  <c r="O90" i="6" s="1"/>
  <c r="O91" i="6" a="1"/>
  <c r="O91" i="6" s="1"/>
  <c r="O92" i="6" a="1"/>
  <c r="O92" i="6" s="1"/>
  <c r="O93" i="6" a="1"/>
  <c r="O93" i="6" s="1"/>
  <c r="O94" i="6" a="1"/>
  <c r="O94" i="6" s="1"/>
  <c r="O95" i="6" a="1"/>
  <c r="O95" i="6" s="1"/>
  <c r="O96" i="6" a="1"/>
  <c r="O96" i="6" s="1"/>
  <c r="O97" i="6" a="1"/>
  <c r="O97" i="6" s="1"/>
  <c r="O98" i="6" a="1"/>
  <c r="O98" i="6" s="1"/>
  <c r="O99" i="6" a="1"/>
  <c r="O99" i="6" s="1"/>
  <c r="O100" i="6" a="1"/>
  <c r="O100" i="6" s="1"/>
  <c r="O101" i="6" a="1"/>
  <c r="O101" i="6" s="1"/>
  <c r="O102" i="6" a="1"/>
  <c r="O102" i="6" s="1"/>
  <c r="O103" i="6" a="1"/>
  <c r="O103" i="6" s="1"/>
  <c r="O104" i="6" a="1"/>
  <c r="O104" i="6" s="1"/>
  <c r="O105" i="6" a="1"/>
  <c r="O105" i="6" s="1"/>
  <c r="O106" i="6" a="1"/>
  <c r="O106" i="6" s="1"/>
  <c r="O107" i="6" a="1"/>
  <c r="O107" i="6" s="1"/>
  <c r="O108" i="6" a="1"/>
  <c r="O108" i="6" s="1"/>
  <c r="O109" i="6" a="1"/>
  <c r="O109" i="6" s="1"/>
  <c r="O110" i="6" a="1"/>
  <c r="O110" i="6" s="1"/>
  <c r="O111" i="6" a="1"/>
  <c r="O111" i="6" s="1"/>
  <c r="O112" i="6" a="1"/>
  <c r="O112" i="6" s="1"/>
  <c r="O113" i="6" a="1"/>
  <c r="O113" i="6" s="1"/>
  <c r="O114" i="6" a="1"/>
  <c r="O114" i="6" s="1"/>
  <c r="O115" i="6" a="1"/>
  <c r="O115" i="6" s="1"/>
  <c r="O116" i="6" a="1"/>
  <c r="O116" i="6" s="1"/>
  <c r="O117" i="6" a="1"/>
  <c r="O117" i="6" s="1"/>
  <c r="O118" i="6" a="1"/>
  <c r="O118" i="6" s="1"/>
  <c r="O119" i="6" a="1"/>
  <c r="O119" i="6" s="1"/>
  <c r="O120" i="6" a="1"/>
  <c r="O120" i="6" s="1"/>
  <c r="O121" i="6" a="1"/>
  <c r="O121" i="6" s="1"/>
  <c r="O122" i="6" a="1"/>
  <c r="O122" i="6" s="1"/>
  <c r="O123" i="6" a="1"/>
  <c r="O123" i="6" s="1"/>
  <c r="O124" i="6" a="1"/>
  <c r="O124" i="6" s="1"/>
  <c r="O125" i="6" a="1"/>
  <c r="O125" i="6" s="1"/>
  <c r="O126" i="6" a="1"/>
  <c r="O126" i="6" s="1"/>
  <c r="O127" i="6" a="1"/>
  <c r="O127" i="6" s="1"/>
  <c r="O128" i="6" a="1"/>
  <c r="O128" i="6" s="1"/>
  <c r="O129" i="6" a="1"/>
  <c r="O129" i="6" s="1"/>
  <c r="O130" i="6" a="1"/>
  <c r="O130" i="6" s="1"/>
  <c r="O131" i="6" a="1"/>
  <c r="O131" i="6" s="1"/>
  <c r="O132" i="6" a="1"/>
  <c r="O132" i="6" s="1"/>
  <c r="O133" i="6" a="1"/>
  <c r="O133" i="6" s="1"/>
  <c r="O134" i="6" a="1"/>
  <c r="O134" i="6" s="1"/>
  <c r="O135" i="6" a="1"/>
  <c r="O135" i="6" s="1"/>
  <c r="O136" i="6" a="1"/>
  <c r="O136" i="6" s="1"/>
  <c r="O137" i="6" a="1"/>
  <c r="O137" i="6" s="1"/>
  <c r="O138" i="6" a="1"/>
  <c r="O138" i="6" s="1"/>
  <c r="O139" i="6" a="1"/>
  <c r="O139" i="6" s="1"/>
  <c r="O140" i="6" a="1"/>
  <c r="O140" i="6" s="1"/>
  <c r="O141" i="6" a="1"/>
  <c r="O141" i="6" s="1"/>
  <c r="O142" i="6" a="1"/>
  <c r="O142" i="6" s="1"/>
  <c r="O143" i="6" a="1"/>
  <c r="O143" i="6" s="1"/>
  <c r="O144" i="6" a="1"/>
  <c r="O144" i="6" s="1"/>
  <c r="O145" i="6" a="1"/>
  <c r="O145" i="6" s="1"/>
  <c r="O146" i="6" a="1"/>
  <c r="O146" i="6" s="1"/>
  <c r="O147" i="6" a="1"/>
  <c r="O147" i="6" s="1"/>
  <c r="O148" i="6" a="1"/>
  <c r="O148" i="6" s="1"/>
  <c r="O149" i="6" a="1"/>
  <c r="O149" i="6" s="1"/>
  <c r="O150" i="6" a="1"/>
  <c r="O150" i="6" s="1"/>
  <c r="O151" i="6" a="1"/>
  <c r="O151" i="6" s="1"/>
  <c r="O152" i="6" a="1"/>
  <c r="O152" i="6" s="1"/>
  <c r="O153" i="6" a="1"/>
  <c r="O153" i="6" s="1"/>
  <c r="O154" i="6" a="1"/>
  <c r="O154" i="6" s="1"/>
  <c r="O155" i="6" a="1"/>
  <c r="O155" i="6" s="1"/>
  <c r="O156" i="6" a="1"/>
  <c r="O156" i="6" s="1"/>
  <c r="O157" i="6" a="1"/>
  <c r="O157" i="6" s="1"/>
  <c r="O158" i="6" a="1"/>
  <c r="O158" i="6" s="1"/>
  <c r="O159" i="6" a="1"/>
  <c r="O159" i="6" s="1"/>
  <c r="O160" i="6" a="1"/>
  <c r="O160" i="6" s="1"/>
  <c r="O161" i="6" a="1"/>
  <c r="O161" i="6" s="1"/>
  <c r="O162" i="6" a="1"/>
  <c r="O162" i="6" s="1"/>
  <c r="O163" i="6" a="1"/>
  <c r="O163" i="6" s="1"/>
  <c r="O164" i="6" a="1"/>
  <c r="O164" i="6" s="1"/>
  <c r="O165" i="6" a="1"/>
  <c r="O165" i="6" s="1"/>
  <c r="O166" i="6" a="1"/>
  <c r="O166" i="6" s="1"/>
  <c r="O167" i="6" a="1"/>
  <c r="O167" i="6" s="1"/>
  <c r="O168" i="6" a="1"/>
  <c r="O168" i="6" s="1"/>
  <c r="O169" i="6" a="1"/>
  <c r="O169" i="6" s="1"/>
  <c r="O170" i="6" a="1"/>
  <c r="O170" i="6" s="1"/>
  <c r="O171" i="6" a="1"/>
  <c r="O171" i="6" s="1"/>
  <c r="O172" i="6" a="1"/>
  <c r="O172" i="6" s="1"/>
  <c r="O173" i="6" a="1"/>
  <c r="O173" i="6" s="1"/>
  <c r="O174" i="6" a="1"/>
  <c r="O174" i="6" s="1"/>
  <c r="O175" i="6" a="1"/>
  <c r="O175" i="6" s="1"/>
  <c r="O176" i="6" a="1"/>
  <c r="O176" i="6" s="1"/>
  <c r="O177" i="6" a="1"/>
  <c r="O177" i="6" s="1"/>
  <c r="O178" i="6" a="1"/>
  <c r="O178" i="6" s="1"/>
  <c r="O179" i="6" a="1"/>
  <c r="O179" i="6" s="1"/>
  <c r="O180" i="6" a="1"/>
  <c r="O180" i="6" s="1"/>
  <c r="O181" i="6" a="1"/>
  <c r="O181" i="6" s="1"/>
  <c r="O182" i="6" a="1"/>
  <c r="O182" i="6" s="1"/>
  <c r="O183" i="6" a="1"/>
  <c r="O183" i="6" s="1"/>
  <c r="O184" i="6" a="1"/>
  <c r="O184" i="6" s="1"/>
  <c r="O185" i="6" a="1"/>
  <c r="O185" i="6" s="1"/>
  <c r="O186" i="6" a="1"/>
  <c r="O186" i="6" s="1"/>
  <c r="O187" i="6" a="1"/>
  <c r="O187" i="6" s="1"/>
  <c r="O188" i="6" a="1"/>
  <c r="O188" i="6" s="1"/>
  <c r="O189" i="6" a="1"/>
  <c r="O189" i="6" s="1"/>
  <c r="O190" i="6" a="1"/>
  <c r="O190" i="6" s="1"/>
  <c r="O191" i="6" a="1"/>
  <c r="O191" i="6" s="1"/>
  <c r="O192" i="6" a="1"/>
  <c r="O192" i="6" s="1"/>
  <c r="O193" i="6" a="1"/>
  <c r="O193" i="6" s="1"/>
  <c r="O194" i="6" a="1"/>
  <c r="O194" i="6" s="1"/>
  <c r="O195" i="6" a="1"/>
  <c r="O195" i="6" s="1"/>
  <c r="O196" i="6" a="1"/>
  <c r="O196" i="6" s="1"/>
  <c r="O197" i="6" a="1"/>
  <c r="O197" i="6" s="1"/>
  <c r="O198" i="6" a="1"/>
  <c r="O198" i="6" s="1"/>
  <c r="O199" i="6" a="1"/>
  <c r="O199" i="6" s="1"/>
  <c r="O200" i="6" a="1"/>
  <c r="O200" i="6" s="1"/>
  <c r="O201" i="6" a="1"/>
  <c r="O201" i="6" s="1"/>
  <c r="O202" i="6" a="1"/>
  <c r="O202" i="6" s="1"/>
  <c r="O203" i="6" a="1"/>
  <c r="O203" i="6" s="1"/>
  <c r="O204" i="6" a="1"/>
  <c r="O204" i="6" s="1"/>
  <c r="O205" i="6" a="1"/>
  <c r="O205" i="6" s="1"/>
  <c r="O206" i="6" a="1"/>
  <c r="O206" i="6" s="1"/>
  <c r="O207" i="6" a="1"/>
  <c r="O207" i="6" s="1"/>
  <c r="O208" i="6" a="1"/>
  <c r="O208" i="6" s="1"/>
  <c r="O209" i="6" a="1"/>
  <c r="O209" i="6" s="1"/>
  <c r="O210" i="6" a="1"/>
  <c r="O210" i="6" s="1"/>
  <c r="O211" i="6" a="1"/>
  <c r="O211" i="6" s="1"/>
  <c r="O212" i="6" a="1"/>
  <c r="O212" i="6" s="1"/>
  <c r="O213" i="6" a="1"/>
  <c r="O213" i="6" s="1"/>
  <c r="O214" i="6" a="1"/>
  <c r="O214" i="6" s="1"/>
  <c r="O215" i="6" a="1"/>
  <c r="O215" i="6" s="1"/>
  <c r="O216" i="6" a="1"/>
  <c r="O216" i="6" s="1"/>
  <c r="O217" i="6" a="1"/>
  <c r="O217" i="6" s="1"/>
  <c r="O218" i="6" a="1"/>
  <c r="O218" i="6" s="1"/>
  <c r="O219" i="6" a="1"/>
  <c r="O219" i="6" s="1"/>
  <c r="O220" i="6" a="1"/>
  <c r="O220" i="6" s="1"/>
  <c r="O221" i="6" a="1"/>
  <c r="O221" i="6" s="1"/>
  <c r="O222" i="6" a="1"/>
  <c r="O222" i="6" s="1"/>
  <c r="O223" i="6" a="1"/>
  <c r="O223" i="6" s="1"/>
  <c r="O224" i="6" a="1"/>
  <c r="O224" i="6" s="1"/>
  <c r="O225" i="6" a="1"/>
  <c r="O225" i="6" s="1"/>
  <c r="O226" i="6" a="1"/>
  <c r="O226" i="6" s="1"/>
  <c r="O227" i="6" a="1"/>
  <c r="O227" i="6" s="1"/>
  <c r="O228" i="6" a="1"/>
  <c r="O228" i="6" s="1"/>
  <c r="O229" i="6" a="1"/>
  <c r="O229" i="6" s="1"/>
  <c r="O230" i="6" a="1"/>
  <c r="O230" i="6" s="1"/>
  <c r="O231" i="6" a="1"/>
  <c r="O231" i="6" s="1"/>
  <c r="O232" i="6" a="1"/>
  <c r="O232" i="6" s="1"/>
  <c r="O233" i="6" a="1"/>
  <c r="O233" i="6" s="1"/>
  <c r="O234" i="6" a="1"/>
  <c r="O234" i="6" s="1"/>
  <c r="O235" i="6" a="1"/>
  <c r="O235" i="6" s="1"/>
  <c r="O236" i="6" a="1"/>
  <c r="O236" i="6" s="1"/>
  <c r="O237" i="6" a="1"/>
  <c r="O237" i="6" s="1"/>
  <c r="O238" i="6" a="1"/>
  <c r="O238" i="6" s="1"/>
  <c r="O239" i="6" a="1"/>
  <c r="O239" i="6" s="1"/>
  <c r="O240" i="6" a="1"/>
  <c r="O240" i="6" s="1"/>
  <c r="O241" i="6" a="1"/>
  <c r="O241" i="6" s="1"/>
  <c r="O242" i="6" a="1"/>
  <c r="O242" i="6" s="1"/>
  <c r="J4" i="6" a="1"/>
  <c r="J4" i="6" s="1"/>
  <c r="I4" i="6" s="1"/>
  <c r="J5" i="6" a="1"/>
  <c r="J5" i="6" s="1"/>
  <c r="I5" i="6" s="1"/>
  <c r="J6" i="6" a="1"/>
  <c r="J6" i="6" s="1"/>
  <c r="I6" i="6" s="1"/>
  <c r="J7" i="6" a="1"/>
  <c r="J7" i="6" s="1"/>
  <c r="I7" i="6" s="1"/>
  <c r="J8" i="6" a="1"/>
  <c r="J8" i="6" s="1"/>
  <c r="I8" i="6" s="1"/>
  <c r="I9" i="6"/>
  <c r="J10" i="6" a="1"/>
  <c r="J10" i="6" s="1"/>
  <c r="I10" i="6" s="1"/>
  <c r="J11" i="6" a="1"/>
  <c r="J11" i="6" s="1"/>
  <c r="I11" i="6" s="1"/>
  <c r="J12" i="6" a="1"/>
  <c r="J12" i="6" s="1"/>
  <c r="I12" i="6" s="1"/>
  <c r="J13" i="6" a="1"/>
  <c r="J13" i="6" s="1"/>
  <c r="I13" i="6" s="1"/>
  <c r="J14" i="6" a="1"/>
  <c r="J14" i="6" s="1"/>
  <c r="I14" i="6" s="1"/>
  <c r="J15" i="6" a="1"/>
  <c r="J15" i="6" s="1"/>
  <c r="I15" i="6" s="1"/>
  <c r="J16" i="6" a="1"/>
  <c r="J16" i="6" s="1"/>
  <c r="I16" i="6" s="1"/>
  <c r="J17" i="6" a="1"/>
  <c r="J17" i="6" s="1"/>
  <c r="I17" i="6" s="1"/>
  <c r="J18" i="6" a="1"/>
  <c r="J18" i="6" s="1"/>
  <c r="I18" i="6" s="1"/>
  <c r="J19" i="6" a="1"/>
  <c r="J19" i="6" s="1"/>
  <c r="I19" i="6" s="1"/>
  <c r="J20" i="6" a="1"/>
  <c r="J20" i="6" s="1"/>
  <c r="I20" i="6" s="1"/>
  <c r="J21" i="6" a="1"/>
  <c r="J21" i="6" s="1"/>
  <c r="I21" i="6" s="1"/>
  <c r="J22" i="6" a="1"/>
  <c r="J22" i="6" s="1"/>
  <c r="I22" i="6" s="1"/>
  <c r="J23" i="6" a="1"/>
  <c r="J23" i="6" s="1"/>
  <c r="I23" i="6" s="1"/>
  <c r="J24" i="6" a="1"/>
  <c r="J24" i="6" s="1"/>
  <c r="I24" i="6" s="1"/>
  <c r="J25" i="6" a="1"/>
  <c r="J25" i="6" s="1"/>
  <c r="I25" i="6" s="1"/>
  <c r="J26" i="6" a="1"/>
  <c r="J26" i="6" s="1"/>
  <c r="I26" i="6" s="1"/>
  <c r="J27" i="6" a="1"/>
  <c r="J27" i="6" s="1"/>
  <c r="I27" i="6" s="1"/>
  <c r="J28" i="6" a="1"/>
  <c r="J28" i="6" s="1"/>
  <c r="I28" i="6" s="1"/>
  <c r="J29" i="6" a="1"/>
  <c r="J29" i="6" s="1"/>
  <c r="I29" i="6" s="1"/>
  <c r="J30" i="6" a="1"/>
  <c r="J30" i="6" s="1"/>
  <c r="I30" i="6" s="1"/>
  <c r="J31" i="6" a="1"/>
  <c r="J31" i="6" s="1"/>
  <c r="I31" i="6" s="1"/>
  <c r="J32" i="6" a="1"/>
  <c r="J32" i="6" s="1"/>
  <c r="I32" i="6" s="1"/>
  <c r="J33" i="6" a="1"/>
  <c r="J33" i="6" s="1"/>
  <c r="I33" i="6" s="1"/>
  <c r="J34" i="6" a="1"/>
  <c r="J34" i="6" s="1"/>
  <c r="I34" i="6" s="1"/>
  <c r="J35" i="6" a="1"/>
  <c r="J35" i="6" s="1"/>
  <c r="I35" i="6" s="1"/>
  <c r="J36" i="6" a="1"/>
  <c r="J36" i="6" s="1"/>
  <c r="I36" i="6" s="1"/>
  <c r="J37" i="6" a="1"/>
  <c r="J37" i="6" s="1"/>
  <c r="I37" i="6" s="1"/>
  <c r="J38" i="6" a="1"/>
  <c r="J38" i="6" s="1"/>
  <c r="I38" i="6" s="1"/>
  <c r="J39" i="6" a="1"/>
  <c r="J39" i="6" s="1"/>
  <c r="I39" i="6" s="1"/>
  <c r="J40" i="6" a="1"/>
  <c r="J40" i="6" s="1"/>
  <c r="I40" i="6" s="1"/>
  <c r="J41" i="6" a="1"/>
  <c r="J41" i="6" s="1"/>
  <c r="I41" i="6" s="1"/>
  <c r="J42" i="6" a="1"/>
  <c r="J42" i="6" s="1"/>
  <c r="I42" i="6" s="1"/>
  <c r="J43" i="6" a="1"/>
  <c r="J43" i="6" s="1"/>
  <c r="I43" i="6" s="1"/>
  <c r="J44" i="6" a="1"/>
  <c r="J44" i="6" s="1"/>
  <c r="I44" i="6" s="1"/>
  <c r="J45" i="6" a="1"/>
  <c r="J45" i="6" s="1"/>
  <c r="I45" i="6" s="1"/>
  <c r="J46" i="6" a="1"/>
  <c r="J46" i="6" s="1"/>
  <c r="I46" i="6" s="1"/>
  <c r="J47" i="6" a="1"/>
  <c r="J47" i="6" s="1"/>
  <c r="I47" i="6" s="1"/>
  <c r="J48" i="6" a="1"/>
  <c r="J48" i="6" s="1"/>
  <c r="I48" i="6" s="1"/>
  <c r="J49" i="6" a="1"/>
  <c r="J49" i="6" s="1"/>
  <c r="I49" i="6" s="1"/>
  <c r="J50" i="6" a="1"/>
  <c r="J50" i="6" s="1"/>
  <c r="I50" i="6" s="1"/>
  <c r="J51" i="6" a="1"/>
  <c r="J51" i="6" s="1"/>
  <c r="I51" i="6" s="1"/>
  <c r="J52" i="6" a="1"/>
  <c r="J52" i="6" s="1"/>
  <c r="I52" i="6" s="1"/>
  <c r="J53" i="6" a="1"/>
  <c r="J53" i="6" s="1"/>
  <c r="I53" i="6" s="1"/>
  <c r="J54" i="6" a="1"/>
  <c r="J54" i="6" s="1"/>
  <c r="I54" i="6" s="1"/>
  <c r="J55" i="6" a="1"/>
  <c r="J55" i="6" s="1"/>
  <c r="I55" i="6" s="1"/>
  <c r="J56" i="6" a="1"/>
  <c r="J56" i="6" s="1"/>
  <c r="I56" i="6" s="1"/>
  <c r="J57" i="6" a="1"/>
  <c r="J57" i="6" s="1"/>
  <c r="I57" i="6" s="1"/>
  <c r="J58" i="6" a="1"/>
  <c r="J58" i="6" s="1"/>
  <c r="I58" i="6" s="1"/>
  <c r="J59" i="6" a="1"/>
  <c r="J59" i="6" s="1"/>
  <c r="I59" i="6" s="1"/>
  <c r="J60" i="6" a="1"/>
  <c r="J60" i="6" s="1"/>
  <c r="I60" i="6" s="1"/>
  <c r="J61" i="6" a="1"/>
  <c r="J61" i="6" s="1"/>
  <c r="I61" i="6" s="1"/>
  <c r="J62" i="6" a="1"/>
  <c r="J62" i="6" s="1"/>
  <c r="I62" i="6" s="1"/>
  <c r="J63" i="6" a="1"/>
  <c r="J63" i="6" s="1"/>
  <c r="I63" i="6" s="1"/>
  <c r="J64" i="6" a="1"/>
  <c r="J64" i="6" s="1"/>
  <c r="I64" i="6" s="1"/>
  <c r="J65" i="6" a="1"/>
  <c r="J65" i="6" s="1"/>
  <c r="I65" i="6" s="1"/>
  <c r="J66" i="6" a="1"/>
  <c r="J66" i="6" s="1"/>
  <c r="I66" i="6" s="1"/>
  <c r="J67" i="6" a="1"/>
  <c r="J67" i="6" s="1"/>
  <c r="I67" i="6" s="1"/>
  <c r="J68" i="6" a="1"/>
  <c r="J68" i="6" s="1"/>
  <c r="I68" i="6" s="1"/>
  <c r="J69" i="6" a="1"/>
  <c r="J69" i="6" s="1"/>
  <c r="I69" i="6" s="1"/>
  <c r="J70" i="6" a="1"/>
  <c r="J70" i="6" s="1"/>
  <c r="I70" i="6" s="1"/>
  <c r="J71" i="6" a="1"/>
  <c r="J71" i="6" s="1"/>
  <c r="I71" i="6" s="1"/>
  <c r="J72" i="6" a="1"/>
  <c r="J72" i="6" s="1"/>
  <c r="I72" i="6" s="1"/>
  <c r="J73" i="6" a="1"/>
  <c r="J73" i="6" s="1"/>
  <c r="I73" i="6" s="1"/>
  <c r="J74" i="6" a="1"/>
  <c r="J74" i="6" s="1"/>
  <c r="I74" i="6" s="1"/>
  <c r="J75" i="6" a="1"/>
  <c r="J75" i="6" s="1"/>
  <c r="I75" i="6" s="1"/>
  <c r="J76" i="6" a="1"/>
  <c r="J76" i="6" s="1"/>
  <c r="I76" i="6" s="1"/>
  <c r="J77" i="6" a="1"/>
  <c r="J77" i="6" s="1"/>
  <c r="I77" i="6" s="1"/>
  <c r="J78" i="6" a="1"/>
  <c r="J78" i="6" s="1"/>
  <c r="I78" i="6" s="1"/>
  <c r="J79" i="6" a="1"/>
  <c r="J79" i="6" s="1"/>
  <c r="I79" i="6" s="1"/>
  <c r="J80" i="6" a="1"/>
  <c r="J80" i="6" s="1"/>
  <c r="I80" i="6" s="1"/>
  <c r="J81" i="6" a="1"/>
  <c r="J81" i="6" s="1"/>
  <c r="I81" i="6" s="1"/>
  <c r="J82" i="6" a="1"/>
  <c r="J82" i="6" s="1"/>
  <c r="I82" i="6" s="1"/>
  <c r="J83" i="6" a="1"/>
  <c r="J83" i="6" s="1"/>
  <c r="I83" i="6" s="1"/>
  <c r="J84" i="6" a="1"/>
  <c r="J84" i="6" s="1"/>
  <c r="I84" i="6" s="1"/>
  <c r="J85" i="6" a="1"/>
  <c r="J85" i="6" s="1"/>
  <c r="I85" i="6" s="1"/>
  <c r="J86" i="6" a="1"/>
  <c r="J86" i="6" s="1"/>
  <c r="I86" i="6" s="1"/>
  <c r="J87" i="6" a="1"/>
  <c r="J87" i="6" s="1"/>
  <c r="I87" i="6" s="1"/>
  <c r="J88" i="6" a="1"/>
  <c r="J88" i="6" s="1"/>
  <c r="I88" i="6" s="1"/>
  <c r="J89" i="6" a="1"/>
  <c r="J89" i="6" s="1"/>
  <c r="I89" i="6" s="1"/>
  <c r="J90" i="6" a="1"/>
  <c r="J90" i="6" s="1"/>
  <c r="I90" i="6" s="1"/>
  <c r="J91" i="6" a="1"/>
  <c r="J91" i="6" s="1"/>
  <c r="I91" i="6" s="1"/>
  <c r="J92" i="6" a="1"/>
  <c r="J92" i="6" s="1"/>
  <c r="I92" i="6" s="1"/>
  <c r="J93" i="6" a="1"/>
  <c r="J93" i="6" s="1"/>
  <c r="I93" i="6" s="1"/>
  <c r="J94" i="6" a="1"/>
  <c r="J94" i="6" s="1"/>
  <c r="I94" i="6" s="1"/>
  <c r="J95" i="6" a="1"/>
  <c r="J95" i="6" s="1"/>
  <c r="I95" i="6" s="1"/>
  <c r="J96" i="6" a="1"/>
  <c r="J96" i="6" s="1"/>
  <c r="I96" i="6" s="1"/>
  <c r="J97" i="6" a="1"/>
  <c r="J97" i="6" s="1"/>
  <c r="I97" i="6" s="1"/>
  <c r="J98" i="6" a="1"/>
  <c r="J98" i="6" s="1"/>
  <c r="I98" i="6" s="1"/>
  <c r="J99" i="6" a="1"/>
  <c r="J99" i="6" s="1"/>
  <c r="I99" i="6" s="1"/>
  <c r="J100" i="6" a="1"/>
  <c r="J100" i="6" s="1"/>
  <c r="I100" i="6" s="1"/>
  <c r="J101" i="6" a="1"/>
  <c r="J101" i="6" s="1"/>
  <c r="I101" i="6" s="1"/>
  <c r="J102" i="6" a="1"/>
  <c r="J102" i="6" s="1"/>
  <c r="I102" i="6" s="1"/>
  <c r="J103" i="6" a="1"/>
  <c r="J103" i="6" s="1"/>
  <c r="I103" i="6" s="1"/>
  <c r="J104" i="6" a="1"/>
  <c r="J104" i="6" s="1"/>
  <c r="I104" i="6" s="1"/>
  <c r="J105" i="6" a="1"/>
  <c r="J105" i="6" s="1"/>
  <c r="I105" i="6" s="1"/>
  <c r="J106" i="6" a="1"/>
  <c r="J106" i="6" s="1"/>
  <c r="I106" i="6" s="1"/>
  <c r="J107" i="6" a="1"/>
  <c r="J107" i="6" s="1"/>
  <c r="I107" i="6" s="1"/>
  <c r="J108" i="6" a="1"/>
  <c r="J108" i="6" s="1"/>
  <c r="I108" i="6" s="1"/>
  <c r="J109" i="6" a="1"/>
  <c r="J109" i="6" s="1"/>
  <c r="I109" i="6" s="1"/>
  <c r="J110" i="6" a="1"/>
  <c r="J110" i="6" s="1"/>
  <c r="I110" i="6" s="1"/>
  <c r="J111" i="6" a="1"/>
  <c r="J111" i="6" s="1"/>
  <c r="I111" i="6" s="1"/>
  <c r="J112" i="6" a="1"/>
  <c r="J112" i="6" s="1"/>
  <c r="I112" i="6" s="1"/>
  <c r="J113" i="6" a="1"/>
  <c r="J113" i="6" s="1"/>
  <c r="I113" i="6" s="1"/>
  <c r="J114" i="6" a="1"/>
  <c r="J114" i="6" s="1"/>
  <c r="I114" i="6" s="1"/>
  <c r="J115" i="6" a="1"/>
  <c r="J115" i="6" s="1"/>
  <c r="I115" i="6" s="1"/>
  <c r="J116" i="6" a="1"/>
  <c r="J116" i="6" s="1"/>
  <c r="I116" i="6" s="1"/>
  <c r="J117" i="6" a="1"/>
  <c r="J117" i="6" s="1"/>
  <c r="I117" i="6" s="1"/>
  <c r="J118" i="6" a="1"/>
  <c r="J118" i="6" s="1"/>
  <c r="I118" i="6" s="1"/>
  <c r="J119" i="6" a="1"/>
  <c r="J119" i="6" s="1"/>
  <c r="I119" i="6" s="1"/>
  <c r="J120" i="6" a="1"/>
  <c r="J120" i="6" s="1"/>
  <c r="I120" i="6" s="1"/>
  <c r="J121" i="6" a="1"/>
  <c r="J121" i="6" s="1"/>
  <c r="I121" i="6" s="1"/>
  <c r="J122" i="6" a="1"/>
  <c r="J122" i="6" s="1"/>
  <c r="I122" i="6" s="1"/>
  <c r="J123" i="6" a="1"/>
  <c r="J123" i="6" s="1"/>
  <c r="I123" i="6" s="1"/>
  <c r="J124" i="6" a="1"/>
  <c r="J124" i="6" s="1"/>
  <c r="I124" i="6" s="1"/>
  <c r="J125" i="6" a="1"/>
  <c r="J125" i="6" s="1"/>
  <c r="I125" i="6" s="1"/>
  <c r="J126" i="6" a="1"/>
  <c r="J126" i="6" s="1"/>
  <c r="I126" i="6" s="1"/>
  <c r="J127" i="6" a="1"/>
  <c r="J127" i="6" s="1"/>
  <c r="I127" i="6" s="1"/>
  <c r="J128" i="6" a="1"/>
  <c r="J128" i="6" s="1"/>
  <c r="I128" i="6" s="1"/>
  <c r="J129" i="6" a="1"/>
  <c r="J129" i="6" s="1"/>
  <c r="I129" i="6" s="1"/>
  <c r="J130" i="6" a="1"/>
  <c r="J130" i="6" s="1"/>
  <c r="I130" i="6" s="1"/>
  <c r="J131" i="6" a="1"/>
  <c r="J131" i="6" s="1"/>
  <c r="I131" i="6" s="1"/>
  <c r="J132" i="6" a="1"/>
  <c r="J132" i="6" s="1"/>
  <c r="I132" i="6" s="1"/>
  <c r="J133" i="6" a="1"/>
  <c r="J133" i="6" s="1"/>
  <c r="I133" i="6" s="1"/>
  <c r="I3" i="6"/>
  <c r="M19" i="1"/>
  <c r="AA44" i="1" l="1"/>
  <c r="U62" i="1" s="1"/>
  <c r="M1084" i="4"/>
  <c r="O1084" i="4" s="1"/>
  <c r="M1066" i="4"/>
  <c r="O1066" i="4" s="1"/>
  <c r="M20" i="4"/>
  <c r="G38" i="25"/>
  <c r="F38" i="25"/>
  <c r="O382" i="4"/>
  <c r="O381" i="4"/>
  <c r="O380" i="4"/>
  <c r="O336" i="4"/>
  <c r="N379" i="4"/>
  <c r="O334" i="4"/>
  <c r="O333" i="4"/>
  <c r="N332" i="4"/>
  <c r="N377" i="4"/>
  <c r="N378" i="4"/>
  <c r="O337" i="4"/>
  <c r="O335" i="4"/>
  <c r="O383" i="4"/>
  <c r="O257" i="4"/>
  <c r="O345" i="4"/>
  <c r="P24" i="16"/>
  <c r="P16" i="16"/>
  <c r="P18" i="16"/>
  <c r="P22" i="16"/>
  <c r="P23" i="16"/>
  <c r="P20" i="16"/>
  <c r="P21" i="16"/>
  <c r="P19" i="16"/>
  <c r="P17" i="16"/>
  <c r="U5" i="14"/>
  <c r="U2" i="14"/>
  <c r="U10" i="14"/>
  <c r="U4" i="14"/>
  <c r="U7" i="14"/>
  <c r="U6" i="14"/>
  <c r="U3" i="14"/>
  <c r="U9" i="14"/>
  <c r="U8" i="14"/>
  <c r="U3" i="11"/>
  <c r="V3" i="11"/>
  <c r="R4" i="11"/>
  <c r="R5" i="11" s="1"/>
  <c r="M1032" i="4"/>
  <c r="O1032" i="4" s="1"/>
  <c r="M1020" i="4"/>
  <c r="O1020" i="4" s="1"/>
  <c r="O984" i="4"/>
  <c r="O948" i="4"/>
  <c r="O888" i="4"/>
  <c r="M876" i="4"/>
  <c r="O876" i="4" s="1"/>
  <c r="O840" i="4"/>
  <c r="M816" i="4"/>
  <c r="O816" i="4" s="1"/>
  <c r="M804" i="4"/>
  <c r="O804" i="4" s="1"/>
  <c r="M792" i="4"/>
  <c r="O792" i="4" s="1"/>
  <c r="M768" i="4"/>
  <c r="O768" i="4" s="1"/>
  <c r="M756" i="4"/>
  <c r="O756" i="4" s="1"/>
  <c r="O732" i="4"/>
  <c r="N720" i="4"/>
  <c r="M684" i="4"/>
  <c r="O684" i="4" s="1"/>
  <c r="M648" i="4"/>
  <c r="O612" i="4"/>
  <c r="M588" i="4"/>
  <c r="O588" i="4" s="1"/>
  <c r="M576" i="4"/>
  <c r="O576" i="4" s="1"/>
  <c r="O540" i="4"/>
  <c r="M516" i="4"/>
  <c r="O516" i="4" s="1"/>
  <c r="M468" i="4"/>
  <c r="O468" i="4" s="1"/>
  <c r="M444" i="4"/>
  <c r="O444" i="4" s="1"/>
  <c r="M396" i="4"/>
  <c r="O396" i="4" s="1"/>
  <c r="M372" i="4"/>
  <c r="O372" i="4" s="1"/>
  <c r="M360" i="4"/>
  <c r="O360" i="4" s="1"/>
  <c r="M324" i="4"/>
  <c r="O324" i="4" s="1"/>
  <c r="O312" i="4"/>
  <c r="O300" i="4"/>
  <c r="M288" i="4"/>
  <c r="O288" i="4" s="1"/>
  <c r="M252" i="4"/>
  <c r="O252" i="4" s="1"/>
  <c r="O240" i="4"/>
  <c r="O228" i="4"/>
  <c r="M216" i="4"/>
  <c r="O216" i="4" s="1"/>
  <c r="M180" i="4"/>
  <c r="O180" i="4" s="1"/>
  <c r="M168" i="4"/>
  <c r="N168" i="4" s="1"/>
  <c r="O156" i="4"/>
  <c r="O144" i="4"/>
  <c r="M120" i="4"/>
  <c r="N120" i="4" s="1"/>
  <c r="O108" i="4"/>
  <c r="M96" i="4"/>
  <c r="N96" i="4" s="1"/>
  <c r="M84" i="4"/>
  <c r="N84" i="4" s="1"/>
  <c r="M48" i="4"/>
  <c r="N48" i="4" s="1"/>
  <c r="O1054" i="4"/>
  <c r="M793" i="4"/>
  <c r="O793" i="4" s="1"/>
  <c r="M781" i="4"/>
  <c r="N781" i="4" s="1"/>
  <c r="M757" i="4"/>
  <c r="O757" i="4" s="1"/>
  <c r="M745" i="4"/>
  <c r="O745" i="4" s="1"/>
  <c r="M157" i="4"/>
  <c r="O157" i="4" s="1"/>
  <c r="M133" i="4"/>
  <c r="O133" i="4" s="1"/>
  <c r="N109" i="4"/>
  <c r="M85" i="4"/>
  <c r="N85" i="4" s="1"/>
  <c r="N1056" i="4"/>
  <c r="N1055" i="4"/>
  <c r="M1023" i="4"/>
  <c r="O1023" i="4" s="1"/>
  <c r="O1011" i="4"/>
  <c r="O999" i="4"/>
  <c r="O987" i="4"/>
  <c r="M963" i="4"/>
  <c r="O963" i="4" s="1"/>
  <c r="O951" i="4"/>
  <c r="M939" i="4"/>
  <c r="O939" i="4" s="1"/>
  <c r="M927" i="4"/>
  <c r="O927" i="4" s="1"/>
  <c r="M915" i="4"/>
  <c r="O915" i="4" s="1"/>
  <c r="M903" i="4"/>
  <c r="O903" i="4" s="1"/>
  <c r="O879" i="4"/>
  <c r="M867" i="4"/>
  <c r="O867" i="4" s="1"/>
  <c r="M855" i="4"/>
  <c r="O855" i="4" s="1"/>
  <c r="M843" i="4"/>
  <c r="O843" i="4" s="1"/>
  <c r="M831" i="4"/>
  <c r="O831" i="4" s="1"/>
  <c r="M819" i="4"/>
  <c r="O819" i="4" s="1"/>
  <c r="M807" i="4"/>
  <c r="O807" i="4" s="1"/>
  <c r="O795" i="4"/>
  <c r="M783" i="4"/>
  <c r="O783" i="4" s="1"/>
  <c r="M759" i="4"/>
  <c r="O759" i="4" s="1"/>
  <c r="M747" i="4"/>
  <c r="O747" i="4" s="1"/>
  <c r="M735" i="4"/>
  <c r="O735" i="4" s="1"/>
  <c r="M723" i="4"/>
  <c r="N723" i="4" s="1"/>
  <c r="M711" i="4"/>
  <c r="O711" i="4" s="1"/>
  <c r="O687" i="4"/>
  <c r="M675" i="4"/>
  <c r="O675" i="4" s="1"/>
  <c r="M663" i="4"/>
  <c r="O663" i="4" s="1"/>
  <c r="O651" i="4"/>
  <c r="O639" i="4"/>
  <c r="O627" i="4"/>
  <c r="M615" i="4"/>
  <c r="O615" i="4" s="1"/>
  <c r="O603" i="4"/>
  <c r="M591" i="4"/>
  <c r="O591" i="4" s="1"/>
  <c r="M579" i="4"/>
  <c r="N579" i="4" s="1"/>
  <c r="M567" i="4"/>
  <c r="O567" i="4" s="1"/>
  <c r="M555" i="4"/>
  <c r="O555" i="4" s="1"/>
  <c r="M543" i="4"/>
  <c r="O543" i="4" s="1"/>
  <c r="O531" i="4"/>
  <c r="N519" i="4"/>
  <c r="M507" i="4"/>
  <c r="O507" i="4" s="1"/>
  <c r="O495" i="4"/>
  <c r="M483" i="4"/>
  <c r="O483" i="4" s="1"/>
  <c r="M471" i="4"/>
  <c r="O471" i="4" s="1"/>
  <c r="M459" i="4"/>
  <c r="O459" i="4" s="1"/>
  <c r="M447" i="4"/>
  <c r="O447" i="4" s="1"/>
  <c r="M435" i="4"/>
  <c r="O435" i="4" s="1"/>
  <c r="M423" i="4"/>
  <c r="O423" i="4" s="1"/>
  <c r="M411" i="4"/>
  <c r="O411" i="4" s="1"/>
  <c r="M399" i="4"/>
  <c r="O399" i="4" s="1"/>
  <c r="O387" i="4"/>
  <c r="O375" i="4"/>
  <c r="M363" i="4"/>
  <c r="O363" i="4" s="1"/>
  <c r="M351" i="4"/>
  <c r="O351" i="4" s="1"/>
  <c r="M339" i="4"/>
  <c r="O339" i="4" s="1"/>
  <c r="M315" i="4"/>
  <c r="O315" i="4" s="1"/>
  <c r="O303" i="4"/>
  <c r="M291" i="4"/>
  <c r="O291" i="4" s="1"/>
  <c r="M279" i="4"/>
  <c r="O279" i="4" s="1"/>
  <c r="O267" i="4"/>
  <c r="M255" i="4"/>
  <c r="O255" i="4" s="1"/>
  <c r="O243" i="4"/>
  <c r="M219" i="4"/>
  <c r="O219" i="4" s="1"/>
  <c r="O207" i="4"/>
  <c r="M195" i="4"/>
  <c r="O195" i="4" s="1"/>
  <c r="M183" i="4"/>
  <c r="O183" i="4" s="1"/>
  <c r="M171" i="4"/>
  <c r="O171" i="4" s="1"/>
  <c r="N159" i="4"/>
  <c r="M135" i="4"/>
  <c r="O135" i="4" s="1"/>
  <c r="M123" i="4"/>
  <c r="N123" i="4" s="1"/>
  <c r="N111" i="4"/>
  <c r="O99" i="4"/>
  <c r="M87" i="4"/>
  <c r="N87" i="4" s="1"/>
  <c r="M75" i="4"/>
  <c r="N75" i="4" s="1"/>
  <c r="M63" i="4"/>
  <c r="N63" i="4" s="1"/>
  <c r="O51" i="4"/>
  <c r="N1050" i="4"/>
  <c r="O1050" i="4"/>
  <c r="N1046" i="4"/>
  <c r="N1045" i="4"/>
  <c r="N1047" i="4"/>
  <c r="M1034" i="4"/>
  <c r="O1034" i="4" s="1"/>
  <c r="M1022" i="4"/>
  <c r="O1022" i="4" s="1"/>
  <c r="O1010" i="4"/>
  <c r="M998" i="4"/>
  <c r="O998" i="4" s="1"/>
  <c r="O986" i="4"/>
  <c r="M974" i="4"/>
  <c r="O974" i="4" s="1"/>
  <c r="M962" i="4"/>
  <c r="O962" i="4" s="1"/>
  <c r="O950" i="4"/>
  <c r="M938" i="4"/>
  <c r="O938" i="4" s="1"/>
  <c r="O926" i="4"/>
  <c r="M914" i="4"/>
  <c r="O914" i="4" s="1"/>
  <c r="M902" i="4"/>
  <c r="O902" i="4" s="1"/>
  <c r="M890" i="4"/>
  <c r="O890" i="4" s="1"/>
  <c r="O878" i="4"/>
  <c r="O866" i="4"/>
  <c r="M854" i="4"/>
  <c r="O854" i="4" s="1"/>
  <c r="O842" i="4"/>
  <c r="M830" i="4"/>
  <c r="O830" i="4" s="1"/>
  <c r="M818" i="4"/>
  <c r="O818" i="4" s="1"/>
  <c r="M806" i="4"/>
  <c r="O806" i="4" s="1"/>
  <c r="O794" i="4"/>
  <c r="M782" i="4"/>
  <c r="O782" i="4" s="1"/>
  <c r="M758" i="4"/>
  <c r="O758" i="4" s="1"/>
  <c r="M746" i="4"/>
  <c r="O746" i="4" s="1"/>
  <c r="M734" i="4"/>
  <c r="O734" i="4" s="1"/>
  <c r="M722" i="4"/>
  <c r="O722" i="4" s="1"/>
  <c r="M710" i="4"/>
  <c r="O710" i="4" s="1"/>
  <c r="M698" i="4"/>
  <c r="O698" i="4" s="1"/>
  <c r="M686" i="4"/>
  <c r="O686" i="4" s="1"/>
  <c r="M674" i="4"/>
  <c r="O674" i="4" s="1"/>
  <c r="M662" i="4"/>
  <c r="O662" i="4" s="1"/>
  <c r="M650" i="4"/>
  <c r="O650" i="4" s="1"/>
  <c r="O638" i="4"/>
  <c r="M626" i="4"/>
  <c r="O626" i="4" s="1"/>
  <c r="O614" i="4"/>
  <c r="M602" i="4"/>
  <c r="O602" i="4" s="1"/>
  <c r="M590" i="4"/>
  <c r="O590" i="4" s="1"/>
  <c r="M578" i="4"/>
  <c r="O578" i="4" s="1"/>
  <c r="M566" i="4"/>
  <c r="O566" i="4" s="1"/>
  <c r="O554" i="4"/>
  <c r="M530" i="4"/>
  <c r="O530" i="4" s="1"/>
  <c r="M518" i="4"/>
  <c r="O518" i="4" s="1"/>
  <c r="M506" i="4"/>
  <c r="O506" i="4" s="1"/>
  <c r="M494" i="4"/>
  <c r="O494" i="4" s="1"/>
  <c r="M482" i="4"/>
  <c r="O482" i="4" s="1"/>
  <c r="O470" i="4"/>
  <c r="M458" i="4"/>
  <c r="O458" i="4" s="1"/>
  <c r="M446" i="4"/>
  <c r="O446" i="4" s="1"/>
  <c r="M434" i="4"/>
  <c r="O434" i="4" s="1"/>
  <c r="M422" i="4"/>
  <c r="O422" i="4" s="1"/>
  <c r="O410" i="4"/>
  <c r="O398" i="4"/>
  <c r="O386" i="4"/>
  <c r="M374" i="4"/>
  <c r="O374" i="4" s="1"/>
  <c r="M362" i="4"/>
  <c r="O362" i="4" s="1"/>
  <c r="M350" i="4"/>
  <c r="O350" i="4" s="1"/>
  <c r="O338" i="4"/>
  <c r="M326" i="4"/>
  <c r="O326" i="4" s="1"/>
  <c r="O314" i="4"/>
  <c r="O302" i="4"/>
  <c r="M290" i="4"/>
  <c r="O290" i="4" s="1"/>
  <c r="M278" i="4"/>
  <c r="O278" i="4" s="1"/>
  <c r="O254" i="4"/>
  <c r="M242" i="4"/>
  <c r="O242" i="4" s="1"/>
  <c r="M230" i="4"/>
  <c r="O230" i="4" s="1"/>
  <c r="M218" i="4"/>
  <c r="O218" i="4" s="1"/>
  <c r="M206" i="4"/>
  <c r="O206" i="4" s="1"/>
  <c r="M194" i="4"/>
  <c r="O194" i="4" s="1"/>
  <c r="O182" i="4"/>
  <c r="N170" i="4"/>
  <c r="M158" i="4"/>
  <c r="O158" i="4" s="1"/>
  <c r="M146" i="4"/>
  <c r="N146" i="4" s="1"/>
  <c r="M134" i="4"/>
  <c r="N134" i="4" s="1"/>
  <c r="M122" i="4"/>
  <c r="N122" i="4" s="1"/>
  <c r="O110" i="4"/>
  <c r="M98" i="4"/>
  <c r="N98" i="4" s="1"/>
  <c r="N86" i="4"/>
  <c r="M74" i="4"/>
  <c r="N74" i="4" s="1"/>
  <c r="M62" i="4"/>
  <c r="N62" i="4" s="1"/>
  <c r="M50" i="4"/>
  <c r="O50" i="4" s="1"/>
  <c r="O1051" i="4"/>
  <c r="O1049" i="4"/>
  <c r="O1048" i="4"/>
  <c r="O1053" i="4"/>
  <c r="N1052" i="4"/>
  <c r="N1044" i="4"/>
  <c r="O1043" i="4"/>
  <c r="O1042" i="4"/>
  <c r="O1041" i="4"/>
  <c r="N1040" i="4"/>
  <c r="N1038" i="4"/>
  <c r="N1037" i="4"/>
  <c r="N1036" i="4"/>
  <c r="Y35" i="9"/>
  <c r="Y15" i="9"/>
  <c r="V32" i="9"/>
  <c r="Y27" i="9"/>
  <c r="V8" i="9"/>
  <c r="Y23" i="9"/>
  <c r="Y11" i="9"/>
  <c r="N1035" i="4"/>
  <c r="V31" i="9"/>
  <c r="Y26" i="9"/>
  <c r="Y14" i="9"/>
  <c r="V20" i="9"/>
  <c r="Y25" i="9"/>
  <c r="Y13" i="9"/>
  <c r="V19" i="9"/>
  <c r="Y3" i="9"/>
  <c r="Y24" i="9"/>
  <c r="Y12" i="9"/>
  <c r="V7" i="9"/>
  <c r="Y34" i="9"/>
  <c r="Y22" i="9"/>
  <c r="Y10" i="9"/>
  <c r="Y33" i="9"/>
  <c r="Y21" i="9"/>
  <c r="Y9" i="9"/>
  <c r="Y32" i="9"/>
  <c r="Y20" i="9"/>
  <c r="Y8" i="9"/>
  <c r="Y31" i="9"/>
  <c r="Y19" i="9"/>
  <c r="Y7" i="9"/>
  <c r="Y30" i="9"/>
  <c r="Y18" i="9"/>
  <c r="Y6" i="9"/>
  <c r="Y29" i="9"/>
  <c r="Y17" i="9"/>
  <c r="Y5" i="9"/>
  <c r="Y28" i="9"/>
  <c r="Y16" i="9"/>
  <c r="Y4" i="9"/>
  <c r="V27" i="9"/>
  <c r="V15" i="9"/>
  <c r="V26" i="9"/>
  <c r="V14" i="9"/>
  <c r="S27" i="9"/>
  <c r="V25" i="9"/>
  <c r="V13" i="9"/>
  <c r="S26" i="9"/>
  <c r="V3" i="9"/>
  <c r="V24" i="9"/>
  <c r="V12" i="9"/>
  <c r="S15" i="9"/>
  <c r="V23" i="9"/>
  <c r="V11" i="9"/>
  <c r="S14" i="9"/>
  <c r="V22" i="9"/>
  <c r="V10" i="9"/>
  <c r="V21" i="9"/>
  <c r="V9" i="9"/>
  <c r="V30" i="9"/>
  <c r="V18" i="9"/>
  <c r="V6" i="9"/>
  <c r="V29" i="9"/>
  <c r="V17" i="9"/>
  <c r="V5" i="9"/>
  <c r="V28" i="9"/>
  <c r="V16" i="9"/>
  <c r="V4" i="9"/>
  <c r="S25" i="9"/>
  <c r="S13" i="9"/>
  <c r="S3" i="9"/>
  <c r="S24" i="9"/>
  <c r="S12" i="9"/>
  <c r="P27" i="9"/>
  <c r="S23" i="9"/>
  <c r="S11" i="9"/>
  <c r="P15" i="9"/>
  <c r="S22" i="9"/>
  <c r="S10" i="9"/>
  <c r="S21" i="9"/>
  <c r="S9" i="9"/>
  <c r="M39" i="9"/>
  <c r="S32" i="9"/>
  <c r="S20" i="9"/>
  <c r="S8" i="9"/>
  <c r="S31" i="9"/>
  <c r="S19" i="9"/>
  <c r="S7" i="9"/>
  <c r="S30" i="9"/>
  <c r="S18" i="9"/>
  <c r="S6" i="9"/>
  <c r="S29" i="9"/>
  <c r="S17" i="9"/>
  <c r="S5" i="9"/>
  <c r="S28" i="9"/>
  <c r="S16" i="9"/>
  <c r="S4" i="9"/>
  <c r="M38" i="9"/>
  <c r="P26" i="9"/>
  <c r="P14" i="9"/>
  <c r="M24" i="9"/>
  <c r="P25" i="9"/>
  <c r="P13" i="9"/>
  <c r="M15" i="9"/>
  <c r="P3" i="9"/>
  <c r="P36" i="9"/>
  <c r="P24" i="9"/>
  <c r="P12" i="9"/>
  <c r="G39" i="9"/>
  <c r="M14" i="9"/>
  <c r="P35" i="9"/>
  <c r="P23" i="9"/>
  <c r="P11" i="9"/>
  <c r="G27" i="9"/>
  <c r="M12" i="9"/>
  <c r="P34" i="9"/>
  <c r="P22" i="9"/>
  <c r="P10" i="9"/>
  <c r="P33" i="9"/>
  <c r="P21" i="9"/>
  <c r="P9" i="9"/>
  <c r="P32" i="9"/>
  <c r="P20" i="9"/>
  <c r="P8" i="9"/>
  <c r="P31" i="9"/>
  <c r="P19" i="9"/>
  <c r="P7" i="9"/>
  <c r="P30" i="9"/>
  <c r="P18" i="9"/>
  <c r="P6" i="9"/>
  <c r="P29" i="9"/>
  <c r="P17" i="9"/>
  <c r="P5" i="9"/>
  <c r="P28" i="9"/>
  <c r="P16" i="9"/>
  <c r="P4" i="9"/>
  <c r="G38" i="9"/>
  <c r="M37" i="9"/>
  <c r="M25" i="9"/>
  <c r="M13" i="9"/>
  <c r="M26" i="9"/>
  <c r="J36" i="9"/>
  <c r="M3" i="9"/>
  <c r="M36" i="9"/>
  <c r="G26" i="9"/>
  <c r="J35" i="9"/>
  <c r="M35" i="9"/>
  <c r="M23" i="9"/>
  <c r="M11" i="9"/>
  <c r="G15" i="9"/>
  <c r="J24" i="9"/>
  <c r="M34" i="9"/>
  <c r="M22" i="9"/>
  <c r="M10" i="9"/>
  <c r="G14" i="9"/>
  <c r="J23" i="9"/>
  <c r="M33" i="9"/>
  <c r="M21" i="9"/>
  <c r="M9" i="9"/>
  <c r="G6" i="9"/>
  <c r="J12" i="9"/>
  <c r="M32" i="9"/>
  <c r="M20" i="9"/>
  <c r="M8" i="9"/>
  <c r="J3" i="9"/>
  <c r="J11" i="9"/>
  <c r="M31" i="9"/>
  <c r="M19" i="9"/>
  <c r="M7" i="9"/>
  <c r="M27" i="9"/>
  <c r="M30" i="9"/>
  <c r="M18" i="9"/>
  <c r="M41" i="9"/>
  <c r="M29" i="9"/>
  <c r="M17" i="9"/>
  <c r="M5" i="9"/>
  <c r="M40" i="9"/>
  <c r="M28" i="9"/>
  <c r="M16" i="9"/>
  <c r="M4" i="9"/>
  <c r="G37" i="9"/>
  <c r="G25" i="9"/>
  <c r="G13" i="9"/>
  <c r="J34" i="9"/>
  <c r="J22" i="9"/>
  <c r="G36" i="9"/>
  <c r="G24" i="9"/>
  <c r="G12" i="9"/>
  <c r="G47" i="9"/>
  <c r="G35" i="9"/>
  <c r="G23" i="9"/>
  <c r="G46" i="9"/>
  <c r="G34" i="9"/>
  <c r="G22" i="9"/>
  <c r="G45" i="9"/>
  <c r="G33" i="9"/>
  <c r="G21" i="9"/>
  <c r="G9" i="9"/>
  <c r="G44" i="9"/>
  <c r="G32" i="9"/>
  <c r="J5" i="9"/>
  <c r="G43" i="9"/>
  <c r="G31" i="9"/>
  <c r="G19" i="9"/>
  <c r="J4" i="9"/>
  <c r="G18" i="9"/>
  <c r="N647" i="4"/>
  <c r="O649" i="4"/>
  <c r="N788" i="4"/>
  <c r="N787" i="4"/>
  <c r="N786" i="4"/>
  <c r="N791" i="4"/>
  <c r="N785" i="4"/>
  <c r="O785" i="4"/>
  <c r="N784" i="4"/>
  <c r="O784" i="4"/>
  <c r="Y8" i="8"/>
  <c r="Z8" i="8" s="1"/>
  <c r="Y20" i="8"/>
  <c r="Z20" i="8" s="1"/>
  <c r="L3" i="8"/>
  <c r="M3" i="8" s="1"/>
  <c r="L12" i="8"/>
  <c r="M12" i="8" s="1"/>
  <c r="Y19" i="8"/>
  <c r="Z19" i="8" s="1"/>
  <c r="Y9" i="8"/>
  <c r="Z9" i="8" s="1"/>
  <c r="Y21" i="8"/>
  <c r="Z21" i="8" s="1"/>
  <c r="L13" i="8"/>
  <c r="M13" i="8" s="1"/>
  <c r="Y10" i="8"/>
  <c r="Z10" i="8" s="1"/>
  <c r="Y22" i="8"/>
  <c r="Z22" i="8" s="1"/>
  <c r="L14" i="8"/>
  <c r="M14" i="8" s="1"/>
  <c r="L11" i="8"/>
  <c r="M11" i="8" s="1"/>
  <c r="Y11" i="8"/>
  <c r="Z11" i="8" s="1"/>
  <c r="Y3" i="8"/>
  <c r="Z3" i="8" s="1"/>
  <c r="L15" i="8"/>
  <c r="M15" i="8" s="1"/>
  <c r="Y12" i="8"/>
  <c r="Z12" i="8" s="1"/>
  <c r="L16" i="8"/>
  <c r="M16" i="8" s="1"/>
  <c r="Y13" i="8"/>
  <c r="Z13" i="8" s="1"/>
  <c r="L17" i="8"/>
  <c r="M17" i="8" s="1"/>
  <c r="Y14" i="8"/>
  <c r="Z14" i="8" s="1"/>
  <c r="L6" i="8"/>
  <c r="M6" i="8" s="1"/>
  <c r="L18" i="8"/>
  <c r="M18" i="8" s="1"/>
  <c r="Y7" i="8"/>
  <c r="Z7" i="8" s="1"/>
  <c r="Y15" i="8"/>
  <c r="Z15" i="8" s="1"/>
  <c r="L7" i="8"/>
  <c r="M7" i="8" s="1"/>
  <c r="L19" i="8"/>
  <c r="M19" i="8" s="1"/>
  <c r="Y4" i="8"/>
  <c r="Z4" i="8" s="1"/>
  <c r="Y16" i="8"/>
  <c r="Z16" i="8" s="1"/>
  <c r="L8" i="8"/>
  <c r="M8" i="8" s="1"/>
  <c r="L20" i="8"/>
  <c r="M20" i="8" s="1"/>
  <c r="Y5" i="8"/>
  <c r="Z5" i="8" s="1"/>
  <c r="Y17" i="8"/>
  <c r="Z17" i="8" s="1"/>
  <c r="L9" i="8"/>
  <c r="M9" i="8" s="1"/>
  <c r="L21" i="8"/>
  <c r="M21" i="8" s="1"/>
  <c r="Y6" i="8"/>
  <c r="Z6" i="8" s="1"/>
  <c r="Y18" i="8"/>
  <c r="Z18" i="8" s="1"/>
  <c r="L10" i="8"/>
  <c r="M10" i="8" s="1"/>
  <c r="L4" i="8"/>
  <c r="M4" i="8" s="1"/>
  <c r="L22" i="8"/>
  <c r="M22" i="8" s="1"/>
  <c r="L5" i="8"/>
  <c r="M5" i="8" s="1"/>
  <c r="N761" i="4"/>
  <c r="O761" i="4"/>
  <c r="O769" i="4"/>
  <c r="O780" i="4"/>
  <c r="O724" i="4"/>
  <c r="N702" i="4"/>
  <c r="O779" i="4"/>
  <c r="O767" i="4"/>
  <c r="O778" i="4"/>
  <c r="O766" i="4"/>
  <c r="M727" i="4"/>
  <c r="O727" i="4" s="1"/>
  <c r="M716" i="4"/>
  <c r="O716" i="4" s="1"/>
  <c r="O765" i="4"/>
  <c r="M762" i="4"/>
  <c r="O762" i="4" s="1"/>
  <c r="M726" i="4"/>
  <c r="O726" i="4" s="1"/>
  <c r="M715" i="4"/>
  <c r="O715" i="4" s="1"/>
  <c r="O764" i="4"/>
  <c r="M714" i="4"/>
  <c r="O714" i="4" s="1"/>
  <c r="N774" i="4"/>
  <c r="O773" i="4"/>
  <c r="O775" i="4"/>
  <c r="O719" i="4"/>
  <c r="O772" i="4"/>
  <c r="O725" i="4"/>
  <c r="N740" i="4"/>
  <c r="N751" i="4"/>
  <c r="N739" i="4"/>
  <c r="N752" i="4"/>
  <c r="N750" i="4"/>
  <c r="N738" i="4"/>
  <c r="N749" i="4"/>
  <c r="N737" i="4"/>
  <c r="N760" i="4"/>
  <c r="N748" i="4"/>
  <c r="N736" i="4"/>
  <c r="N733" i="4"/>
  <c r="N744" i="4"/>
  <c r="N755" i="4"/>
  <c r="N743" i="4"/>
  <c r="N731" i="4"/>
  <c r="N754" i="4"/>
  <c r="N742" i="4"/>
  <c r="N730" i="4"/>
  <c r="N753" i="4"/>
  <c r="N741" i="4"/>
  <c r="N729" i="4"/>
  <c r="O251" i="4"/>
  <c r="N265" i="4"/>
  <c r="O1791" i="4"/>
  <c r="O1803" i="4"/>
  <c r="O394" i="4"/>
  <c r="O1947" i="4"/>
  <c r="O774" i="4"/>
  <c r="O1935" i="4"/>
  <c r="O1875" i="4"/>
  <c r="O1863" i="4"/>
  <c r="N1943" i="4"/>
  <c r="O1943" i="4"/>
  <c r="N1931" i="4"/>
  <c r="O1931" i="4"/>
  <c r="N1919" i="4"/>
  <c r="O1919" i="4"/>
  <c r="N1907" i="4"/>
  <c r="O1907" i="4"/>
  <c r="N1895" i="4"/>
  <c r="O1895" i="4"/>
  <c r="N1883" i="4"/>
  <c r="O1883" i="4"/>
  <c r="N1871" i="4"/>
  <c r="O1871" i="4"/>
  <c r="N1859" i="4"/>
  <c r="O1859" i="4"/>
  <c r="N1847" i="4"/>
  <c r="O1847" i="4"/>
  <c r="N1835" i="4"/>
  <c r="O1835" i="4"/>
  <c r="N1823" i="4"/>
  <c r="O1823" i="4"/>
  <c r="N1811" i="4"/>
  <c r="O1811" i="4"/>
  <c r="N1799" i="4"/>
  <c r="O1799" i="4"/>
  <c r="N1787" i="4"/>
  <c r="O1787" i="4"/>
  <c r="N1775" i="4"/>
  <c r="O1775" i="4"/>
  <c r="N1763" i="4"/>
  <c r="O1763" i="4"/>
  <c r="N1751" i="4"/>
  <c r="O1751" i="4"/>
  <c r="N1739" i="4"/>
  <c r="O1739" i="4"/>
  <c r="O1948" i="4"/>
  <c r="O1876" i="4"/>
  <c r="O1804" i="4"/>
  <c r="N1930" i="4"/>
  <c r="O1930" i="4"/>
  <c r="N1822" i="4"/>
  <c r="O1822" i="4"/>
  <c r="N1738" i="4"/>
  <c r="O1738" i="4"/>
  <c r="N1941" i="4"/>
  <c r="O1941" i="4"/>
  <c r="N1929" i="4"/>
  <c r="O1929" i="4"/>
  <c r="N1917" i="4"/>
  <c r="O1917" i="4"/>
  <c r="N1905" i="4"/>
  <c r="O1905" i="4"/>
  <c r="N1893" i="4"/>
  <c r="O1893" i="4"/>
  <c r="N1881" i="4"/>
  <c r="O1881" i="4"/>
  <c r="N1869" i="4"/>
  <c r="O1869" i="4"/>
  <c r="N1857" i="4"/>
  <c r="O1857" i="4"/>
  <c r="N1845" i="4"/>
  <c r="O1845" i="4"/>
  <c r="N1833" i="4"/>
  <c r="O1833" i="4"/>
  <c r="N1821" i="4"/>
  <c r="O1821" i="4"/>
  <c r="N1809" i="4"/>
  <c r="O1809" i="4"/>
  <c r="N1797" i="4"/>
  <c r="O1797" i="4"/>
  <c r="N1785" i="4"/>
  <c r="O1785" i="4"/>
  <c r="N1773" i="4"/>
  <c r="O1773" i="4"/>
  <c r="N1761" i="4"/>
  <c r="O1761" i="4"/>
  <c r="N1749" i="4"/>
  <c r="O1749" i="4"/>
  <c r="N1737" i="4"/>
  <c r="O1737" i="4"/>
  <c r="N1725" i="4"/>
  <c r="O1725" i="4"/>
  <c r="N1713" i="4"/>
  <c r="O1713" i="4"/>
  <c r="N1701" i="4"/>
  <c r="O1701" i="4"/>
  <c r="N1689" i="4"/>
  <c r="O1689" i="4"/>
  <c r="N1677" i="4"/>
  <c r="O1677" i="4"/>
  <c r="N1665" i="4"/>
  <c r="O1665" i="4"/>
  <c r="N1653" i="4"/>
  <c r="O1653" i="4"/>
  <c r="N1641" i="4"/>
  <c r="O1641" i="4"/>
  <c r="N1629" i="4"/>
  <c r="O1629" i="4"/>
  <c r="N1617" i="4"/>
  <c r="O1617" i="4"/>
  <c r="N1605" i="4"/>
  <c r="O1605" i="4"/>
  <c r="N1593" i="4"/>
  <c r="O1593" i="4"/>
  <c r="N1581" i="4"/>
  <c r="O1581" i="4"/>
  <c r="N1569" i="4"/>
  <c r="O1569" i="4"/>
  <c r="N1557" i="4"/>
  <c r="O1557" i="4"/>
  <c r="N1545" i="4"/>
  <c r="O1545" i="4"/>
  <c r="N1533" i="4"/>
  <c r="O1533" i="4"/>
  <c r="N1521" i="4"/>
  <c r="O1521" i="4"/>
  <c r="N1509" i="4"/>
  <c r="O1509" i="4"/>
  <c r="N1497" i="4"/>
  <c r="O1497" i="4"/>
  <c r="N1485" i="4"/>
  <c r="O1485" i="4"/>
  <c r="N1473" i="4"/>
  <c r="O1473" i="4"/>
  <c r="N1461" i="4"/>
  <c r="O1461" i="4"/>
  <c r="N1449" i="4"/>
  <c r="O1449" i="4"/>
  <c r="N1437" i="4"/>
  <c r="O1437" i="4"/>
  <c r="N1425" i="4"/>
  <c r="O1425" i="4"/>
  <c r="N1413" i="4"/>
  <c r="O1413" i="4"/>
  <c r="N1401" i="4"/>
  <c r="O1401" i="4"/>
  <c r="N1389" i="4"/>
  <c r="O1389" i="4"/>
  <c r="N1377" i="4"/>
  <c r="O1377" i="4"/>
  <c r="N1365" i="4"/>
  <c r="O1365" i="4"/>
  <c r="N1353" i="4"/>
  <c r="O1353" i="4"/>
  <c r="N1341" i="4"/>
  <c r="O1341" i="4"/>
  <c r="N1329" i="4"/>
  <c r="O1329" i="4"/>
  <c r="N1317" i="4"/>
  <c r="O1317" i="4"/>
  <c r="N1305" i="4"/>
  <c r="O1305" i="4"/>
  <c r="N1293" i="4"/>
  <c r="O1293" i="4"/>
  <c r="N1281" i="4"/>
  <c r="O1281" i="4"/>
  <c r="N1269" i="4"/>
  <c r="O1269" i="4"/>
  <c r="N1257" i="4"/>
  <c r="O1257" i="4"/>
  <c r="N1245" i="4"/>
  <c r="O1245" i="4"/>
  <c r="N1233" i="4"/>
  <c r="O1233" i="4"/>
  <c r="N1221" i="4"/>
  <c r="O1221" i="4"/>
  <c r="N1209" i="4"/>
  <c r="O1209" i="4"/>
  <c r="N1197" i="4"/>
  <c r="O1197" i="4"/>
  <c r="N1185" i="4"/>
  <c r="O1185" i="4"/>
  <c r="N1173" i="4"/>
  <c r="O1173" i="4"/>
  <c r="N1161" i="4"/>
  <c r="O1161" i="4"/>
  <c r="N1149" i="4"/>
  <c r="O1149" i="4"/>
  <c r="N1137" i="4"/>
  <c r="O1137" i="4"/>
  <c r="N1125" i="4"/>
  <c r="O1125" i="4"/>
  <c r="N1113" i="4"/>
  <c r="O1113" i="4"/>
  <c r="N1101" i="4"/>
  <c r="O1101" i="4"/>
  <c r="N1089" i="4"/>
  <c r="O1089" i="4"/>
  <c r="N1077" i="4"/>
  <c r="N1065" i="4"/>
  <c r="N1030" i="4"/>
  <c r="O1030" i="4"/>
  <c r="N1018" i="4"/>
  <c r="O1018" i="4"/>
  <c r="N1006" i="4"/>
  <c r="O1006" i="4"/>
  <c r="N994" i="4"/>
  <c r="O994" i="4"/>
  <c r="O1936" i="4"/>
  <c r="O1864" i="4"/>
  <c r="O1792" i="4"/>
  <c r="N1906" i="4"/>
  <c r="O1906" i="4"/>
  <c r="N1940" i="4"/>
  <c r="O1940" i="4"/>
  <c r="N1820" i="4"/>
  <c r="O1820" i="4"/>
  <c r="N1736" i="4"/>
  <c r="O1736" i="4"/>
  <c r="N1640" i="4"/>
  <c r="O1640" i="4"/>
  <c r="N1580" i="4"/>
  <c r="O1580" i="4"/>
  <c r="N1484" i="4"/>
  <c r="O1484" i="4"/>
  <c r="N1388" i="4"/>
  <c r="O1388" i="4"/>
  <c r="N1304" i="4"/>
  <c r="O1304" i="4"/>
  <c r="N1232" i="4"/>
  <c r="O1232" i="4"/>
  <c r="N1124" i="4"/>
  <c r="O1124" i="4"/>
  <c r="N1939" i="4"/>
  <c r="O1939" i="4"/>
  <c r="N1927" i="4"/>
  <c r="O1927" i="4"/>
  <c r="N1915" i="4"/>
  <c r="O1915" i="4"/>
  <c r="N1903" i="4"/>
  <c r="O1903" i="4"/>
  <c r="N1891" i="4"/>
  <c r="O1891" i="4"/>
  <c r="N1879" i="4"/>
  <c r="O1879" i="4"/>
  <c r="N1867" i="4"/>
  <c r="O1867" i="4"/>
  <c r="N1855" i="4"/>
  <c r="O1855" i="4"/>
  <c r="N1843" i="4"/>
  <c r="O1843" i="4"/>
  <c r="N1831" i="4"/>
  <c r="O1831" i="4"/>
  <c r="N1819" i="4"/>
  <c r="O1819" i="4"/>
  <c r="N1807" i="4"/>
  <c r="O1807" i="4"/>
  <c r="N1795" i="4"/>
  <c r="O1795" i="4"/>
  <c r="N1783" i="4"/>
  <c r="O1783" i="4"/>
  <c r="N1771" i="4"/>
  <c r="O1771" i="4"/>
  <c r="N1759" i="4"/>
  <c r="O1759" i="4"/>
  <c r="N1747" i="4"/>
  <c r="O1747" i="4"/>
  <c r="N1735" i="4"/>
  <c r="O1735" i="4"/>
  <c r="N1723" i="4"/>
  <c r="O1723" i="4"/>
  <c r="N1711" i="4"/>
  <c r="O1711" i="4"/>
  <c r="N1699" i="4"/>
  <c r="O1699" i="4"/>
  <c r="N1687" i="4"/>
  <c r="O1687" i="4"/>
  <c r="N1675" i="4"/>
  <c r="O1675" i="4"/>
  <c r="N1663" i="4"/>
  <c r="O1663" i="4"/>
  <c r="N1651" i="4"/>
  <c r="O1651" i="4"/>
  <c r="N1639" i="4"/>
  <c r="O1639" i="4"/>
  <c r="N1627" i="4"/>
  <c r="O1627" i="4"/>
  <c r="N1615" i="4"/>
  <c r="O1615" i="4"/>
  <c r="N1603" i="4"/>
  <c r="O1603" i="4"/>
  <c r="N1591" i="4"/>
  <c r="O1591" i="4"/>
  <c r="N1579" i="4"/>
  <c r="O1579" i="4"/>
  <c r="N1567" i="4"/>
  <c r="O1567" i="4"/>
  <c r="N1555" i="4"/>
  <c r="O1555" i="4"/>
  <c r="N1543" i="4"/>
  <c r="O1543" i="4"/>
  <c r="N1531" i="4"/>
  <c r="O1531" i="4"/>
  <c r="N1519" i="4"/>
  <c r="O1519" i="4"/>
  <c r="N1507" i="4"/>
  <c r="O1507" i="4"/>
  <c r="N1495" i="4"/>
  <c r="O1495" i="4"/>
  <c r="N1483" i="4"/>
  <c r="O1483" i="4"/>
  <c r="N1471" i="4"/>
  <c r="O1471" i="4"/>
  <c r="N1459" i="4"/>
  <c r="O1459" i="4"/>
  <c r="N1447" i="4"/>
  <c r="O1447" i="4"/>
  <c r="N1435" i="4"/>
  <c r="O1435" i="4"/>
  <c r="N1423" i="4"/>
  <c r="O1423" i="4"/>
  <c r="N1411" i="4"/>
  <c r="O1411" i="4"/>
  <c r="N1399" i="4"/>
  <c r="O1399" i="4"/>
  <c r="N1387" i="4"/>
  <c r="O1387" i="4"/>
  <c r="N1375" i="4"/>
  <c r="O1375" i="4"/>
  <c r="N1363" i="4"/>
  <c r="O1363" i="4"/>
  <c r="N1351" i="4"/>
  <c r="O1351" i="4"/>
  <c r="N1339" i="4"/>
  <c r="O1339" i="4"/>
  <c r="N1327" i="4"/>
  <c r="O1327" i="4"/>
  <c r="N1315" i="4"/>
  <c r="O1315" i="4"/>
  <c r="N1303" i="4"/>
  <c r="O1303" i="4"/>
  <c r="N1291" i="4"/>
  <c r="O1291" i="4"/>
  <c r="N1279" i="4"/>
  <c r="O1279" i="4"/>
  <c r="N1267" i="4"/>
  <c r="O1267" i="4"/>
  <c r="N1255" i="4"/>
  <c r="O1255" i="4"/>
  <c r="N1243" i="4"/>
  <c r="O1243" i="4"/>
  <c r="N1231" i="4"/>
  <c r="O1231" i="4"/>
  <c r="N1219" i="4"/>
  <c r="O1219" i="4"/>
  <c r="N1207" i="4"/>
  <c r="O1207" i="4"/>
  <c r="N1195" i="4"/>
  <c r="O1195" i="4"/>
  <c r="N1183" i="4"/>
  <c r="O1183" i="4"/>
  <c r="N1171" i="4"/>
  <c r="O1171" i="4"/>
  <c r="N1159" i="4"/>
  <c r="O1159" i="4"/>
  <c r="N1147" i="4"/>
  <c r="O1147" i="4"/>
  <c r="N1135" i="4"/>
  <c r="O1135" i="4"/>
  <c r="N1123" i="4"/>
  <c r="O1123" i="4"/>
  <c r="N1111" i="4"/>
  <c r="O1111" i="4"/>
  <c r="N1099" i="4"/>
  <c r="O1099" i="4"/>
  <c r="N1087" i="4"/>
  <c r="O1087" i="4"/>
  <c r="N1075" i="4"/>
  <c r="N1063" i="4"/>
  <c r="N1028" i="4"/>
  <c r="O1028" i="4"/>
  <c r="N1016" i="4"/>
  <c r="O1016" i="4"/>
  <c r="N992" i="4"/>
  <c r="O992" i="4"/>
  <c r="N956" i="4"/>
  <c r="O956" i="4"/>
  <c r="N932" i="4"/>
  <c r="O932" i="4"/>
  <c r="N908" i="4"/>
  <c r="O908" i="4"/>
  <c r="N885" i="4"/>
  <c r="O885" i="4"/>
  <c r="N861" i="4"/>
  <c r="O861" i="4"/>
  <c r="N801" i="4"/>
  <c r="N777" i="4"/>
  <c r="O777" i="4"/>
  <c r="N718" i="4"/>
  <c r="O718" i="4"/>
  <c r="N636" i="4"/>
  <c r="O636" i="4"/>
  <c r="O1924" i="4"/>
  <c r="O1852" i="4"/>
  <c r="O1780" i="4"/>
  <c r="N1870" i="4"/>
  <c r="O1870" i="4"/>
  <c r="N1762" i="4"/>
  <c r="O1762" i="4"/>
  <c r="N1856" i="4"/>
  <c r="O1856" i="4"/>
  <c r="N1700" i="4"/>
  <c r="O1700" i="4"/>
  <c r="N1520" i="4"/>
  <c r="O1520" i="4"/>
  <c r="N1400" i="4"/>
  <c r="O1400" i="4"/>
  <c r="N1268" i="4"/>
  <c r="O1268" i="4"/>
  <c r="N1184" i="4"/>
  <c r="O1184" i="4"/>
  <c r="N1076" i="4"/>
  <c r="N1938" i="4"/>
  <c r="O1938" i="4"/>
  <c r="N1926" i="4"/>
  <c r="O1926" i="4"/>
  <c r="N1914" i="4"/>
  <c r="O1914" i="4"/>
  <c r="N1902" i="4"/>
  <c r="O1902" i="4"/>
  <c r="N1890" i="4"/>
  <c r="O1890" i="4"/>
  <c r="N1878" i="4"/>
  <c r="O1878" i="4"/>
  <c r="N1866" i="4"/>
  <c r="O1866" i="4"/>
  <c r="N1854" i="4"/>
  <c r="O1854" i="4"/>
  <c r="N1842" i="4"/>
  <c r="O1842" i="4"/>
  <c r="N1830" i="4"/>
  <c r="O1830" i="4"/>
  <c r="N1818" i="4"/>
  <c r="O1818" i="4"/>
  <c r="N1806" i="4"/>
  <c r="O1806" i="4"/>
  <c r="N1794" i="4"/>
  <c r="O1794" i="4"/>
  <c r="N1782" i="4"/>
  <c r="O1782" i="4"/>
  <c r="N1770" i="4"/>
  <c r="O1770" i="4"/>
  <c r="N1758" i="4"/>
  <c r="O1758" i="4"/>
  <c r="N1746" i="4"/>
  <c r="O1746" i="4"/>
  <c r="N955" i="4"/>
  <c r="O955" i="4"/>
  <c r="N931" i="4"/>
  <c r="O931" i="4"/>
  <c r="N907" i="4"/>
  <c r="O907" i="4"/>
  <c r="N884" i="4"/>
  <c r="O884" i="4"/>
  <c r="N860" i="4"/>
  <c r="O860" i="4"/>
  <c r="N836" i="4"/>
  <c r="O836" i="4"/>
  <c r="N776" i="4"/>
  <c r="O776" i="4"/>
  <c r="N717" i="4"/>
  <c r="O717" i="4"/>
  <c r="N635" i="4"/>
  <c r="O635" i="4"/>
  <c r="O1923" i="4"/>
  <c r="O1851" i="4"/>
  <c r="O1779" i="4"/>
  <c r="N1882" i="4"/>
  <c r="O1882" i="4"/>
  <c r="N1786" i="4"/>
  <c r="O1786" i="4"/>
  <c r="N1868" i="4"/>
  <c r="O1868" i="4"/>
  <c r="N1772" i="4"/>
  <c r="O1772" i="4"/>
  <c r="N1664" i="4"/>
  <c r="O1664" i="4"/>
  <c r="N1568" i="4"/>
  <c r="O1568" i="4"/>
  <c r="N1460" i="4"/>
  <c r="O1460" i="4"/>
  <c r="N1352" i="4"/>
  <c r="O1352" i="4"/>
  <c r="N1160" i="4"/>
  <c r="O1160" i="4"/>
  <c r="N1913" i="4"/>
  <c r="O1913" i="4"/>
  <c r="N1901" i="4"/>
  <c r="O1901" i="4"/>
  <c r="N1889" i="4"/>
  <c r="O1889" i="4"/>
  <c r="N1877" i="4"/>
  <c r="O1877" i="4"/>
  <c r="N1865" i="4"/>
  <c r="O1865" i="4"/>
  <c r="N1853" i="4"/>
  <c r="O1853" i="4"/>
  <c r="N1841" i="4"/>
  <c r="O1841" i="4"/>
  <c r="N1829" i="4"/>
  <c r="O1829" i="4"/>
  <c r="N1817" i="4"/>
  <c r="O1817" i="4"/>
  <c r="N1805" i="4"/>
  <c r="O1805" i="4"/>
  <c r="N1793" i="4"/>
  <c r="O1793" i="4"/>
  <c r="N1781" i="4"/>
  <c r="O1781" i="4"/>
  <c r="N1769" i="4"/>
  <c r="O1769" i="4"/>
  <c r="N1757" i="4"/>
  <c r="O1757" i="4"/>
  <c r="N1745" i="4"/>
  <c r="O1745" i="4"/>
  <c r="O1912" i="4"/>
  <c r="O1840" i="4"/>
  <c r="O1768" i="4"/>
  <c r="N1918" i="4"/>
  <c r="O1918" i="4"/>
  <c r="N1834" i="4"/>
  <c r="O1834" i="4"/>
  <c r="N1750" i="4"/>
  <c r="O1750" i="4"/>
  <c r="N721" i="4"/>
  <c r="O721" i="4"/>
  <c r="N1904" i="4"/>
  <c r="O1904" i="4"/>
  <c r="N1808" i="4"/>
  <c r="O1808" i="4"/>
  <c r="N1724" i="4"/>
  <c r="O1724" i="4"/>
  <c r="N1628" i="4"/>
  <c r="O1628" i="4"/>
  <c r="N1532" i="4"/>
  <c r="O1532" i="4"/>
  <c r="N1448" i="4"/>
  <c r="O1448" i="4"/>
  <c r="N1364" i="4"/>
  <c r="O1364" i="4"/>
  <c r="N1280" i="4"/>
  <c r="O1280" i="4"/>
  <c r="N1208" i="4"/>
  <c r="O1208" i="4"/>
  <c r="N1112" i="4"/>
  <c r="O1112" i="4"/>
  <c r="N1029" i="4"/>
  <c r="O1029" i="4"/>
  <c r="N977" i="4"/>
  <c r="O977" i="4"/>
  <c r="N953" i="4"/>
  <c r="O953" i="4"/>
  <c r="N929" i="4"/>
  <c r="O929" i="4"/>
  <c r="N905" i="4"/>
  <c r="O905" i="4"/>
  <c r="N882" i="4"/>
  <c r="O882" i="4"/>
  <c r="N858" i="4"/>
  <c r="O858" i="4"/>
  <c r="N834" i="4"/>
  <c r="O834" i="4"/>
  <c r="N693" i="4"/>
  <c r="O693" i="4"/>
  <c r="N609" i="4"/>
  <c r="O1911" i="4"/>
  <c r="O1839" i="4"/>
  <c r="O1767" i="4"/>
  <c r="N1942" i="4"/>
  <c r="O1942" i="4"/>
  <c r="N1846" i="4"/>
  <c r="O1846" i="4"/>
  <c r="N1798" i="4"/>
  <c r="O1798" i="4"/>
  <c r="N1916" i="4"/>
  <c r="O1916" i="4"/>
  <c r="N1844" i="4"/>
  <c r="O1844" i="4"/>
  <c r="N1748" i="4"/>
  <c r="O1748" i="4"/>
  <c r="N1652" i="4"/>
  <c r="O1652" i="4"/>
  <c r="N1592" i="4"/>
  <c r="O1592" i="4"/>
  <c r="N1508" i="4"/>
  <c r="O1508" i="4"/>
  <c r="N1424" i="4"/>
  <c r="O1424" i="4"/>
  <c r="N1340" i="4"/>
  <c r="O1340" i="4"/>
  <c r="N1256" i="4"/>
  <c r="O1256" i="4"/>
  <c r="N1172" i="4"/>
  <c r="O1172" i="4"/>
  <c r="N1088" i="4"/>
  <c r="O1088" i="4"/>
  <c r="N1005" i="4"/>
  <c r="O1005" i="4"/>
  <c r="N1925" i="4"/>
  <c r="O1925" i="4"/>
  <c r="O1900" i="4"/>
  <c r="O1828" i="4"/>
  <c r="O1756" i="4"/>
  <c r="N1894" i="4"/>
  <c r="O1894" i="4"/>
  <c r="N1774" i="4"/>
  <c r="O1774" i="4"/>
  <c r="N1892" i="4"/>
  <c r="O1892" i="4"/>
  <c r="N1784" i="4"/>
  <c r="O1784" i="4"/>
  <c r="N1688" i="4"/>
  <c r="O1688" i="4"/>
  <c r="N1556" i="4"/>
  <c r="O1556" i="4"/>
  <c r="N1436" i="4"/>
  <c r="O1436" i="4"/>
  <c r="N1328" i="4"/>
  <c r="O1328" i="4"/>
  <c r="N1196" i="4"/>
  <c r="O1196" i="4"/>
  <c r="N1064" i="4"/>
  <c r="N1946" i="4"/>
  <c r="O1946" i="4"/>
  <c r="N1934" i="4"/>
  <c r="O1934" i="4"/>
  <c r="N1922" i="4"/>
  <c r="O1922" i="4"/>
  <c r="N1910" i="4"/>
  <c r="O1910" i="4"/>
  <c r="N1898" i="4"/>
  <c r="O1898" i="4"/>
  <c r="N1886" i="4"/>
  <c r="O1886" i="4"/>
  <c r="N1874" i="4"/>
  <c r="O1874" i="4"/>
  <c r="N1862" i="4"/>
  <c r="O1862" i="4"/>
  <c r="N1850" i="4"/>
  <c r="O1850" i="4"/>
  <c r="N1838" i="4"/>
  <c r="O1838" i="4"/>
  <c r="N1826" i="4"/>
  <c r="O1826" i="4"/>
  <c r="N1814" i="4"/>
  <c r="O1814" i="4"/>
  <c r="N1802" i="4"/>
  <c r="O1802" i="4"/>
  <c r="N1790" i="4"/>
  <c r="O1790" i="4"/>
  <c r="N1778" i="4"/>
  <c r="O1778" i="4"/>
  <c r="N1766" i="4"/>
  <c r="O1766" i="4"/>
  <c r="N1754" i="4"/>
  <c r="O1754" i="4"/>
  <c r="N1742" i="4"/>
  <c r="O1742" i="4"/>
  <c r="O1899" i="4"/>
  <c r="O1827" i="4"/>
  <c r="O1755" i="4"/>
  <c r="N1858" i="4"/>
  <c r="O1858" i="4"/>
  <c r="N1810" i="4"/>
  <c r="O1810" i="4"/>
  <c r="N1928" i="4"/>
  <c r="O1928" i="4"/>
  <c r="N1832" i="4"/>
  <c r="O1832" i="4"/>
  <c r="N1760" i="4"/>
  <c r="O1760" i="4"/>
  <c r="N1676" i="4"/>
  <c r="O1676" i="4"/>
  <c r="N1604" i="4"/>
  <c r="O1604" i="4"/>
  <c r="N1496" i="4"/>
  <c r="O1496" i="4"/>
  <c r="N1412" i="4"/>
  <c r="O1412" i="4"/>
  <c r="N1316" i="4"/>
  <c r="O1316" i="4"/>
  <c r="N1244" i="4"/>
  <c r="O1244" i="4"/>
  <c r="N1148" i="4"/>
  <c r="O1148" i="4"/>
  <c r="N1100" i="4"/>
  <c r="O1100" i="4"/>
  <c r="N1017" i="4"/>
  <c r="O1017" i="4"/>
  <c r="N1937" i="4"/>
  <c r="O1937" i="4"/>
  <c r="N1945" i="4"/>
  <c r="O1945" i="4"/>
  <c r="N1933" i="4"/>
  <c r="O1933" i="4"/>
  <c r="N1921" i="4"/>
  <c r="O1921" i="4"/>
  <c r="N1909" i="4"/>
  <c r="O1909" i="4"/>
  <c r="N1897" i="4"/>
  <c r="O1897" i="4"/>
  <c r="N1885" i="4"/>
  <c r="O1885" i="4"/>
  <c r="N1873" i="4"/>
  <c r="O1873" i="4"/>
  <c r="N1861" i="4"/>
  <c r="O1861" i="4"/>
  <c r="N1849" i="4"/>
  <c r="O1849" i="4"/>
  <c r="N1837" i="4"/>
  <c r="O1837" i="4"/>
  <c r="N1825" i="4"/>
  <c r="O1825" i="4"/>
  <c r="N1813" i="4"/>
  <c r="O1813" i="4"/>
  <c r="N1801" i="4"/>
  <c r="O1801" i="4"/>
  <c r="N1789" i="4"/>
  <c r="O1789" i="4"/>
  <c r="N1777" i="4"/>
  <c r="O1777" i="4"/>
  <c r="N1765" i="4"/>
  <c r="O1765" i="4"/>
  <c r="N1753" i="4"/>
  <c r="O1753" i="4"/>
  <c r="N1741" i="4"/>
  <c r="O1741" i="4"/>
  <c r="N666" i="4"/>
  <c r="O666" i="4"/>
  <c r="N606" i="4"/>
  <c r="O1888" i="4"/>
  <c r="O1816" i="4"/>
  <c r="O1744" i="4"/>
  <c r="N1880" i="4"/>
  <c r="O1880" i="4"/>
  <c r="N1796" i="4"/>
  <c r="O1796" i="4"/>
  <c r="N1712" i="4"/>
  <c r="O1712" i="4"/>
  <c r="N1616" i="4"/>
  <c r="O1616" i="4"/>
  <c r="N1544" i="4"/>
  <c r="O1544" i="4"/>
  <c r="N1472" i="4"/>
  <c r="O1472" i="4"/>
  <c r="N1376" i="4"/>
  <c r="O1376" i="4"/>
  <c r="N1292" i="4"/>
  <c r="O1292" i="4"/>
  <c r="N1220" i="4"/>
  <c r="O1220" i="4"/>
  <c r="N1136" i="4"/>
  <c r="O1136" i="4"/>
  <c r="N1949" i="4"/>
  <c r="O1949" i="4"/>
  <c r="N1944" i="4"/>
  <c r="O1944" i="4"/>
  <c r="N1932" i="4"/>
  <c r="O1932" i="4"/>
  <c r="N1920" i="4"/>
  <c r="O1920" i="4"/>
  <c r="N1908" i="4"/>
  <c r="O1908" i="4"/>
  <c r="N1896" i="4"/>
  <c r="O1896" i="4"/>
  <c r="N1884" i="4"/>
  <c r="O1884" i="4"/>
  <c r="N1872" i="4"/>
  <c r="O1872" i="4"/>
  <c r="N1860" i="4"/>
  <c r="O1860" i="4"/>
  <c r="N1848" i="4"/>
  <c r="O1848" i="4"/>
  <c r="N1836" i="4"/>
  <c r="O1836" i="4"/>
  <c r="N1824" i="4"/>
  <c r="O1824" i="4"/>
  <c r="N1812" i="4"/>
  <c r="O1812" i="4"/>
  <c r="N1800" i="4"/>
  <c r="O1800" i="4"/>
  <c r="N1788" i="4"/>
  <c r="O1788" i="4"/>
  <c r="N1776" i="4"/>
  <c r="O1776" i="4"/>
  <c r="N1764" i="4"/>
  <c r="O1764" i="4"/>
  <c r="N1752" i="4"/>
  <c r="O1752" i="4"/>
  <c r="N1740" i="4"/>
  <c r="O1740" i="4"/>
  <c r="N973" i="4"/>
  <c r="O973" i="4"/>
  <c r="O1887" i="4"/>
  <c r="O1815" i="4"/>
  <c r="O1743" i="4"/>
  <c r="N492" i="4"/>
  <c r="O492" i="4"/>
  <c r="N551" i="4"/>
  <c r="O551" i="4"/>
  <c r="N491" i="4"/>
  <c r="O491" i="4"/>
  <c r="N522" i="4"/>
  <c r="O522" i="4"/>
  <c r="O549" i="4"/>
  <c r="O406" i="4"/>
  <c r="O263" i="4"/>
  <c r="N922" i="4"/>
  <c r="N839" i="4"/>
  <c r="N767" i="4"/>
  <c r="N708" i="4"/>
  <c r="N162" i="4"/>
  <c r="N55" i="4"/>
  <c r="O55" i="4"/>
  <c r="N933" i="4"/>
  <c r="N802" i="4"/>
  <c r="N637" i="4"/>
  <c r="N517" i="4"/>
  <c r="N457" i="4"/>
  <c r="N232" i="4"/>
  <c r="N220" i="4"/>
  <c r="N208" i="4"/>
  <c r="N197" i="4"/>
  <c r="N185" i="4"/>
  <c r="N173" i="4"/>
  <c r="N161" i="4"/>
  <c r="O161" i="4"/>
  <c r="N150" i="4"/>
  <c r="O150" i="4"/>
  <c r="N138" i="4"/>
  <c r="N126" i="4"/>
  <c r="O126" i="4"/>
  <c r="N114" i="4"/>
  <c r="O114" i="4"/>
  <c r="N102" i="4"/>
  <c r="O102" i="4"/>
  <c r="N90" i="4"/>
  <c r="O90" i="4"/>
  <c r="N78" i="4"/>
  <c r="O78" i="4"/>
  <c r="N66" i="4"/>
  <c r="O66" i="4"/>
  <c r="N54" i="4"/>
  <c r="O54" i="4"/>
  <c r="N980" i="4"/>
  <c r="N968" i="4"/>
  <c r="N920" i="4"/>
  <c r="N897" i="4"/>
  <c r="N849" i="4"/>
  <c r="N837" i="4"/>
  <c r="N825" i="4"/>
  <c r="N813" i="4"/>
  <c r="N765" i="4"/>
  <c r="N695" i="4"/>
  <c r="N672" i="4"/>
  <c r="N624" i="4"/>
  <c r="N600" i="4"/>
  <c r="N552" i="4"/>
  <c r="N528" i="4"/>
  <c r="N456" i="4"/>
  <c r="N433" i="4"/>
  <c r="N421" i="4"/>
  <c r="N409" i="4"/>
  <c r="N397" i="4"/>
  <c r="N385" i="4"/>
  <c r="N373" i="4"/>
  <c r="N361" i="4"/>
  <c r="N349" i="4"/>
  <c r="N301" i="4"/>
  <c r="N289" i="4"/>
  <c r="N196" i="4"/>
  <c r="N172" i="4"/>
  <c r="N160" i="4"/>
  <c r="O160" i="4"/>
  <c r="N149" i="4"/>
  <c r="O149" i="4"/>
  <c r="N137" i="4"/>
  <c r="O137" i="4"/>
  <c r="N125" i="4"/>
  <c r="O125" i="4"/>
  <c r="N113" i="4"/>
  <c r="O113" i="4"/>
  <c r="N101" i="4"/>
  <c r="O101" i="4"/>
  <c r="N89" i="4"/>
  <c r="O89" i="4"/>
  <c r="N77" i="4"/>
  <c r="O77" i="4"/>
  <c r="N65" i="4"/>
  <c r="O65" i="4"/>
  <c r="N899" i="4"/>
  <c r="N827" i="4"/>
  <c r="N280" i="4"/>
  <c r="N174" i="4"/>
  <c r="N91" i="4"/>
  <c r="O91" i="4"/>
  <c r="N541" i="4"/>
  <c r="N469" i="4"/>
  <c r="N1650" i="4"/>
  <c r="N1578" i="4"/>
  <c r="N1506" i="4"/>
  <c r="N1410" i="4"/>
  <c r="N1338" i="4"/>
  <c r="N1242" i="4"/>
  <c r="N1158" i="4"/>
  <c r="N1074" i="4"/>
  <c r="N979" i="4"/>
  <c r="N896" i="4"/>
  <c r="N705" i="4"/>
  <c r="N599" i="4"/>
  <c r="N420" i="4"/>
  <c r="N336" i="4"/>
  <c r="N253" i="4"/>
  <c r="N148" i="4"/>
  <c r="O148" i="4"/>
  <c r="N112" i="4"/>
  <c r="O112" i="4"/>
  <c r="N88" i="4"/>
  <c r="O88" i="4"/>
  <c r="N1733" i="4"/>
  <c r="N1721" i="4"/>
  <c r="N1709" i="4"/>
  <c r="N1697" i="4"/>
  <c r="N1685" i="4"/>
  <c r="N1673" i="4"/>
  <c r="N1661" i="4"/>
  <c r="N1649" i="4"/>
  <c r="N1637" i="4"/>
  <c r="N1625" i="4"/>
  <c r="N1613" i="4"/>
  <c r="N1601" i="4"/>
  <c r="N1589" i="4"/>
  <c r="N1577" i="4"/>
  <c r="N1565" i="4"/>
  <c r="N1553" i="4"/>
  <c r="N1541" i="4"/>
  <c r="N1529" i="4"/>
  <c r="N1517" i="4"/>
  <c r="N1505" i="4"/>
  <c r="N1493" i="4"/>
  <c r="N1481" i="4"/>
  <c r="N1469" i="4"/>
  <c r="N1457" i="4"/>
  <c r="N1445" i="4"/>
  <c r="N1433" i="4"/>
  <c r="N1421" i="4"/>
  <c r="N1409" i="4"/>
  <c r="N1397" i="4"/>
  <c r="N1385" i="4"/>
  <c r="N1373" i="4"/>
  <c r="N1361" i="4"/>
  <c r="N1349" i="4"/>
  <c r="N1337" i="4"/>
  <c r="N1325" i="4"/>
  <c r="N1313" i="4"/>
  <c r="N1301" i="4"/>
  <c r="N1289" i="4"/>
  <c r="N1277" i="4"/>
  <c r="N1265" i="4"/>
  <c r="N1253" i="4"/>
  <c r="N1241" i="4"/>
  <c r="N1229" i="4"/>
  <c r="N1217" i="4"/>
  <c r="N1205" i="4"/>
  <c r="N1193" i="4"/>
  <c r="N1181" i="4"/>
  <c r="N1169" i="4"/>
  <c r="N1157" i="4"/>
  <c r="N1145" i="4"/>
  <c r="N1133" i="4"/>
  <c r="N1121" i="4"/>
  <c r="N1109" i="4"/>
  <c r="N1097" i="4"/>
  <c r="N1085" i="4"/>
  <c r="N1073" i="4"/>
  <c r="N1061" i="4"/>
  <c r="N1026" i="4"/>
  <c r="N1014" i="4"/>
  <c r="N1002" i="4"/>
  <c r="N990" i="4"/>
  <c r="N978" i="4"/>
  <c r="N966" i="4"/>
  <c r="N954" i="4"/>
  <c r="N942" i="4"/>
  <c r="N930" i="4"/>
  <c r="N918" i="4"/>
  <c r="N906" i="4"/>
  <c r="N895" i="4"/>
  <c r="N883" i="4"/>
  <c r="N871" i="4"/>
  <c r="N859" i="4"/>
  <c r="N835" i="4"/>
  <c r="N823" i="4"/>
  <c r="N811" i="4"/>
  <c r="N799" i="4"/>
  <c r="N775" i="4"/>
  <c r="N704" i="4"/>
  <c r="N694" i="4"/>
  <c r="N682" i="4"/>
  <c r="N670" i="4"/>
  <c r="N658" i="4"/>
  <c r="N646" i="4"/>
  <c r="N634" i="4"/>
  <c r="N622" i="4"/>
  <c r="N610" i="4"/>
  <c r="N598" i="4"/>
  <c r="N586" i="4"/>
  <c r="N574" i="4"/>
  <c r="N562" i="4"/>
  <c r="N550" i="4"/>
  <c r="N538" i="4"/>
  <c r="N526" i="4"/>
  <c r="N514" i="4"/>
  <c r="N502" i="4"/>
  <c r="N490" i="4"/>
  <c r="N478" i="4"/>
  <c r="N466" i="4"/>
  <c r="N454" i="4"/>
  <c r="N431" i="4"/>
  <c r="N419" i="4"/>
  <c r="N407" i="4"/>
  <c r="N395" i="4"/>
  <c r="N371" i="4"/>
  <c r="N359" i="4"/>
  <c r="N347" i="4"/>
  <c r="N335" i="4"/>
  <c r="N323" i="4"/>
  <c r="N311" i="4"/>
  <c r="N299" i="4"/>
  <c r="N287" i="4"/>
  <c r="N276" i="4"/>
  <c r="N264" i="4"/>
  <c r="N229" i="4"/>
  <c r="N217" i="4"/>
  <c r="N205" i="4"/>
  <c r="N910" i="4"/>
  <c r="N815" i="4"/>
  <c r="N198" i="4"/>
  <c r="N79" i="4"/>
  <c r="O79" i="4"/>
  <c r="N921" i="4"/>
  <c r="N685" i="4"/>
  <c r="N553" i="4"/>
  <c r="N1734" i="4"/>
  <c r="N1638" i="4"/>
  <c r="N1566" i="4"/>
  <c r="N1482" i="4"/>
  <c r="N1386" i="4"/>
  <c r="N1254" i="4"/>
  <c r="N1122" i="4"/>
  <c r="N991" i="4"/>
  <c r="N824" i="4"/>
  <c r="N467" i="4"/>
  <c r="N136" i="4"/>
  <c r="O136" i="4"/>
  <c r="N100" i="4"/>
  <c r="O100" i="4"/>
  <c r="N76" i="4"/>
  <c r="O76" i="4"/>
  <c r="N64" i="4"/>
  <c r="O64" i="4"/>
  <c r="N1732" i="4"/>
  <c r="N1720" i="4"/>
  <c r="N1708" i="4"/>
  <c r="N1696" i="4"/>
  <c r="N1684" i="4"/>
  <c r="N1672" i="4"/>
  <c r="N1660" i="4"/>
  <c r="N1648" i="4"/>
  <c r="N1636" i="4"/>
  <c r="N1624" i="4"/>
  <c r="N1612" i="4"/>
  <c r="N1600" i="4"/>
  <c r="N1588" i="4"/>
  <c r="N1576" i="4"/>
  <c r="N1564" i="4"/>
  <c r="N1552" i="4"/>
  <c r="N1540" i="4"/>
  <c r="N1528" i="4"/>
  <c r="N1516" i="4"/>
  <c r="N1504" i="4"/>
  <c r="N1492" i="4"/>
  <c r="N1480" i="4"/>
  <c r="N1468" i="4"/>
  <c r="N1456" i="4"/>
  <c r="N1444" i="4"/>
  <c r="N1432" i="4"/>
  <c r="N1420" i="4"/>
  <c r="N1408" i="4"/>
  <c r="N1396" i="4"/>
  <c r="N1384" i="4"/>
  <c r="N1372" i="4"/>
  <c r="N1360" i="4"/>
  <c r="N1348" i="4"/>
  <c r="N1336" i="4"/>
  <c r="N1324" i="4"/>
  <c r="N1312" i="4"/>
  <c r="N1300" i="4"/>
  <c r="N1288" i="4"/>
  <c r="N1276" i="4"/>
  <c r="N1264" i="4"/>
  <c r="N1252" i="4"/>
  <c r="N1240" i="4"/>
  <c r="N1228" i="4"/>
  <c r="N1216" i="4"/>
  <c r="N1204" i="4"/>
  <c r="N1192" i="4"/>
  <c r="N1180" i="4"/>
  <c r="N1168" i="4"/>
  <c r="N1156" i="4"/>
  <c r="N1144" i="4"/>
  <c r="N1132" i="4"/>
  <c r="N1120" i="4"/>
  <c r="N1108" i="4"/>
  <c r="N1096" i="4"/>
  <c r="N1072" i="4"/>
  <c r="N1060" i="4"/>
  <c r="N1025" i="4"/>
  <c r="N1013" i="4"/>
  <c r="N1001" i="4"/>
  <c r="N989" i="4"/>
  <c r="N965" i="4"/>
  <c r="N941" i="4"/>
  <c r="N917" i="4"/>
  <c r="N894" i="4"/>
  <c r="N870" i="4"/>
  <c r="N846" i="4"/>
  <c r="N822" i="4"/>
  <c r="N810" i="4"/>
  <c r="N703" i="4"/>
  <c r="N681" i="4"/>
  <c r="N669" i="4"/>
  <c r="N657" i="4"/>
  <c r="N633" i="4"/>
  <c r="N621" i="4"/>
  <c r="N597" i="4"/>
  <c r="N585" i="4"/>
  <c r="N561" i="4"/>
  <c r="N537" i="4"/>
  <c r="N525" i="4"/>
  <c r="N513" i="4"/>
  <c r="N501" i="4"/>
  <c r="N489" i="4"/>
  <c r="N477" i="4"/>
  <c r="N465" i="4"/>
  <c r="N453" i="4"/>
  <c r="N430" i="4"/>
  <c r="N418" i="4"/>
  <c r="N382" i="4"/>
  <c r="N370" i="4"/>
  <c r="N358" i="4"/>
  <c r="N346" i="4"/>
  <c r="N334" i="4"/>
  <c r="N322" i="4"/>
  <c r="N310" i="4"/>
  <c r="N298" i="4"/>
  <c r="N286" i="4"/>
  <c r="N275" i="4"/>
  <c r="N239" i="4"/>
  <c r="N193" i="4"/>
  <c r="N181" i="4"/>
  <c r="N169" i="4"/>
  <c r="O169" i="4"/>
  <c r="N946" i="4"/>
  <c r="N851" i="4"/>
  <c r="N779" i="4"/>
  <c r="N103" i="4"/>
  <c r="O103" i="4"/>
  <c r="N838" i="4"/>
  <c r="N719" i="4"/>
  <c r="N613" i="4"/>
  <c r="N529" i="4"/>
  <c r="N1698" i="4"/>
  <c r="N1602" i="4"/>
  <c r="N1518" i="4"/>
  <c r="N1446" i="4"/>
  <c r="N1362" i="4"/>
  <c r="N1278" i="4"/>
  <c r="N1170" i="4"/>
  <c r="N1086" i="4"/>
  <c r="N1003" i="4"/>
  <c r="N919" i="4"/>
  <c r="N764" i="4"/>
  <c r="N671" i="4"/>
  <c r="N515" i="4"/>
  <c r="N277" i="4"/>
  <c r="N1539" i="4"/>
  <c r="N440" i="4"/>
  <c r="N429" i="4"/>
  <c r="N381" i="4"/>
  <c r="N369" i="4"/>
  <c r="N357" i="4"/>
  <c r="N321" i="4"/>
  <c r="N309" i="4"/>
  <c r="N297" i="4"/>
  <c r="N285" i="4"/>
  <c r="N274" i="4"/>
  <c r="N262" i="4"/>
  <c r="N250" i="4"/>
  <c r="N238" i="4"/>
  <c r="N227" i="4"/>
  <c r="N215" i="4"/>
  <c r="N204" i="4"/>
  <c r="N192" i="4"/>
  <c r="N145" i="4"/>
  <c r="O145" i="4"/>
  <c r="N121" i="4"/>
  <c r="O121" i="4"/>
  <c r="N97" i="4"/>
  <c r="O97" i="4"/>
  <c r="N73" i="4"/>
  <c r="O73" i="4"/>
  <c r="N49" i="4"/>
  <c r="O49" i="4"/>
  <c r="N970" i="4"/>
  <c r="N887" i="4"/>
  <c r="N244" i="4"/>
  <c r="N209" i="4"/>
  <c r="N127" i="4"/>
  <c r="O127" i="4"/>
  <c r="N969" i="4"/>
  <c r="N886" i="4"/>
  <c r="N814" i="4"/>
  <c r="N673" i="4"/>
  <c r="N1662" i="4"/>
  <c r="N1542" i="4"/>
  <c r="N1458" i="4"/>
  <c r="N1374" i="4"/>
  <c r="N1266" i="4"/>
  <c r="N1182" i="4"/>
  <c r="N1098" i="4"/>
  <c r="N1015" i="4"/>
  <c r="N872" i="4"/>
  <c r="N800" i="4"/>
  <c r="N623" i="4"/>
  <c r="N539" i="4"/>
  <c r="N455" i="4"/>
  <c r="N384" i="4"/>
  <c r="N1659" i="4"/>
  <c r="N1599" i="4"/>
  <c r="N1527" i="4"/>
  <c r="N1467" i="4"/>
  <c r="N1383" i="4"/>
  <c r="N1311" i="4"/>
  <c r="N1251" i="4"/>
  <c r="N1191" i="4"/>
  <c r="N1155" i="4"/>
  <c r="N1119" i="4"/>
  <c r="N988" i="4"/>
  <c r="N940" i="4"/>
  <c r="N893" i="4"/>
  <c r="N845" i="4"/>
  <c r="N692" i="4"/>
  <c r="N656" i="4"/>
  <c r="N572" i="4"/>
  <c r="N488" i="4"/>
  <c r="N1730" i="4"/>
  <c r="N1718" i="4"/>
  <c r="N1706" i="4"/>
  <c r="N1694" i="4"/>
  <c r="N1682" i="4"/>
  <c r="N1670" i="4"/>
  <c r="N1658" i="4"/>
  <c r="N1646" i="4"/>
  <c r="N1634" i="4"/>
  <c r="N1622" i="4"/>
  <c r="N1610" i="4"/>
  <c r="N1598" i="4"/>
  <c r="N1586" i="4"/>
  <c r="N1574" i="4"/>
  <c r="N1562" i="4"/>
  <c r="N1550" i="4"/>
  <c r="N1538" i="4"/>
  <c r="N1526" i="4"/>
  <c r="N1514" i="4"/>
  <c r="N1502" i="4"/>
  <c r="N1490" i="4"/>
  <c r="N1478" i="4"/>
  <c r="N1466" i="4"/>
  <c r="N1454" i="4"/>
  <c r="N1442" i="4"/>
  <c r="N1430" i="4"/>
  <c r="N1418" i="4"/>
  <c r="N1406" i="4"/>
  <c r="N1394" i="4"/>
  <c r="N1382" i="4"/>
  <c r="N1370" i="4"/>
  <c r="N1358" i="4"/>
  <c r="N1346" i="4"/>
  <c r="N1334" i="4"/>
  <c r="N1322" i="4"/>
  <c r="N1310" i="4"/>
  <c r="N1298" i="4"/>
  <c r="N1286" i="4"/>
  <c r="N1274" i="4"/>
  <c r="N1262" i="4"/>
  <c r="N1250" i="4"/>
  <c r="N1238" i="4"/>
  <c r="N1226" i="4"/>
  <c r="N1214" i="4"/>
  <c r="N1202" i="4"/>
  <c r="N1190" i="4"/>
  <c r="N1178" i="4"/>
  <c r="N1166" i="4"/>
  <c r="N1154" i="4"/>
  <c r="N1142" i="4"/>
  <c r="N1130" i="4"/>
  <c r="N1118" i="4"/>
  <c r="N1106" i="4"/>
  <c r="N1094" i="4"/>
  <c r="N1082" i="4"/>
  <c r="N1070" i="4"/>
  <c r="N1058" i="4"/>
  <c r="N892" i="4"/>
  <c r="N880" i="4"/>
  <c r="N868" i="4"/>
  <c r="N856" i="4"/>
  <c r="N844" i="4"/>
  <c r="N832" i="4"/>
  <c r="N820" i="4"/>
  <c r="N796" i="4"/>
  <c r="N772" i="4"/>
  <c r="N725" i="4"/>
  <c r="N713" i="4"/>
  <c r="N701" i="4"/>
  <c r="N691" i="4"/>
  <c r="N679" i="4"/>
  <c r="N667" i="4"/>
  <c r="N655" i="4"/>
  <c r="N643" i="4"/>
  <c r="N631" i="4"/>
  <c r="N619" i="4"/>
  <c r="N607" i="4"/>
  <c r="N595" i="4"/>
  <c r="N583" i="4"/>
  <c r="N571" i="4"/>
  <c r="N559" i="4"/>
  <c r="N547" i="4"/>
  <c r="N535" i="4"/>
  <c r="N523" i="4"/>
  <c r="N499" i="4"/>
  <c r="N487" i="4"/>
  <c r="N475" i="4"/>
  <c r="N463" i="4"/>
  <c r="N451" i="4"/>
  <c r="N439" i="4"/>
  <c r="N428" i="4"/>
  <c r="N416" i="4"/>
  <c r="N404" i="4"/>
  <c r="N392" i="4"/>
  <c r="N380" i="4"/>
  <c r="N368" i="4"/>
  <c r="N344" i="4"/>
  <c r="N320" i="4"/>
  <c r="N308" i="4"/>
  <c r="N296" i="4"/>
  <c r="N284" i="4"/>
  <c r="N273" i="4"/>
  <c r="N261" i="4"/>
  <c r="N249" i="4"/>
  <c r="N226" i="4"/>
  <c r="N214" i="4"/>
  <c r="N203" i="4"/>
  <c r="N191" i="4"/>
  <c r="N179" i="4"/>
  <c r="N167" i="4"/>
  <c r="O167" i="4"/>
  <c r="N155" i="4"/>
  <c r="O155" i="4"/>
  <c r="N132" i="4"/>
  <c r="O132" i="4"/>
  <c r="N72" i="4"/>
  <c r="O72" i="4"/>
  <c r="N934" i="4"/>
  <c r="N151" i="4"/>
  <c r="O151" i="4"/>
  <c r="N945" i="4"/>
  <c r="N909" i="4"/>
  <c r="N766" i="4"/>
  <c r="N601" i="4"/>
  <c r="N1710" i="4"/>
  <c r="N1614" i="4"/>
  <c r="N1530" i="4"/>
  <c r="N1434" i="4"/>
  <c r="N1326" i="4"/>
  <c r="N1218" i="4"/>
  <c r="N1146" i="4"/>
  <c r="N848" i="4"/>
  <c r="N683" i="4"/>
  <c r="N611" i="4"/>
  <c r="N503" i="4"/>
  <c r="N408" i="4"/>
  <c r="N1707" i="4"/>
  <c r="N1647" i="4"/>
  <c r="N1563" i="4"/>
  <c r="N1479" i="4"/>
  <c r="N1443" i="4"/>
  <c r="N1359" i="4"/>
  <c r="N1335" i="4"/>
  <c r="N1275" i="4"/>
  <c r="N1203" i="4"/>
  <c r="N1143" i="4"/>
  <c r="N1083" i="4"/>
  <c r="N1012" i="4"/>
  <c r="N952" i="4"/>
  <c r="N904" i="4"/>
  <c r="N869" i="4"/>
  <c r="N821" i="4"/>
  <c r="N668" i="4"/>
  <c r="N584" i="4"/>
  <c r="N500" i="4"/>
  <c r="N1729" i="4"/>
  <c r="N1717" i="4"/>
  <c r="N1705" i="4"/>
  <c r="N1693" i="4"/>
  <c r="N1681" i="4"/>
  <c r="N1669" i="4"/>
  <c r="N1657" i="4"/>
  <c r="N1645" i="4"/>
  <c r="N1633" i="4"/>
  <c r="N1621" i="4"/>
  <c r="N1609" i="4"/>
  <c r="N1597" i="4"/>
  <c r="N1585" i="4"/>
  <c r="N1573" i="4"/>
  <c r="N1561" i="4"/>
  <c r="N1549" i="4"/>
  <c r="N1537" i="4"/>
  <c r="N1525" i="4"/>
  <c r="N1513" i="4"/>
  <c r="N1501" i="4"/>
  <c r="N1489" i="4"/>
  <c r="N1477" i="4"/>
  <c r="N1465" i="4"/>
  <c r="N1453" i="4"/>
  <c r="N1441" i="4"/>
  <c r="N1429" i="4"/>
  <c r="N1417" i="4"/>
  <c r="N1405" i="4"/>
  <c r="N1393" i="4"/>
  <c r="N1381" i="4"/>
  <c r="N1369" i="4"/>
  <c r="N1357" i="4"/>
  <c r="N1345" i="4"/>
  <c r="N1333" i="4"/>
  <c r="N1321" i="4"/>
  <c r="N1309" i="4"/>
  <c r="N1297" i="4"/>
  <c r="N1285" i="4"/>
  <c r="N1273" i="4"/>
  <c r="N1261" i="4"/>
  <c r="N1249" i="4"/>
  <c r="N1237" i="4"/>
  <c r="N1225" i="4"/>
  <c r="N1213" i="4"/>
  <c r="N1201" i="4"/>
  <c r="N1189" i="4"/>
  <c r="N1177" i="4"/>
  <c r="N1165" i="4"/>
  <c r="N1153" i="4"/>
  <c r="N1141" i="4"/>
  <c r="N1129" i="4"/>
  <c r="N1117" i="4"/>
  <c r="N1105" i="4"/>
  <c r="N1093" i="4"/>
  <c r="N1081" i="4"/>
  <c r="N1069" i="4"/>
  <c r="N1057" i="4"/>
  <c r="N724" i="4"/>
  <c r="N712" i="4"/>
  <c r="N700" i="4"/>
  <c r="N678" i="4"/>
  <c r="N654" i="4"/>
  <c r="N642" i="4"/>
  <c r="N630" i="4"/>
  <c r="N618" i="4"/>
  <c r="N594" i="4"/>
  <c r="N582" i="4"/>
  <c r="N570" i="4"/>
  <c r="N558" i="4"/>
  <c r="N546" i="4"/>
  <c r="N510" i="4"/>
  <c r="N498" i="4"/>
  <c r="N486" i="4"/>
  <c r="N474" i="4"/>
  <c r="N462" i="4"/>
  <c r="N427" i="4"/>
  <c r="N415" i="4"/>
  <c r="N403" i="4"/>
  <c r="N391" i="4"/>
  <c r="N367" i="4"/>
  <c r="N343" i="4"/>
  <c r="N331" i="4"/>
  <c r="N319" i="4"/>
  <c r="N307" i="4"/>
  <c r="N295" i="4"/>
  <c r="N272" i="4"/>
  <c r="N260" i="4"/>
  <c r="N248" i="4"/>
  <c r="N237" i="4"/>
  <c r="N225" i="4"/>
  <c r="N213" i="4"/>
  <c r="N202" i="4"/>
  <c r="N190" i="4"/>
  <c r="N178" i="4"/>
  <c r="N166" i="4"/>
  <c r="N154" i="4"/>
  <c r="O154" i="4"/>
  <c r="N143" i="4"/>
  <c r="O143" i="4"/>
  <c r="N131" i="4"/>
  <c r="O131" i="4"/>
  <c r="N119" i="4"/>
  <c r="O119" i="4"/>
  <c r="O107" i="4"/>
  <c r="N95" i="4"/>
  <c r="O95" i="4"/>
  <c r="N83" i="4"/>
  <c r="O83" i="4"/>
  <c r="N59" i="4"/>
  <c r="O59" i="4"/>
  <c r="N47" i="4"/>
  <c r="O47" i="4"/>
  <c r="N958" i="4"/>
  <c r="N863" i="4"/>
  <c r="N233" i="4"/>
  <c r="N139" i="4"/>
  <c r="O139" i="4"/>
  <c r="N957" i="4"/>
  <c r="N850" i="4"/>
  <c r="N625" i="4"/>
  <c r="N505" i="4"/>
  <c r="N1686" i="4"/>
  <c r="N1626" i="4"/>
  <c r="N1554" i="4"/>
  <c r="N1470" i="4"/>
  <c r="N1398" i="4"/>
  <c r="N1302" i="4"/>
  <c r="N1206" i="4"/>
  <c r="N1134" i="4"/>
  <c r="N1062" i="4"/>
  <c r="N728" i="4"/>
  <c r="N563" i="4"/>
  <c r="N479" i="4"/>
  <c r="N241" i="4"/>
  <c r="N1731" i="4"/>
  <c r="N1695" i="4"/>
  <c r="N1635" i="4"/>
  <c r="N1575" i="4"/>
  <c r="N1491" i="4"/>
  <c r="N1431" i="4"/>
  <c r="N1407" i="4"/>
  <c r="N1347" i="4"/>
  <c r="N1263" i="4"/>
  <c r="N1215" i="4"/>
  <c r="N1131" i="4"/>
  <c r="N1095" i="4"/>
  <c r="N1059" i="4"/>
  <c r="N1024" i="4"/>
  <c r="N928" i="4"/>
  <c r="N857" i="4"/>
  <c r="N809" i="4"/>
  <c r="N773" i="4"/>
  <c r="N644" i="4"/>
  <c r="N608" i="4"/>
  <c r="N548" i="4"/>
  <c r="N417" i="4"/>
  <c r="N1728" i="4"/>
  <c r="N1716" i="4"/>
  <c r="N1704" i="4"/>
  <c r="N1692" i="4"/>
  <c r="N1680" i="4"/>
  <c r="N1668" i="4"/>
  <c r="N1656" i="4"/>
  <c r="N1644" i="4"/>
  <c r="N1632" i="4"/>
  <c r="N1620" i="4"/>
  <c r="N1608" i="4"/>
  <c r="N1596" i="4"/>
  <c r="N1584" i="4"/>
  <c r="N1572" i="4"/>
  <c r="N1560" i="4"/>
  <c r="N1548" i="4"/>
  <c r="N1536" i="4"/>
  <c r="N1524" i="4"/>
  <c r="N1512" i="4"/>
  <c r="N1500" i="4"/>
  <c r="N1488" i="4"/>
  <c r="N1476" i="4"/>
  <c r="N1464" i="4"/>
  <c r="N1452" i="4"/>
  <c r="N1440" i="4"/>
  <c r="N1428" i="4"/>
  <c r="N1416" i="4"/>
  <c r="N1404" i="4"/>
  <c r="N1392" i="4"/>
  <c r="N1380" i="4"/>
  <c r="N1368" i="4"/>
  <c r="N1356" i="4"/>
  <c r="N1344" i="4"/>
  <c r="N1332" i="4"/>
  <c r="N1320" i="4"/>
  <c r="N1308" i="4"/>
  <c r="N1296" i="4"/>
  <c r="N1284" i="4"/>
  <c r="N1272" i="4"/>
  <c r="N1260" i="4"/>
  <c r="N1248" i="4"/>
  <c r="N1236" i="4"/>
  <c r="N1224" i="4"/>
  <c r="N1212" i="4"/>
  <c r="N1200" i="4"/>
  <c r="N1188" i="4"/>
  <c r="N1176" i="4"/>
  <c r="N1164" i="4"/>
  <c r="N1152" i="4"/>
  <c r="N1140" i="4"/>
  <c r="N1128" i="4"/>
  <c r="N1116" i="4"/>
  <c r="N1104" i="4"/>
  <c r="N1092" i="4"/>
  <c r="N1080" i="4"/>
  <c r="N1068" i="4"/>
  <c r="N1033" i="4"/>
  <c r="N1021" i="4"/>
  <c r="N1009" i="4"/>
  <c r="N997" i="4"/>
  <c r="N985" i="4"/>
  <c r="N961" i="4"/>
  <c r="N949" i="4"/>
  <c r="N937" i="4"/>
  <c r="N925" i="4"/>
  <c r="N913" i="4"/>
  <c r="N901" i="4"/>
  <c r="N689" i="4"/>
  <c r="N677" i="4"/>
  <c r="N665" i="4"/>
  <c r="N641" i="4"/>
  <c r="N629" i="4"/>
  <c r="N617" i="4"/>
  <c r="N605" i="4"/>
  <c r="N593" i="4"/>
  <c r="N581" i="4"/>
  <c r="N569" i="4"/>
  <c r="N557" i="4"/>
  <c r="N545" i="4"/>
  <c r="N521" i="4"/>
  <c r="N509" i="4"/>
  <c r="N497" i="4"/>
  <c r="N485" i="4"/>
  <c r="N461" i="4"/>
  <c r="N449" i="4"/>
  <c r="N438" i="4"/>
  <c r="N426" i="4"/>
  <c r="N414" i="4"/>
  <c r="N402" i="4"/>
  <c r="N390" i="4"/>
  <c r="N366" i="4"/>
  <c r="N354" i="4"/>
  <c r="N342" i="4"/>
  <c r="N330" i="4"/>
  <c r="N318" i="4"/>
  <c r="N306" i="4"/>
  <c r="N294" i="4"/>
  <c r="N283" i="4"/>
  <c r="N271" i="4"/>
  <c r="N259" i="4"/>
  <c r="N247" i="4"/>
  <c r="N236" i="4"/>
  <c r="N224" i="4"/>
  <c r="N212" i="4"/>
  <c r="N201" i="4"/>
  <c r="N189" i="4"/>
  <c r="N177" i="4"/>
  <c r="N165" i="4"/>
  <c r="N142" i="4"/>
  <c r="O142" i="4"/>
  <c r="N130" i="4"/>
  <c r="O130" i="4"/>
  <c r="N106" i="4"/>
  <c r="O106" i="4"/>
  <c r="N94" i="4"/>
  <c r="O94" i="4"/>
  <c r="N82" i="4"/>
  <c r="O82" i="4"/>
  <c r="N70" i="4"/>
  <c r="O70" i="4"/>
  <c r="N58" i="4"/>
  <c r="O58" i="4"/>
  <c r="N46" i="4"/>
  <c r="O46" i="4"/>
  <c r="N981" i="4"/>
  <c r="N898" i="4"/>
  <c r="N826" i="4"/>
  <c r="N589" i="4"/>
  <c r="N445" i="4"/>
  <c r="N1314" i="4"/>
  <c r="N1230" i="4"/>
  <c r="N1039" i="4"/>
  <c r="N124" i="4"/>
  <c r="O124" i="4"/>
  <c r="N1719" i="4"/>
  <c r="N1683" i="4"/>
  <c r="N1623" i="4"/>
  <c r="N1587" i="4"/>
  <c r="N1503" i="4"/>
  <c r="N1419" i="4"/>
  <c r="N1371" i="4"/>
  <c r="N1299" i="4"/>
  <c r="N1239" i="4"/>
  <c r="N1179" i="4"/>
  <c r="N1071" i="4"/>
  <c r="N620" i="4"/>
  <c r="N560" i="4"/>
  <c r="N524" i="4"/>
  <c r="N464" i="4"/>
  <c r="N393" i="4"/>
  <c r="N1727" i="4"/>
  <c r="N1715" i="4"/>
  <c r="N1703" i="4"/>
  <c r="N1691" i="4"/>
  <c r="N1679" i="4"/>
  <c r="N1667" i="4"/>
  <c r="N1655" i="4"/>
  <c r="N1643" i="4"/>
  <c r="N1631" i="4"/>
  <c r="N1619" i="4"/>
  <c r="N1607" i="4"/>
  <c r="N1595" i="4"/>
  <c r="N1583" i="4"/>
  <c r="N1571" i="4"/>
  <c r="N1559" i="4"/>
  <c r="N1547" i="4"/>
  <c r="N1535" i="4"/>
  <c r="N1523" i="4"/>
  <c r="N1511" i="4"/>
  <c r="N1499" i="4"/>
  <c r="N1487" i="4"/>
  <c r="N1475" i="4"/>
  <c r="N1463" i="4"/>
  <c r="N1451" i="4"/>
  <c r="N1439" i="4"/>
  <c r="N1427" i="4"/>
  <c r="N1415" i="4"/>
  <c r="N1403" i="4"/>
  <c r="N1391" i="4"/>
  <c r="N1379" i="4"/>
  <c r="N1367" i="4"/>
  <c r="N1355" i="4"/>
  <c r="N1343" i="4"/>
  <c r="N1331" i="4"/>
  <c r="N1319" i="4"/>
  <c r="N1307" i="4"/>
  <c r="N1295" i="4"/>
  <c r="N1283" i="4"/>
  <c r="N1271" i="4"/>
  <c r="N1259" i="4"/>
  <c r="N1247" i="4"/>
  <c r="N1235" i="4"/>
  <c r="N1223" i="4"/>
  <c r="N1211" i="4"/>
  <c r="N1199" i="4"/>
  <c r="N1187" i="4"/>
  <c r="N1175" i="4"/>
  <c r="N1163" i="4"/>
  <c r="N1151" i="4"/>
  <c r="N1139" i="4"/>
  <c r="N1127" i="4"/>
  <c r="N1115" i="4"/>
  <c r="N1103" i="4"/>
  <c r="N1091" i="4"/>
  <c r="N1079" i="4"/>
  <c r="N1067" i="4"/>
  <c r="N1008" i="4"/>
  <c r="N996" i="4"/>
  <c r="N972" i="4"/>
  <c r="N936" i="4"/>
  <c r="N924" i="4"/>
  <c r="N889" i="4"/>
  <c r="N877" i="4"/>
  <c r="N865" i="4"/>
  <c r="N853" i="4"/>
  <c r="N841" i="4"/>
  <c r="N829" i="4"/>
  <c r="N817" i="4"/>
  <c r="N805" i="4"/>
  <c r="N769" i="4"/>
  <c r="N688" i="4"/>
  <c r="N676" i="4"/>
  <c r="N664" i="4"/>
  <c r="N628" i="4"/>
  <c r="N616" i="4"/>
  <c r="N604" i="4"/>
  <c r="N592" i="4"/>
  <c r="N580" i="4"/>
  <c r="N568" i="4"/>
  <c r="N556" i="4"/>
  <c r="N532" i="4"/>
  <c r="N520" i="4"/>
  <c r="N508" i="4"/>
  <c r="N496" i="4"/>
  <c r="N484" i="4"/>
  <c r="N472" i="4"/>
  <c r="N460" i="4"/>
  <c r="N448" i="4"/>
  <c r="N437" i="4"/>
  <c r="N425" i="4"/>
  <c r="N413" i="4"/>
  <c r="N401" i="4"/>
  <c r="N389" i="4"/>
  <c r="N365" i="4"/>
  <c r="N353" i="4"/>
  <c r="N341" i="4"/>
  <c r="N329" i="4"/>
  <c r="N305" i="4"/>
  <c r="N293" i="4"/>
  <c r="N282" i="4"/>
  <c r="N270" i="4"/>
  <c r="N258" i="4"/>
  <c r="N246" i="4"/>
  <c r="N235" i="4"/>
  <c r="N223" i="4"/>
  <c r="N211" i="4"/>
  <c r="N200" i="4"/>
  <c r="N188" i="4"/>
  <c r="N164" i="4"/>
  <c r="N153" i="4"/>
  <c r="O153" i="4"/>
  <c r="N141" i="4"/>
  <c r="O141" i="4"/>
  <c r="N129" i="4"/>
  <c r="O129" i="4"/>
  <c r="N117" i="4"/>
  <c r="O117" i="4"/>
  <c r="N105" i="4"/>
  <c r="O105" i="4"/>
  <c r="N93" i="4"/>
  <c r="O93" i="4"/>
  <c r="N81" i="4"/>
  <c r="O81" i="4"/>
  <c r="N57" i="4"/>
  <c r="O57" i="4"/>
  <c r="N982" i="4"/>
  <c r="N875" i="4"/>
  <c r="N803" i="4"/>
  <c r="N696" i="4"/>
  <c r="N256" i="4"/>
  <c r="N221" i="4"/>
  <c r="N115" i="4"/>
  <c r="O115" i="4"/>
  <c r="N67" i="4"/>
  <c r="O67" i="4"/>
  <c r="N862" i="4"/>
  <c r="N778" i="4"/>
  <c r="N661" i="4"/>
  <c r="N577" i="4"/>
  <c r="N493" i="4"/>
  <c r="N1722" i="4"/>
  <c r="N1674" i="4"/>
  <c r="N1590" i="4"/>
  <c r="N1494" i="4"/>
  <c r="N1422" i="4"/>
  <c r="N1350" i="4"/>
  <c r="N1290" i="4"/>
  <c r="N1194" i="4"/>
  <c r="N1110" i="4"/>
  <c r="N1027" i="4"/>
  <c r="N967" i="4"/>
  <c r="N812" i="4"/>
  <c r="N659" i="4"/>
  <c r="N587" i="4"/>
  <c r="N527" i="4"/>
  <c r="N443" i="4"/>
  <c r="N1671" i="4"/>
  <c r="N1611" i="4"/>
  <c r="N1551" i="4"/>
  <c r="N1515" i="4"/>
  <c r="N1455" i="4"/>
  <c r="N1395" i="4"/>
  <c r="N1323" i="4"/>
  <c r="N1287" i="4"/>
  <c r="N1227" i="4"/>
  <c r="N1167" i="4"/>
  <c r="N1107" i="4"/>
  <c r="N1000" i="4"/>
  <c r="N964" i="4"/>
  <c r="N916" i="4"/>
  <c r="N881" i="4"/>
  <c r="N833" i="4"/>
  <c r="N680" i="4"/>
  <c r="N632" i="4"/>
  <c r="N596" i="4"/>
  <c r="N536" i="4"/>
  <c r="N476" i="4"/>
  <c r="N405" i="4"/>
  <c r="N1726" i="4"/>
  <c r="N1714" i="4"/>
  <c r="N1702" i="4"/>
  <c r="N1690" i="4"/>
  <c r="N1678" i="4"/>
  <c r="N1666" i="4"/>
  <c r="N1654" i="4"/>
  <c r="N1642" i="4"/>
  <c r="N1630" i="4"/>
  <c r="N1618" i="4"/>
  <c r="N1606" i="4"/>
  <c r="N1594" i="4"/>
  <c r="N1582" i="4"/>
  <c r="N1570" i="4"/>
  <c r="N1558" i="4"/>
  <c r="N1546" i="4"/>
  <c r="N1534" i="4"/>
  <c r="N1522" i="4"/>
  <c r="N1510" i="4"/>
  <c r="N1498" i="4"/>
  <c r="N1486" i="4"/>
  <c r="N1474" i="4"/>
  <c r="N1462" i="4"/>
  <c r="N1450" i="4"/>
  <c r="N1438" i="4"/>
  <c r="N1426" i="4"/>
  <c r="N1414" i="4"/>
  <c r="N1402" i="4"/>
  <c r="N1390" i="4"/>
  <c r="N1378" i="4"/>
  <c r="N1366" i="4"/>
  <c r="N1354" i="4"/>
  <c r="N1342" i="4"/>
  <c r="N1330" i="4"/>
  <c r="N1318" i="4"/>
  <c r="N1306" i="4"/>
  <c r="N1294" i="4"/>
  <c r="N1282" i="4"/>
  <c r="N1270" i="4"/>
  <c r="N1258" i="4"/>
  <c r="N1246" i="4"/>
  <c r="N1234" i="4"/>
  <c r="N1222" i="4"/>
  <c r="N1210" i="4"/>
  <c r="N1198" i="4"/>
  <c r="N1186" i="4"/>
  <c r="N1174" i="4"/>
  <c r="N1162" i="4"/>
  <c r="N1150" i="4"/>
  <c r="N1138" i="4"/>
  <c r="N1126" i="4"/>
  <c r="N1114" i="4"/>
  <c r="N1102" i="4"/>
  <c r="N1090" i="4"/>
  <c r="N1078" i="4"/>
  <c r="N1066" i="4"/>
  <c r="N1031" i="4"/>
  <c r="N1019" i="4"/>
  <c r="N1007" i="4"/>
  <c r="N995" i="4"/>
  <c r="N983" i="4"/>
  <c r="N971" i="4"/>
  <c r="N959" i="4"/>
  <c r="N947" i="4"/>
  <c r="N935" i="4"/>
  <c r="N900" i="4"/>
  <c r="N864" i="4"/>
  <c r="N852" i="4"/>
  <c r="N828" i="4"/>
  <c r="N780" i="4"/>
  <c r="N709" i="4"/>
  <c r="N697" i="4"/>
  <c r="N436" i="4"/>
  <c r="N424" i="4"/>
  <c r="N412" i="4"/>
  <c r="N400" i="4"/>
  <c r="N376" i="4"/>
  <c r="N364" i="4"/>
  <c r="N352" i="4"/>
  <c r="N340" i="4"/>
  <c r="N328" i="4"/>
  <c r="N304" i="4"/>
  <c r="N292" i="4"/>
  <c r="N281" i="4"/>
  <c r="N269" i="4"/>
  <c r="N257" i="4"/>
  <c r="N245" i="4"/>
  <c r="N234" i="4"/>
  <c r="N222" i="4"/>
  <c r="N210" i="4"/>
  <c r="N199" i="4"/>
  <c r="N187" i="4"/>
  <c r="N163" i="4"/>
  <c r="O163" i="4"/>
  <c r="N152" i="4"/>
  <c r="O152" i="4"/>
  <c r="N140" i="4"/>
  <c r="O140" i="4"/>
  <c r="N128" i="4"/>
  <c r="O128" i="4"/>
  <c r="N116" i="4"/>
  <c r="O116" i="4"/>
  <c r="N104" i="4"/>
  <c r="O104" i="4"/>
  <c r="N92" i="4"/>
  <c r="O92" i="4"/>
  <c r="N80" i="4"/>
  <c r="O80" i="4"/>
  <c r="N68" i="4"/>
  <c r="O68" i="4"/>
  <c r="N56" i="4"/>
  <c r="O56" i="4"/>
  <c r="N44" i="4"/>
  <c r="O44" i="4"/>
  <c r="N1084" i="4" l="1"/>
  <c r="W3" i="11" a="1"/>
  <c r="W3" i="11" s="1"/>
  <c r="N383" i="4"/>
  <c r="N333" i="4"/>
  <c r="N345" i="4"/>
  <c r="N337" i="4"/>
  <c r="O378" i="4"/>
  <c r="O377" i="4"/>
  <c r="O379" i="4"/>
  <c r="O332" i="4"/>
  <c r="J21" i="16"/>
  <c r="J22" i="16"/>
  <c r="J20" i="16"/>
  <c r="V8" i="14"/>
  <c r="V3" i="14"/>
  <c r="V5" i="14"/>
  <c r="V10" i="14"/>
  <c r="V9" i="14"/>
  <c r="V4" i="14"/>
  <c r="V6" i="14"/>
  <c r="V7" i="14"/>
  <c r="N638" i="4"/>
  <c r="N926" i="4"/>
  <c r="N171" i="4"/>
  <c r="N768" i="4"/>
  <c r="N1032" i="4"/>
  <c r="N938" i="4"/>
  <c r="S4" i="11"/>
  <c r="N240" i="4"/>
  <c r="N218" i="4"/>
  <c r="N650" i="4"/>
  <c r="N362" i="4"/>
  <c r="O74" i="4"/>
  <c r="N315" i="4"/>
  <c r="N506" i="4"/>
  <c r="N747" i="4"/>
  <c r="N459" i="4"/>
  <c r="O48" i="4"/>
  <c r="N603" i="4"/>
  <c r="N948" i="4"/>
  <c r="N468" i="4"/>
  <c r="N350" i="4"/>
  <c r="N494" i="4"/>
  <c r="N50" i="4"/>
  <c r="N756" i="4"/>
  <c r="O62" i="4"/>
  <c r="N793" i="4"/>
  <c r="N303" i="4"/>
  <c r="N735" i="4"/>
  <c r="N1020" i="4"/>
  <c r="N435" i="4"/>
  <c r="N447" i="4"/>
  <c r="N626" i="4"/>
  <c r="N591" i="4"/>
  <c r="N879" i="4"/>
  <c r="N1023" i="4"/>
  <c r="O159" i="4"/>
  <c r="N206" i="4"/>
  <c r="N228" i="4"/>
  <c r="O723" i="4"/>
  <c r="N555" i="4"/>
  <c r="N396" i="4"/>
  <c r="N411" i="4"/>
  <c r="O123" i="4"/>
  <c r="N684" i="4"/>
  <c r="N890" i="4"/>
  <c r="N602" i="4"/>
  <c r="O170" i="4"/>
  <c r="N757" i="4"/>
  <c r="O168" i="4"/>
  <c r="N267" i="4"/>
  <c r="N843" i="4"/>
  <c r="N314" i="4"/>
  <c r="N987" i="4"/>
  <c r="N216" i="4"/>
  <c r="N423" i="4"/>
  <c r="N338" i="4"/>
  <c r="N732" i="4"/>
  <c r="O781" i="4"/>
  <c r="N984" i="4"/>
  <c r="N279" i="4"/>
  <c r="N567" i="4"/>
  <c r="N867" i="4"/>
  <c r="N135" i="4"/>
  <c r="O579" i="4"/>
  <c r="O720" i="4"/>
  <c r="N855" i="4"/>
  <c r="N758" i="4"/>
  <c r="N326" i="4"/>
  <c r="N470" i="4"/>
  <c r="N902" i="4"/>
  <c r="N482" i="4"/>
  <c r="N711" i="4"/>
  <c r="N914" i="4"/>
  <c r="N291" i="4"/>
  <c r="N999" i="4"/>
  <c r="N182" i="4"/>
  <c r="N1011" i="4"/>
  <c r="N180" i="4"/>
  <c r="N614" i="4"/>
  <c r="N194" i="4"/>
  <c r="N444" i="4"/>
  <c r="N157" i="4"/>
  <c r="N458" i="4"/>
  <c r="N243" i="4"/>
  <c r="N576" i="4"/>
  <c r="O96" i="4"/>
  <c r="N108" i="4"/>
  <c r="N816" i="4"/>
  <c r="N675" i="4"/>
  <c r="O146" i="4"/>
  <c r="N99" i="4"/>
  <c r="N531" i="4"/>
  <c r="N722" i="4"/>
  <c r="N888" i="4"/>
  <c r="N387" i="4"/>
  <c r="N290" i="4"/>
  <c r="N1010" i="4"/>
  <c r="N578" i="4"/>
  <c r="N434" i="4"/>
  <c r="N144" i="4"/>
  <c r="N963" i="4"/>
  <c r="N133" i="4"/>
  <c r="O87" i="4"/>
  <c r="N278" i="4"/>
  <c r="N422" i="4"/>
  <c r="N819" i="4"/>
  <c r="N360" i="4"/>
  <c r="N854" i="4"/>
  <c r="N612" i="4"/>
  <c r="N566" i="4"/>
  <c r="N998" i="4"/>
  <c r="O120" i="4"/>
  <c r="N807" i="4"/>
  <c r="O134" i="4"/>
  <c r="N710" i="4"/>
  <c r="N375" i="4"/>
  <c r="O519" i="4"/>
  <c r="N876" i="4"/>
  <c r="N324" i="4"/>
  <c r="N951" i="4"/>
  <c r="N663" i="4"/>
  <c r="N543" i="4"/>
  <c r="N840" i="4"/>
  <c r="N156" i="4"/>
  <c r="N158" i="4"/>
  <c r="N831" i="4"/>
  <c r="N399" i="4"/>
  <c r="N255" i="4"/>
  <c r="N687" i="4"/>
  <c r="N372" i="4"/>
  <c r="N446" i="4"/>
  <c r="N1022" i="4"/>
  <c r="N878" i="4"/>
  <c r="N590" i="4"/>
  <c r="O109" i="4"/>
  <c r="O111" i="4"/>
  <c r="N302" i="4"/>
  <c r="N745" i="4"/>
  <c r="N300" i="4"/>
  <c r="O85" i="4"/>
  <c r="N734" i="4"/>
  <c r="N746" i="4"/>
  <c r="N782" i="4"/>
  <c r="N51" i="4"/>
  <c r="N339" i="4"/>
  <c r="N804" i="4"/>
  <c r="N662" i="4"/>
  <c r="N530" i="4"/>
  <c r="O86" i="4"/>
  <c r="N795" i="4"/>
  <c r="N627" i="4"/>
  <c r="N312" i="4"/>
  <c r="N230" i="4"/>
  <c r="N950" i="4"/>
  <c r="N915" i="4"/>
  <c r="N195" i="4"/>
  <c r="N986" i="4"/>
  <c r="N939" i="4"/>
  <c r="N374" i="4"/>
  <c r="N588" i="4"/>
  <c r="N518" i="4"/>
  <c r="N483" i="4"/>
  <c r="N806" i="4"/>
  <c r="N242" i="4"/>
  <c r="N1034" i="4"/>
  <c r="N866" i="4"/>
  <c r="N842" i="4"/>
  <c r="N830" i="4"/>
  <c r="N927" i="4"/>
  <c r="N974" i="4"/>
  <c r="N794" i="4"/>
  <c r="N410" i="4"/>
  <c r="N540" i="4"/>
  <c r="N219" i="4"/>
  <c r="O84" i="4"/>
  <c r="O122" i="4"/>
  <c r="N651" i="4"/>
  <c r="N554" i="4"/>
  <c r="O75" i="4"/>
  <c r="N288" i="4"/>
  <c r="N698" i="4"/>
  <c r="N507" i="4"/>
  <c r="N639" i="4"/>
  <c r="N363" i="4"/>
  <c r="N495" i="4"/>
  <c r="N110" i="4"/>
  <c r="N351" i="4"/>
  <c r="N516" i="4"/>
  <c r="N207" i="4"/>
  <c r="N783" i="4"/>
  <c r="O63" i="4"/>
  <c r="N252" i="4"/>
  <c r="N792" i="4"/>
  <c r="N903" i="4"/>
  <c r="O98" i="4"/>
  <c r="N615" i="4"/>
  <c r="N818" i="4"/>
  <c r="N386" i="4"/>
  <c r="N471" i="4"/>
  <c r="N962" i="4"/>
  <c r="N674" i="4"/>
  <c r="N183" i="4"/>
  <c r="N759" i="4"/>
  <c r="N398" i="4"/>
  <c r="N686" i="4"/>
  <c r="N254" i="4"/>
  <c r="N762" i="4"/>
  <c r="N798" i="4"/>
  <c r="O798" i="4"/>
  <c r="N797" i="4"/>
  <c r="O797" i="4"/>
  <c r="N715" i="4"/>
  <c r="N727" i="4"/>
  <c r="N714" i="4"/>
  <c r="N726" i="4"/>
  <c r="N716" i="4"/>
  <c r="O43" i="4"/>
  <c r="M17" i="4" l="1"/>
  <c r="G18" i="25"/>
  <c r="M16" i="4"/>
  <c r="G17" i="25"/>
  <c r="M15" i="4"/>
  <c r="G16" i="25"/>
  <c r="AB3" i="11"/>
  <c r="F52" i="1" s="1"/>
  <c r="K20" i="16"/>
  <c r="K22" i="16"/>
  <c r="K21" i="16"/>
  <c r="T4" i="11"/>
  <c r="T5" i="11" s="1"/>
  <c r="S5" i="11"/>
  <c r="U4" i="11" l="1"/>
  <c r="U5" i="11" s="1"/>
  <c r="V4" i="11" l="1"/>
  <c r="V5" i="11" s="1"/>
  <c r="S6" i="11" s="1"/>
  <c r="U6" i="11" l="1"/>
  <c r="V6" i="11"/>
  <c r="T6" i="11"/>
  <c r="R6" i="11"/>
  <c r="W6" i="11" l="1" a="1"/>
  <c r="W6" i="11" s="1"/>
  <c r="D3" i="10" l="1"/>
  <c r="E3" i="10" s="1"/>
  <c r="D4" i="10"/>
  <c r="E4" i="10" s="1"/>
  <c r="D5" i="10"/>
  <c r="E5" i="10" s="1"/>
  <c r="D6" i="10"/>
  <c r="E6" i="10" s="1"/>
  <c r="D7" i="10"/>
  <c r="E7" i="10" s="1"/>
  <c r="D8" i="10"/>
  <c r="E8" i="10" s="1"/>
  <c r="D9" i="10"/>
  <c r="E9" i="10" s="1"/>
  <c r="D10" i="10"/>
  <c r="E10" i="10" s="1"/>
  <c r="D11" i="10"/>
  <c r="E11" i="10" s="1"/>
  <c r="D12" i="10"/>
  <c r="E12" i="10" s="1"/>
  <c r="D13" i="10"/>
  <c r="E13" i="10" s="1"/>
  <c r="D14" i="10"/>
  <c r="E14" i="10" s="1"/>
  <c r="D15" i="10"/>
  <c r="E15" i="10" s="1"/>
  <c r="D16" i="10"/>
  <c r="E16" i="10" s="1"/>
  <c r="D17" i="10"/>
  <c r="E17" i="10" s="1"/>
  <c r="D18" i="10"/>
  <c r="E18" i="10" s="1"/>
  <c r="D19" i="10"/>
  <c r="E19" i="10" s="1"/>
  <c r="D20" i="10"/>
  <c r="E20" i="10" s="1"/>
  <c r="D21" i="10"/>
  <c r="E21" i="10" s="1"/>
  <c r="D22" i="10"/>
  <c r="E22" i="10" s="1"/>
  <c r="D23" i="10"/>
  <c r="E23" i="10" s="1"/>
  <c r="D24" i="10"/>
  <c r="E24" i="10" s="1"/>
  <c r="D25" i="10"/>
  <c r="E25" i="10" s="1"/>
  <c r="D26" i="10"/>
  <c r="E26" i="10" s="1"/>
  <c r="D27" i="10"/>
  <c r="E27" i="10" s="1"/>
  <c r="D28" i="10"/>
  <c r="E28" i="10" s="1"/>
  <c r="D29" i="10"/>
  <c r="E29" i="10" s="1"/>
  <c r="D30" i="10"/>
  <c r="E30" i="10" s="1"/>
  <c r="D31" i="10"/>
  <c r="E31" i="10" s="1"/>
  <c r="D32" i="10"/>
  <c r="E32" i="10" s="1"/>
  <c r="D33" i="10"/>
  <c r="E33" i="10" s="1"/>
  <c r="D34" i="10"/>
  <c r="E34" i="10" s="1"/>
  <c r="D35" i="10"/>
  <c r="E35" i="10" s="1"/>
  <c r="D36" i="10"/>
  <c r="E36" i="10" s="1"/>
  <c r="D37" i="10"/>
  <c r="E37" i="10" s="1"/>
  <c r="D38" i="10"/>
  <c r="E38" i="10" s="1"/>
  <c r="D39" i="10"/>
  <c r="E39" i="10" s="1"/>
  <c r="D40" i="10"/>
  <c r="E40" i="10" s="1"/>
  <c r="D41" i="10"/>
  <c r="E41" i="10" s="1"/>
  <c r="D42" i="10"/>
  <c r="E42" i="10" s="1"/>
  <c r="D28" i="19" l="1"/>
  <c r="F30" i="25" l="1"/>
  <c r="F28" i="25"/>
  <c r="F23" i="25"/>
  <c r="F21" i="25"/>
  <c r="N20" i="4"/>
  <c r="O20" i="4"/>
  <c r="F7" i="25"/>
  <c r="F8" i="25"/>
  <c r="F9" i="25"/>
  <c r="F35" i="25"/>
  <c r="F36" i="25"/>
  <c r="N35" i="4"/>
  <c r="O35" i="4"/>
  <c r="F13" i="25"/>
  <c r="F14" i="25"/>
  <c r="F15" i="25"/>
  <c r="F16" i="25"/>
  <c r="N15" i="4"/>
  <c r="O15" i="4" s="1"/>
  <c r="F17" i="25"/>
  <c r="F18" i="25"/>
  <c r="N16" i="4"/>
  <c r="O16" i="4" s="1"/>
  <c r="N17" i="4"/>
  <c r="O17" i="4" s="1"/>
  <c r="F19" i="25"/>
  <c r="F20" i="25"/>
  <c r="F40" i="25"/>
  <c r="F41" i="25"/>
  <c r="F25" i="25" l="1"/>
  <c r="F24" i="25"/>
  <c r="F34" i="25"/>
  <c r="F29" i="25"/>
  <c r="F26" i="25"/>
  <c r="F27" i="25"/>
  <c r="F32" i="25"/>
  <c r="F31" i="25"/>
  <c r="F33" i="25"/>
  <c r="F5" i="25"/>
  <c r="F6" i="25" l="1"/>
  <c r="F10" i="25"/>
  <c r="F11" i="25"/>
  <c r="F22" i="25"/>
  <c r="F45" i="25" l="1"/>
  <c r="H19" i="25" s="1"/>
  <c r="M18" i="4" s="1"/>
  <c r="M808" i="4" l="1" a="1"/>
  <c r="M808" i="4" s="1"/>
  <c r="M923" i="4" a="1"/>
  <c r="M923" i="4" s="1"/>
  <c r="M847" i="4" a="1"/>
  <c r="M847" i="4" s="1"/>
  <c r="M993" i="4" a="1"/>
  <c r="M993" i="4" s="1"/>
  <c r="M960" i="4" a="1"/>
  <c r="M960" i="4" s="1"/>
  <c r="M891" i="4" a="1"/>
  <c r="M891" i="4" s="1"/>
  <c r="H20" i="25"/>
  <c r="M19" i="4" s="1"/>
  <c r="N19" i="4" s="1"/>
  <c r="N18" i="4"/>
  <c r="M52" i="4" a="1"/>
  <c r="M52" i="4" s="1"/>
  <c r="M184" i="4" a="1"/>
  <c r="M184" i="4" s="1"/>
  <c r="M652" i="4" a="1"/>
  <c r="M652" i="4" s="1"/>
  <c r="M325" i="4" a="1"/>
  <c r="M325" i="4" s="1"/>
  <c r="M706" i="4" a="1"/>
  <c r="M706" i="4" s="1"/>
  <c r="M573" i="4" a="1"/>
  <c r="M573" i="4" s="1"/>
  <c r="M770" i="4" a="1"/>
  <c r="M770" i="4" s="1"/>
  <c r="M355" i="4" a="1"/>
  <c r="M355" i="4" s="1"/>
  <c r="M480" i="4" a="1"/>
  <c r="M480" i="4" s="1"/>
  <c r="M511" i="4" a="1"/>
  <c r="M511" i="4" s="1"/>
  <c r="M69" i="4" a="1"/>
  <c r="M69" i="4" s="1"/>
  <c r="M450" i="4" a="1"/>
  <c r="M450" i="4" s="1"/>
  <c r="M542" i="4" a="1"/>
  <c r="M542" i="4" s="1"/>
  <c r="H5" i="25"/>
  <c r="M4" i="4" s="1"/>
  <c r="O4" i="4" s="1"/>
  <c r="H43" i="25"/>
  <c r="M42" i="4" s="1"/>
  <c r="O18" i="4"/>
  <c r="H13" i="25"/>
  <c r="M12" i="4" s="1"/>
  <c r="M789" i="4" s="1" a="1"/>
  <c r="M789" i="4" s="1"/>
  <c r="H42" i="25"/>
  <c r="M41" i="4" s="1"/>
  <c r="H18" i="25"/>
  <c r="H36" i="25"/>
  <c r="H40" i="25"/>
  <c r="M39" i="4" s="1"/>
  <c r="N39" i="4" s="1"/>
  <c r="H38" i="25"/>
  <c r="M37" i="4" s="1"/>
  <c r="H17" i="25"/>
  <c r="H39" i="25"/>
  <c r="M38" i="4" s="1"/>
  <c r="H44" i="25"/>
  <c r="H12" i="25"/>
  <c r="M11" i="4" s="1"/>
  <c r="H37" i="25"/>
  <c r="M36" i="4" s="1"/>
  <c r="H9" i="25"/>
  <c r="M8" i="4" s="1"/>
  <c r="O8" i="4" s="1"/>
  <c r="H16" i="25"/>
  <c r="H8" i="25"/>
  <c r="M7" i="4" s="1"/>
  <c r="N7" i="4" s="1"/>
  <c r="H41" i="25"/>
  <c r="M40" i="4" s="1"/>
  <c r="O40" i="4" s="1"/>
  <c r="H7" i="25"/>
  <c r="M6" i="4" s="1"/>
  <c r="N6" i="4" s="1"/>
  <c r="H35" i="25"/>
  <c r="M34" i="4" s="1"/>
  <c r="O34" i="4" s="1"/>
  <c r="H14" i="25"/>
  <c r="M13" i="4" s="1"/>
  <c r="H4" i="25"/>
  <c r="M3" i="4" s="1"/>
  <c r="H15" i="25"/>
  <c r="M14" i="4" s="1"/>
  <c r="O19" i="4" l="1"/>
  <c r="N12" i="4"/>
  <c r="M60" i="4" a="1"/>
  <c r="M60" i="4" s="1"/>
  <c r="M873" i="4" a="1"/>
  <c r="M873" i="4" s="1"/>
  <c r="M943" i="4" a="1"/>
  <c r="M943" i="4" s="1"/>
  <c r="M175" i="4" a="1"/>
  <c r="M175" i="4" s="1"/>
  <c r="M911" i="4" a="1"/>
  <c r="M911" i="4" s="1"/>
  <c r="M316" i="4" a="1"/>
  <c r="M316" i="4" s="1"/>
  <c r="M441" i="4" a="1"/>
  <c r="M441" i="4" s="1"/>
  <c r="M660" i="4" a="1"/>
  <c r="M660" i="4" s="1"/>
  <c r="M975" i="4" a="1"/>
  <c r="M975" i="4" s="1"/>
  <c r="M533" i="4" a="1"/>
  <c r="M533" i="4" s="1"/>
  <c r="M564" i="4" a="1"/>
  <c r="M564" i="4" s="1"/>
  <c r="M1004" i="4" a="1"/>
  <c r="M1004" i="4" s="1"/>
  <c r="O450" i="4"/>
  <c r="N450" i="4"/>
  <c r="O325" i="4"/>
  <c r="N325" i="4"/>
  <c r="N355" i="4"/>
  <c r="O355" i="4"/>
  <c r="O891" i="4"/>
  <c r="N891" i="4"/>
  <c r="N923" i="4"/>
  <c r="O923" i="4"/>
  <c r="O960" i="4"/>
  <c r="N960" i="4"/>
  <c r="O770" i="4"/>
  <c r="N770" i="4"/>
  <c r="O652" i="4"/>
  <c r="N652" i="4"/>
  <c r="O542" i="4"/>
  <c r="N542" i="4"/>
  <c r="O573" i="4"/>
  <c r="N573" i="4"/>
  <c r="N184" i="4"/>
  <c r="O184" i="4"/>
  <c r="N480" i="4"/>
  <c r="O480" i="4"/>
  <c r="O808" i="4"/>
  <c r="N808" i="4"/>
  <c r="O993" i="4"/>
  <c r="N993" i="4"/>
  <c r="O511" i="4"/>
  <c r="N511" i="4"/>
  <c r="N847" i="4"/>
  <c r="O847" i="4"/>
  <c r="O52" i="4"/>
  <c r="N52" i="4"/>
  <c r="N69" i="4"/>
  <c r="O69" i="4"/>
  <c r="O706" i="4"/>
  <c r="N706" i="4"/>
  <c r="N13" i="4"/>
  <c r="M504" i="4" a="1"/>
  <c r="M504" i="4" s="1"/>
  <c r="M874" i="4" a="1"/>
  <c r="M874" i="4" s="1"/>
  <c r="M912" i="4" a="1"/>
  <c r="M912" i="4" s="1"/>
  <c r="M944" i="4" a="1"/>
  <c r="M944" i="4" s="1"/>
  <c r="M645" i="4" a="1"/>
  <c r="M645" i="4" s="1"/>
  <c r="M442" i="4" a="1"/>
  <c r="M442" i="4" s="1"/>
  <c r="M763" i="4" a="1"/>
  <c r="M763" i="4" s="1"/>
  <c r="M699" i="4" a="1"/>
  <c r="M699" i="4" s="1"/>
  <c r="M976" i="4" a="1"/>
  <c r="M976" i="4" s="1"/>
  <c r="M790" i="4" a="1"/>
  <c r="M790" i="4" s="1"/>
  <c r="M45" i="4" a="1"/>
  <c r="M45" i="4" s="1"/>
  <c r="M61" i="4" a="1"/>
  <c r="M61" i="4" s="1"/>
  <c r="M473" i="4" a="1"/>
  <c r="M473" i="4" s="1"/>
  <c r="M176" i="4" a="1"/>
  <c r="M176" i="4" s="1"/>
  <c r="M317" i="4" a="1"/>
  <c r="M317" i="4" s="1"/>
  <c r="M534" i="4" a="1"/>
  <c r="M534" i="4" s="1"/>
  <c r="M565" i="4" a="1"/>
  <c r="M565" i="4" s="1"/>
  <c r="M348" i="4" a="1"/>
  <c r="M348" i="4" s="1"/>
  <c r="O3" i="4"/>
  <c r="M268" i="4" a="1"/>
  <c r="M268" i="4" s="1"/>
  <c r="M53" i="4" a="1"/>
  <c r="M53" i="4" s="1"/>
  <c r="M313" i="4" a="1"/>
  <c r="M313" i="4" s="1"/>
  <c r="M388" i="4" a="1"/>
  <c r="M388" i="4" s="1"/>
  <c r="M186" i="4" a="1"/>
  <c r="M186" i="4" s="1"/>
  <c r="M771" i="4" a="1"/>
  <c r="M771" i="4" s="1"/>
  <c r="M327" i="4" a="1"/>
  <c r="M327" i="4" s="1"/>
  <c r="M452" i="4" a="1"/>
  <c r="M452" i="4" s="1"/>
  <c r="M118" i="4" a="1"/>
  <c r="M118" i="4" s="1"/>
  <c r="M231" i="4" a="1"/>
  <c r="M231" i="4" s="1"/>
  <c r="M707" i="4" a="1"/>
  <c r="M707" i="4" s="1"/>
  <c r="M71" i="4" a="1"/>
  <c r="M71" i="4" s="1"/>
  <c r="M690" i="4" a="1"/>
  <c r="M690" i="4" s="1"/>
  <c r="M640" i="4" a="1"/>
  <c r="M640" i="4" s="1"/>
  <c r="M653" i="4" a="1"/>
  <c r="M653" i="4" s="1"/>
  <c r="M481" i="4" a="1"/>
  <c r="M481" i="4" s="1"/>
  <c r="M147" i="4" a="1"/>
  <c r="M147" i="4" s="1"/>
  <c r="M575" i="4" a="1"/>
  <c r="M575" i="4" s="1"/>
  <c r="M544" i="4" a="1"/>
  <c r="M544" i="4" s="1"/>
  <c r="M432" i="4" a="1"/>
  <c r="M432" i="4" s="1"/>
  <c r="M512" i="4" a="1"/>
  <c r="M512" i="4" s="1"/>
  <c r="M356" i="4" a="1"/>
  <c r="M356" i="4" s="1"/>
  <c r="N38" i="4"/>
  <c r="O38" i="4"/>
  <c r="N42" i="4"/>
  <c r="O42" i="4"/>
  <c r="N41" i="4"/>
  <c r="O41" i="4"/>
  <c r="N4" i="4"/>
  <c r="N37" i="4"/>
  <c r="O37" i="4"/>
  <c r="N36" i="4"/>
  <c r="O36" i="4"/>
  <c r="N14" i="4"/>
  <c r="O14" i="4"/>
  <c r="O11" i="4"/>
  <c r="N11" i="4"/>
  <c r="N34" i="4"/>
  <c r="N40" i="4"/>
  <c r="O39" i="4"/>
  <c r="O12" i="4"/>
  <c r="O13" i="4"/>
  <c r="N8" i="4"/>
  <c r="O7" i="4"/>
  <c r="N3" i="4"/>
  <c r="O6" i="4"/>
  <c r="O789" i="4" l="1"/>
  <c r="N789" i="4"/>
  <c r="O564" i="4"/>
  <c r="N564" i="4"/>
  <c r="O533" i="4"/>
  <c r="N533" i="4"/>
  <c r="N1004" i="4"/>
  <c r="O1004" i="4"/>
  <c r="O441" i="4"/>
  <c r="N441" i="4"/>
  <c r="N911" i="4"/>
  <c r="O911" i="4"/>
  <c r="O975" i="4"/>
  <c r="N975" i="4"/>
  <c r="O175" i="4"/>
  <c r="N175" i="4"/>
  <c r="O660" i="4"/>
  <c r="N660" i="4"/>
  <c r="N943" i="4"/>
  <c r="O943" i="4"/>
  <c r="N60" i="4"/>
  <c r="O60" i="4"/>
  <c r="O873" i="4"/>
  <c r="N873" i="4"/>
  <c r="N534" i="4"/>
  <c r="O534" i="4"/>
  <c r="N176" i="4"/>
  <c r="O176" i="4"/>
  <c r="N45" i="4"/>
  <c r="O45" i="4"/>
  <c r="O565" i="4"/>
  <c r="N565" i="4"/>
  <c r="N317" i="4"/>
  <c r="O317" i="4"/>
  <c r="N473" i="4"/>
  <c r="O473" i="4"/>
  <c r="N61" i="4"/>
  <c r="O61" i="4"/>
  <c r="N790" i="4"/>
  <c r="O790" i="4"/>
  <c r="O442" i="4"/>
  <c r="N442" i="4"/>
  <c r="O699" i="4"/>
  <c r="N699" i="4"/>
  <c r="N348" i="4"/>
  <c r="O348" i="4"/>
  <c r="N976" i="4"/>
  <c r="O976" i="4"/>
  <c r="N645" i="4"/>
  <c r="O645" i="4"/>
  <c r="N944" i="4"/>
  <c r="O944" i="4"/>
  <c r="O912" i="4"/>
  <c r="N912" i="4"/>
  <c r="O874" i="4"/>
  <c r="N874" i="4"/>
  <c r="N763" i="4"/>
  <c r="O763" i="4"/>
  <c r="O504" i="4"/>
  <c r="N504" i="4"/>
  <c r="N118" i="4"/>
  <c r="O118" i="4"/>
  <c r="N544" i="4"/>
  <c r="O544" i="4"/>
  <c r="N640" i="4"/>
  <c r="O640" i="4"/>
  <c r="N452" i="4"/>
  <c r="O452" i="4"/>
  <c r="O327" i="4"/>
  <c r="N327" i="4"/>
  <c r="N707" i="4"/>
  <c r="O707" i="4"/>
  <c r="N186" i="4"/>
  <c r="O186" i="4"/>
  <c r="O690" i="4"/>
  <c r="N690" i="4"/>
  <c r="N481" i="4"/>
  <c r="O481" i="4"/>
  <c r="N771" i="4"/>
  <c r="O771" i="4"/>
  <c r="N53" i="4"/>
  <c r="O53" i="4"/>
  <c r="N147" i="4"/>
  <c r="O147" i="4"/>
  <c r="O71" i="4"/>
  <c r="N71" i="4"/>
  <c r="N313" i="4"/>
  <c r="O313" i="4"/>
  <c r="N512" i="4"/>
  <c r="O512" i="4"/>
  <c r="O268" i="4"/>
  <c r="N268" i="4"/>
  <c r="O575" i="4"/>
  <c r="N575" i="4"/>
  <c r="N653" i="4"/>
  <c r="O653" i="4"/>
  <c r="O231" i="4"/>
  <c r="N231" i="4"/>
  <c r="N356" i="4"/>
  <c r="O356" i="4"/>
  <c r="O432" i="4"/>
  <c r="N432" i="4"/>
  <c r="N388" i="4"/>
  <c r="O388" i="4"/>
  <c r="O4" i="22"/>
  <c r="P4" i="22" s="1"/>
  <c r="Q4" i="22" a="1"/>
  <c r="Q4" i="22" s="1"/>
  <c r="AB4" i="22"/>
  <c r="AC4" i="22" s="1"/>
  <c r="AD4" i="22" a="1"/>
  <c r="AD4" i="22" s="1"/>
  <c r="AF4" i="22"/>
  <c r="AG4" i="22" s="1"/>
  <c r="AH4" i="22" a="1"/>
  <c r="AH4" i="22" s="1"/>
  <c r="AJ4" i="22"/>
  <c r="AK4" i="22" s="1"/>
  <c r="AL4" i="22" a="1"/>
  <c r="AL4" i="22" s="1"/>
  <c r="AN4" i="22"/>
  <c r="AO4" i="22" s="1"/>
  <c r="AT4" i="22" s="1"/>
  <c r="AP4" i="22" a="1"/>
  <c r="AP4" i="22" s="1"/>
  <c r="T5" i="22"/>
  <c r="U5" i="22" s="1"/>
  <c r="AF5" i="22"/>
  <c r="AG5" i="22" s="1"/>
  <c r="AH5" i="22" a="1"/>
  <c r="AH5" i="22" s="1"/>
  <c r="AJ5" i="22"/>
  <c r="AK5" i="22" s="1"/>
  <c r="AL5" i="22" a="1"/>
  <c r="AL5" i="22" s="1"/>
  <c r="AN5" i="22"/>
  <c r="AO5" i="22" s="1"/>
  <c r="AT5" i="22" s="1"/>
  <c r="AP5" i="22" a="1"/>
  <c r="AP5" i="22" s="1"/>
  <c r="AB6" i="22"/>
  <c r="AC6" i="22" s="1"/>
  <c r="AD6" i="22" a="1"/>
  <c r="AD6" i="22" s="1"/>
  <c r="AF6" i="22"/>
  <c r="AG6" i="22" s="1"/>
  <c r="AH6" i="22" a="1"/>
  <c r="AH6" i="22" s="1"/>
  <c r="AJ6" i="22"/>
  <c r="AK6" i="22" s="1"/>
  <c r="AL6" i="22" a="1"/>
  <c r="AL6" i="22" s="1"/>
  <c r="AN6" i="22"/>
  <c r="AP6" i="22" a="1"/>
  <c r="AP6" i="22" s="1"/>
  <c r="AB7" i="22"/>
  <c r="AC7" i="22" s="1"/>
  <c r="AD7" i="22" a="1"/>
  <c r="AD7" i="22" s="1"/>
  <c r="AF7" i="22"/>
  <c r="AG7" i="22" s="1"/>
  <c r="AH7" i="22" a="1"/>
  <c r="AH7" i="22" s="1"/>
  <c r="AJ7" i="22"/>
  <c r="AK7" i="22" s="1"/>
  <c r="AL7" i="22" a="1"/>
  <c r="AL7" i="22" s="1"/>
  <c r="AN7" i="22"/>
  <c r="AO7" i="22" s="1"/>
  <c r="AP7" i="22" a="1"/>
  <c r="AP7" i="22" s="1"/>
  <c r="AB8" i="22"/>
  <c r="AC8" i="22" s="1"/>
  <c r="AD8" i="22" a="1"/>
  <c r="AD8" i="22" s="1"/>
  <c r="AF8" i="22"/>
  <c r="AG8" i="22" s="1"/>
  <c r="AH8" i="22" a="1"/>
  <c r="AH8" i="22" s="1"/>
  <c r="AJ8" i="22"/>
  <c r="AK8" i="22" s="1"/>
  <c r="AL8" i="22" a="1"/>
  <c r="AL8" i="22" s="1"/>
  <c r="AN8" i="22"/>
  <c r="AP8" i="22" a="1"/>
  <c r="AP8" i="22" s="1"/>
  <c r="AB9" i="22"/>
  <c r="AC9" i="22" s="1"/>
  <c r="AD9" i="22" a="1"/>
  <c r="AD9" i="22" s="1"/>
  <c r="AF9" i="22"/>
  <c r="AG9" i="22" s="1"/>
  <c r="AH9" i="22" a="1"/>
  <c r="AH9" i="22" s="1"/>
  <c r="AJ9" i="22"/>
  <c r="AK9" i="22" s="1"/>
  <c r="AL9" i="22" a="1"/>
  <c r="AL9" i="22" s="1"/>
  <c r="AN9" i="22"/>
  <c r="AP9" i="22" a="1"/>
  <c r="AP9" i="22" s="1"/>
  <c r="AB10" i="22"/>
  <c r="AC10" i="22" s="1"/>
  <c r="AD10" i="22" a="1"/>
  <c r="AD10" i="22" s="1"/>
  <c r="AF10" i="22"/>
  <c r="AG10" i="22" s="1"/>
  <c r="AH10" i="22" a="1"/>
  <c r="AH10" i="22" s="1"/>
  <c r="AJ10" i="22"/>
  <c r="AK10" i="22" s="1"/>
  <c r="AL10" i="22" a="1"/>
  <c r="AL10" i="22" s="1"/>
  <c r="AN10" i="22"/>
  <c r="AO10" i="22" s="1"/>
  <c r="AP10" i="22" a="1"/>
  <c r="AP10" i="22" s="1"/>
  <c r="O11" i="22"/>
  <c r="P11" i="22" s="1"/>
  <c r="Q11" i="22" a="1"/>
  <c r="Q11" i="22" s="1"/>
  <c r="AB11" i="22"/>
  <c r="AC11" i="22" s="1"/>
  <c r="AD11" i="22" a="1"/>
  <c r="AD11" i="22" s="1"/>
  <c r="AF11" i="22"/>
  <c r="AG11" i="22" s="1"/>
  <c r="AH11" i="22" a="1"/>
  <c r="AH11" i="22" s="1"/>
  <c r="AJ11" i="22"/>
  <c r="AK11" i="22" s="1"/>
  <c r="AL11" i="22" a="1"/>
  <c r="AL11" i="22" s="1"/>
  <c r="AN11" i="22"/>
  <c r="AP11" i="22" a="1"/>
  <c r="AP11" i="22" s="1"/>
  <c r="AB12" i="22"/>
  <c r="AC12" i="22" s="1"/>
  <c r="AD12" i="22" a="1"/>
  <c r="AD12" i="22" s="1"/>
  <c r="AF12" i="22"/>
  <c r="AG12" i="22" s="1"/>
  <c r="AH12" i="22" a="1"/>
  <c r="AH12" i="22" s="1"/>
  <c r="AJ12" i="22"/>
  <c r="AK12" i="22" s="1"/>
  <c r="AL12" i="22" a="1"/>
  <c r="AL12" i="22" s="1"/>
  <c r="AN12" i="22"/>
  <c r="AO12" i="22" s="1"/>
  <c r="AT12" i="22" s="1"/>
  <c r="AP12" i="22" a="1"/>
  <c r="AP12" i="22" s="1"/>
  <c r="AB13" i="22"/>
  <c r="AC13" i="22" s="1"/>
  <c r="AD13" i="22" a="1"/>
  <c r="AD13" i="22" s="1"/>
  <c r="AF13" i="22"/>
  <c r="AG13" i="22" s="1"/>
  <c r="AH13" i="22" a="1"/>
  <c r="AH13" i="22" s="1"/>
  <c r="AJ13" i="22"/>
  <c r="AK13" i="22" s="1"/>
  <c r="AL13" i="22" a="1"/>
  <c r="AL13" i="22" s="1"/>
  <c r="AN13" i="22"/>
  <c r="AO13" i="22" s="1"/>
  <c r="AP13" i="22" a="1"/>
  <c r="AP13" i="22" s="1"/>
  <c r="X14" i="22"/>
  <c r="Y14" i="22" s="1"/>
  <c r="AB14" i="22"/>
  <c r="AC14" i="22" s="1"/>
  <c r="AD14" i="22" a="1"/>
  <c r="AD14" i="22" s="1"/>
  <c r="AF14" i="22"/>
  <c r="AG14" i="22" s="1"/>
  <c r="AH14" i="22" a="1"/>
  <c r="AH14" i="22" s="1"/>
  <c r="AJ14" i="22"/>
  <c r="AK14" i="22" s="1"/>
  <c r="AL14" i="22" a="1"/>
  <c r="AL14" i="22" s="1"/>
  <c r="AN14" i="22"/>
  <c r="AP14" i="22" a="1"/>
  <c r="AP14" i="22" s="1"/>
  <c r="AB15" i="22"/>
  <c r="AC15" i="22" s="1"/>
  <c r="AD15" i="22" a="1"/>
  <c r="AD15" i="22" s="1"/>
  <c r="AF15" i="22"/>
  <c r="AG15" i="22" s="1"/>
  <c r="AH15" i="22" a="1"/>
  <c r="AH15" i="22" s="1"/>
  <c r="AJ15" i="22"/>
  <c r="AK15" i="22" s="1"/>
  <c r="AL15" i="22" a="1"/>
  <c r="AL15" i="22" s="1"/>
  <c r="AN15" i="22"/>
  <c r="AP15" i="22" a="1"/>
  <c r="AP15" i="22" s="1"/>
  <c r="AS6" i="22" l="1"/>
  <c r="G25" i="25" s="1"/>
  <c r="H25" i="25" s="1"/>
  <c r="M24" i="4" s="1"/>
  <c r="N24" i="4" s="1"/>
  <c r="O24" i="4" s="1"/>
  <c r="AS14" i="22"/>
  <c r="G33" i="25" s="1"/>
  <c r="H33" i="25" s="1"/>
  <c r="M32" i="4" s="1"/>
  <c r="N32" i="4" s="1"/>
  <c r="O32" i="4" s="1"/>
  <c r="AT7" i="22"/>
  <c r="AS12" i="22"/>
  <c r="G31" i="25" s="1"/>
  <c r="H31" i="25" s="1"/>
  <c r="M30" i="4" s="1"/>
  <c r="N30" i="4" s="1"/>
  <c r="O30" i="4" s="1"/>
  <c r="AS15" i="22"/>
  <c r="G34" i="25" s="1"/>
  <c r="H34" i="25" s="1"/>
  <c r="M33" i="4" s="1"/>
  <c r="N33" i="4" s="1"/>
  <c r="O33" i="4" s="1"/>
  <c r="AT10" i="22"/>
  <c r="AT13" i="22"/>
  <c r="AS11" i="22"/>
  <c r="G30" i="25" s="1"/>
  <c r="H30" i="25" s="1"/>
  <c r="M29" i="4" s="1"/>
  <c r="N29" i="4" s="1"/>
  <c r="O29" i="4" s="1"/>
  <c r="AS7" i="22"/>
  <c r="G26" i="25" s="1"/>
  <c r="H26" i="25" s="1"/>
  <c r="M25" i="4" s="1"/>
  <c r="N25" i="4" s="1"/>
  <c r="O25" i="4" s="1"/>
  <c r="AO6" i="22"/>
  <c r="AT6" i="22" s="1"/>
  <c r="AS13" i="22"/>
  <c r="G32" i="25" s="1"/>
  <c r="H32" i="25" s="1"/>
  <c r="M31" i="4" s="1"/>
  <c r="N31" i="4" s="1"/>
  <c r="O31" i="4" s="1"/>
  <c r="AS5" i="22"/>
  <c r="G24" i="25" s="1"/>
  <c r="H24" i="25" s="1"/>
  <c r="M23" i="4" s="1"/>
  <c r="N23" i="4" s="1"/>
  <c r="O23" i="4" s="1"/>
  <c r="AO14" i="22"/>
  <c r="AT14" i="22" s="1"/>
  <c r="AS10" i="22"/>
  <c r="G29" i="25" s="1"/>
  <c r="H29" i="25" s="1"/>
  <c r="M28" i="4" s="1"/>
  <c r="N28" i="4" s="1"/>
  <c r="O28" i="4" s="1"/>
  <c r="AS4" i="22"/>
  <c r="G23" i="25" s="1"/>
  <c r="H23" i="25" s="1"/>
  <c r="M22" i="4" s="1"/>
  <c r="N22" i="4" s="1"/>
  <c r="O22" i="4" s="1"/>
  <c r="AO15" i="22"/>
  <c r="AT15" i="22" s="1"/>
  <c r="AO11" i="22"/>
  <c r="AT11" i="22" s="1"/>
  <c r="AS9" i="22"/>
  <c r="G28" i="25" s="1"/>
  <c r="H28" i="25" s="1"/>
  <c r="M27" i="4" s="1"/>
  <c r="N27" i="4" s="1"/>
  <c r="O27" i="4" s="1"/>
  <c r="AO9" i="22"/>
  <c r="AT9" i="22" s="1"/>
  <c r="AO8" i="22"/>
  <c r="AT8" i="22" s="1"/>
  <c r="AS8" i="22"/>
  <c r="G27" i="25" s="1"/>
  <c r="H27" i="25" s="1"/>
  <c r="M26" i="4" s="1"/>
  <c r="N26" i="4" s="1"/>
  <c r="O26" i="4" s="1"/>
  <c r="AD3" i="6"/>
  <c r="AG3" i="6"/>
  <c r="AD4" i="6"/>
  <c r="AG4" i="6"/>
  <c r="AD5" i="6"/>
  <c r="AG5" i="6"/>
  <c r="AD6" i="6"/>
  <c r="AG6" i="6"/>
  <c r="AD7" i="6"/>
  <c r="AG7" i="6"/>
  <c r="AD8" i="6"/>
  <c r="AG8" i="6"/>
  <c r="AD9" i="6"/>
  <c r="AG9" i="6"/>
  <c r="AD10" i="6"/>
  <c r="AG10" i="6"/>
  <c r="AD11" i="6"/>
  <c r="AG11" i="6"/>
  <c r="AD12" i="6"/>
  <c r="AG12" i="6"/>
  <c r="AD13" i="6"/>
  <c r="AG13" i="6"/>
  <c r="AD14" i="6"/>
  <c r="AG14" i="6"/>
  <c r="AD15" i="6"/>
  <c r="AG15" i="6"/>
  <c r="AD16" i="6"/>
  <c r="AG16" i="6"/>
  <c r="AD17" i="6"/>
  <c r="AG17" i="6"/>
  <c r="AD18" i="6"/>
  <c r="AG18" i="6"/>
  <c r="AD19" i="6"/>
  <c r="AG19" i="6"/>
  <c r="AD20" i="6"/>
  <c r="AG20" i="6"/>
  <c r="AD21" i="6"/>
  <c r="AG21" i="6"/>
  <c r="AD22" i="6"/>
  <c r="AG22" i="6"/>
  <c r="AD23" i="6"/>
  <c r="AG23" i="6"/>
  <c r="AD24" i="6"/>
  <c r="AG24" i="6"/>
  <c r="AD25" i="6"/>
  <c r="AG25" i="6"/>
  <c r="AD26" i="6"/>
  <c r="AG26" i="6"/>
  <c r="AD27" i="6"/>
  <c r="AG27" i="6"/>
  <c r="AD28" i="6"/>
  <c r="AG28" i="6"/>
  <c r="AD29" i="6"/>
  <c r="AG29" i="6"/>
  <c r="AD30" i="6"/>
  <c r="AG30" i="6"/>
  <c r="AD31" i="6"/>
  <c r="AG31" i="6"/>
  <c r="AD32" i="6"/>
  <c r="AG32" i="6"/>
  <c r="AD33" i="6"/>
  <c r="AG33" i="6"/>
  <c r="AD34" i="6"/>
  <c r="AG34" i="6"/>
  <c r="AD35" i="6"/>
  <c r="AG35" i="6"/>
  <c r="AD36" i="6"/>
  <c r="AG36" i="6"/>
  <c r="AD37" i="6"/>
  <c r="AG37" i="6"/>
  <c r="AD38" i="6"/>
  <c r="AG38" i="6"/>
  <c r="AD39" i="6"/>
  <c r="AG39" i="6"/>
  <c r="AD40" i="6"/>
  <c r="AG40" i="6"/>
  <c r="AD41" i="6"/>
  <c r="AG41" i="6"/>
  <c r="AD42" i="6"/>
  <c r="AG42" i="6"/>
  <c r="AD43" i="6"/>
  <c r="AG43" i="6"/>
  <c r="AD44" i="6"/>
  <c r="AG44" i="6"/>
  <c r="AD45" i="6"/>
  <c r="AG45" i="6"/>
  <c r="AD46" i="6"/>
  <c r="AG46" i="6"/>
  <c r="AD47" i="6"/>
  <c r="AG47" i="6"/>
  <c r="AD48" i="6"/>
  <c r="AG48" i="6"/>
  <c r="AD49" i="6"/>
  <c r="AG49" i="6"/>
  <c r="AD50" i="6"/>
  <c r="AG50" i="6"/>
  <c r="AD51" i="6"/>
  <c r="AG51" i="6"/>
  <c r="AD52" i="6"/>
  <c r="AG52" i="6"/>
  <c r="AD53" i="6"/>
  <c r="AG53" i="6"/>
  <c r="AD54" i="6"/>
  <c r="AG54" i="6"/>
  <c r="AD55" i="6"/>
  <c r="AG55" i="6"/>
  <c r="AD56" i="6"/>
  <c r="AG56" i="6"/>
  <c r="AD57" i="6"/>
  <c r="AG57" i="6"/>
  <c r="AD58" i="6"/>
  <c r="AG58" i="6"/>
  <c r="AD59" i="6"/>
  <c r="AG59" i="6"/>
  <c r="AD60" i="6"/>
  <c r="AG60" i="6"/>
  <c r="AD61" i="6"/>
  <c r="AG61" i="6"/>
  <c r="AD62" i="6"/>
  <c r="AG62" i="6"/>
  <c r="AD63" i="6"/>
  <c r="AG63" i="6"/>
  <c r="AD64" i="6"/>
  <c r="AG64" i="6"/>
  <c r="AD65" i="6"/>
  <c r="AG65" i="6"/>
  <c r="AD66" i="6"/>
  <c r="AG66" i="6"/>
  <c r="AD67" i="6"/>
  <c r="AG67" i="6"/>
  <c r="AD68" i="6"/>
  <c r="AG68" i="6"/>
  <c r="AD69" i="6"/>
  <c r="AG69" i="6"/>
  <c r="AD70" i="6"/>
  <c r="AG70" i="6"/>
  <c r="AD71" i="6"/>
  <c r="AG71" i="6"/>
  <c r="AD72" i="6"/>
  <c r="AG72" i="6"/>
  <c r="AD73" i="6"/>
  <c r="AG73" i="6"/>
  <c r="AD74" i="6"/>
  <c r="AG74" i="6"/>
  <c r="AD75" i="6"/>
  <c r="AG75" i="6"/>
  <c r="AD76" i="6"/>
  <c r="AG76" i="6"/>
  <c r="AD77" i="6"/>
  <c r="AG77" i="6"/>
  <c r="AD78" i="6"/>
  <c r="AG78" i="6"/>
  <c r="AD79" i="6"/>
  <c r="AG79" i="6"/>
  <c r="AD80" i="6"/>
  <c r="AG80" i="6"/>
  <c r="AD81" i="6"/>
  <c r="AG81" i="6"/>
  <c r="AD82" i="6"/>
  <c r="AG82" i="6"/>
  <c r="AD83" i="6"/>
  <c r="AG83" i="6"/>
  <c r="AD84" i="6"/>
  <c r="AG84" i="6"/>
  <c r="AD85" i="6"/>
  <c r="AG85" i="6"/>
  <c r="AD86" i="6"/>
  <c r="AG86" i="6"/>
  <c r="AD87" i="6"/>
  <c r="AG87" i="6"/>
  <c r="AD88" i="6"/>
  <c r="AG88" i="6"/>
  <c r="AD89" i="6"/>
  <c r="AG89" i="6"/>
  <c r="AD90" i="6"/>
  <c r="AG90" i="6"/>
  <c r="AD91" i="6"/>
  <c r="AG91" i="6"/>
  <c r="AD92" i="6"/>
  <c r="AG92" i="6"/>
  <c r="AD93" i="6"/>
  <c r="AG93" i="6"/>
  <c r="AD94" i="6"/>
  <c r="AG94" i="6"/>
  <c r="AD95" i="6"/>
  <c r="AG95" i="6"/>
  <c r="AD96" i="6"/>
  <c r="AG96" i="6"/>
  <c r="AD97" i="6"/>
  <c r="AG97" i="6"/>
  <c r="AD98" i="6"/>
  <c r="AG98" i="6"/>
  <c r="AD99" i="6"/>
  <c r="AG99" i="6"/>
  <c r="AD100" i="6"/>
  <c r="AG100" i="6"/>
  <c r="AD101" i="6"/>
  <c r="AG101" i="6"/>
  <c r="AD102" i="6"/>
  <c r="AG102" i="6"/>
  <c r="AD103" i="6"/>
  <c r="AG103" i="6"/>
  <c r="AD104" i="6"/>
  <c r="AG104" i="6"/>
  <c r="AD105" i="6"/>
  <c r="AG105" i="6"/>
  <c r="AD106" i="6"/>
  <c r="AG106" i="6"/>
  <c r="AD107" i="6"/>
  <c r="AG107" i="6"/>
  <c r="AD108" i="6"/>
  <c r="AG108" i="6"/>
  <c r="AD109" i="6"/>
  <c r="AG109" i="6"/>
  <c r="AD110" i="6"/>
  <c r="AG110" i="6"/>
  <c r="AD111" i="6"/>
  <c r="AG111" i="6"/>
  <c r="AD112" i="6"/>
  <c r="AG112" i="6"/>
  <c r="AD113" i="6"/>
  <c r="AG113" i="6"/>
  <c r="AD114" i="6"/>
  <c r="AG114" i="6"/>
  <c r="AD115" i="6"/>
  <c r="AG115" i="6"/>
  <c r="AD116" i="6"/>
  <c r="AG116" i="6"/>
  <c r="AD117" i="6"/>
  <c r="AG117" i="6"/>
  <c r="AD118" i="6"/>
  <c r="AG118" i="6"/>
  <c r="AD119" i="6"/>
  <c r="AG119" i="6"/>
  <c r="AD120" i="6"/>
  <c r="AG120" i="6"/>
  <c r="AD121" i="6"/>
  <c r="AG121" i="6"/>
  <c r="AD122" i="6"/>
  <c r="AG122" i="6"/>
  <c r="AD123" i="6"/>
  <c r="AG123" i="6"/>
  <c r="AD124" i="6"/>
  <c r="AG124" i="6"/>
  <c r="AD125" i="6"/>
  <c r="AG125" i="6"/>
  <c r="AD126" i="6"/>
  <c r="AG126" i="6"/>
  <c r="AD127" i="6"/>
  <c r="AG127" i="6"/>
  <c r="AD128" i="6"/>
  <c r="AG128" i="6"/>
  <c r="AD129" i="6"/>
  <c r="AG129" i="6"/>
  <c r="AD130" i="6"/>
  <c r="AG130" i="6"/>
  <c r="AD131" i="6"/>
  <c r="AG131" i="6"/>
  <c r="AD132" i="6"/>
  <c r="AG132" i="6"/>
  <c r="AD133" i="6"/>
  <c r="AG133" i="6"/>
  <c r="AD134" i="6"/>
  <c r="AG134" i="6"/>
  <c r="AD135" i="6"/>
  <c r="AG135" i="6"/>
  <c r="AD136" i="6"/>
  <c r="AG136" i="6"/>
  <c r="AD137" i="6"/>
  <c r="AG137" i="6"/>
  <c r="AD138" i="6"/>
  <c r="AG138" i="6"/>
  <c r="AD139" i="6"/>
  <c r="AG139" i="6"/>
  <c r="AD140" i="6"/>
  <c r="AG140" i="6"/>
  <c r="AD141" i="6"/>
  <c r="AG141" i="6"/>
  <c r="AD142" i="6"/>
  <c r="AG142" i="6"/>
  <c r="AD143" i="6"/>
  <c r="AG143" i="6"/>
  <c r="AD144" i="6"/>
  <c r="AG144" i="6"/>
  <c r="AD145" i="6"/>
  <c r="AG145" i="6"/>
  <c r="AD146" i="6"/>
  <c r="AG146" i="6"/>
  <c r="AD147" i="6"/>
  <c r="AG147" i="6"/>
  <c r="AD148" i="6"/>
  <c r="AG148" i="6"/>
  <c r="AD149" i="6"/>
  <c r="AG149" i="6"/>
  <c r="AD150" i="6"/>
  <c r="AG150" i="6"/>
  <c r="AD151" i="6"/>
  <c r="AG151" i="6"/>
  <c r="AD152" i="6"/>
  <c r="AG152" i="6"/>
  <c r="AD153" i="6"/>
  <c r="AG153" i="6"/>
  <c r="AD154" i="6"/>
  <c r="AG154" i="6"/>
  <c r="AD155" i="6"/>
  <c r="AG155" i="6"/>
  <c r="AD156" i="6"/>
  <c r="AG156" i="6"/>
  <c r="AD157" i="6"/>
  <c r="AG157" i="6"/>
  <c r="AD158" i="6"/>
  <c r="AG158" i="6"/>
  <c r="AD159" i="6"/>
  <c r="AG159" i="6"/>
  <c r="AD160" i="6"/>
  <c r="AG160" i="6"/>
  <c r="AD161" i="6"/>
  <c r="AG161" i="6"/>
  <c r="AD162" i="6"/>
  <c r="AG162" i="6"/>
  <c r="AD163" i="6"/>
  <c r="AG163" i="6"/>
  <c r="AD164" i="6"/>
  <c r="AG164" i="6"/>
  <c r="AD165" i="6"/>
  <c r="AG165" i="6"/>
  <c r="AD166" i="6"/>
  <c r="AG166" i="6"/>
  <c r="AD167" i="6"/>
  <c r="AG167" i="6"/>
  <c r="AD168" i="6"/>
  <c r="AG168" i="6"/>
  <c r="AD169" i="6"/>
  <c r="AG169" i="6"/>
  <c r="AD170" i="6"/>
  <c r="AG170" i="6"/>
  <c r="AD171" i="6"/>
  <c r="AG171" i="6"/>
  <c r="AD172" i="6"/>
  <c r="AG172" i="6"/>
  <c r="AD173" i="6"/>
  <c r="AG173" i="6"/>
  <c r="AD174" i="6"/>
  <c r="AG174" i="6"/>
  <c r="AD175" i="6"/>
  <c r="AG175" i="6"/>
  <c r="AD176" i="6"/>
  <c r="AG176" i="6"/>
  <c r="AD177" i="6"/>
  <c r="AG177" i="6"/>
  <c r="AD178" i="6"/>
  <c r="AG178" i="6"/>
  <c r="AD179" i="6"/>
  <c r="AG179" i="6"/>
  <c r="AD180" i="6"/>
  <c r="AG180" i="6"/>
  <c r="AD181" i="6"/>
  <c r="AG181" i="6"/>
  <c r="AD182" i="6"/>
  <c r="AG182" i="6"/>
  <c r="AD183" i="6"/>
  <c r="AG183" i="6"/>
  <c r="AD184" i="6"/>
  <c r="AG184" i="6"/>
  <c r="AD185" i="6"/>
  <c r="AG185" i="6"/>
  <c r="AD186" i="6"/>
  <c r="AG186" i="6"/>
  <c r="AD187" i="6"/>
  <c r="AG187" i="6"/>
  <c r="AD188" i="6"/>
  <c r="AG188" i="6"/>
  <c r="AD189" i="6"/>
  <c r="AG189" i="6"/>
  <c r="AD190" i="6"/>
  <c r="AG190" i="6"/>
  <c r="AD191" i="6"/>
  <c r="AG191" i="6"/>
  <c r="AD192" i="6"/>
  <c r="AG192" i="6"/>
  <c r="AD193" i="6"/>
  <c r="AG193" i="6"/>
  <c r="AD194" i="6"/>
  <c r="AG194" i="6"/>
  <c r="AD195" i="6"/>
  <c r="AG195" i="6"/>
  <c r="AD196" i="6"/>
  <c r="AG196" i="6"/>
  <c r="AD197" i="6"/>
  <c r="AG197" i="6"/>
  <c r="AD198" i="6"/>
  <c r="AG198" i="6"/>
  <c r="AD199" i="6"/>
  <c r="AG199" i="6"/>
  <c r="AD200" i="6"/>
  <c r="AG200" i="6"/>
  <c r="AD201" i="6"/>
  <c r="AG201" i="6"/>
  <c r="AD202" i="6"/>
  <c r="AG202" i="6"/>
  <c r="AD203" i="6"/>
  <c r="AG203" i="6"/>
  <c r="AD204" i="6"/>
  <c r="AG204" i="6"/>
  <c r="AD205" i="6"/>
  <c r="AG205" i="6"/>
  <c r="AD206" i="6"/>
  <c r="AG206" i="6"/>
  <c r="AD207" i="6"/>
  <c r="AG207" i="6"/>
  <c r="AD208" i="6"/>
  <c r="AG208" i="6"/>
  <c r="AD209" i="6"/>
  <c r="AG209" i="6"/>
  <c r="AD210" i="6"/>
  <c r="AG210" i="6"/>
  <c r="AD211" i="6"/>
  <c r="AG211" i="6"/>
  <c r="AD212" i="6"/>
  <c r="AG212" i="6"/>
  <c r="AD213" i="6"/>
  <c r="AG213" i="6"/>
  <c r="AD214" i="6"/>
  <c r="AG214" i="6"/>
  <c r="AD215" i="6"/>
  <c r="AG215" i="6"/>
  <c r="AD216" i="6"/>
  <c r="AG216" i="6"/>
  <c r="AD217" i="6"/>
  <c r="AG217" i="6"/>
  <c r="AD218" i="6"/>
  <c r="AG218" i="6"/>
  <c r="AD219" i="6"/>
  <c r="AG219" i="6"/>
  <c r="AD220" i="6"/>
  <c r="AG220" i="6"/>
  <c r="AD221" i="6"/>
  <c r="AG221" i="6"/>
  <c r="AD222" i="6"/>
  <c r="AG222" i="6"/>
  <c r="AD223" i="6"/>
  <c r="AG223" i="6"/>
  <c r="AD224" i="6"/>
  <c r="AG224" i="6"/>
  <c r="AD225" i="6"/>
  <c r="AG225" i="6"/>
  <c r="AD226" i="6"/>
  <c r="AG226" i="6"/>
  <c r="AD227" i="6"/>
  <c r="AG227" i="6"/>
  <c r="AD228" i="6"/>
  <c r="AG228" i="6"/>
  <c r="AD229" i="6"/>
  <c r="AG229" i="6"/>
  <c r="AD230" i="6"/>
  <c r="AG230" i="6"/>
  <c r="AD231" i="6"/>
  <c r="AG231" i="6"/>
  <c r="AD232" i="6"/>
  <c r="AG232" i="6"/>
  <c r="AD233" i="6"/>
  <c r="AG233" i="6"/>
  <c r="AD234" i="6"/>
  <c r="AG234" i="6"/>
  <c r="AD235" i="6"/>
  <c r="AG235" i="6"/>
  <c r="AD236" i="6"/>
  <c r="AG236" i="6"/>
  <c r="AD237" i="6"/>
  <c r="AG237" i="6"/>
  <c r="AD238" i="6"/>
  <c r="AG238" i="6"/>
  <c r="AD239" i="6"/>
  <c r="AG239" i="6"/>
  <c r="AD240" i="6"/>
  <c r="AG240" i="6"/>
  <c r="AD241" i="6"/>
  <c r="AG241" i="6"/>
  <c r="AD242" i="6"/>
  <c r="AG242" i="6"/>
  <c r="D27" i="19"/>
  <c r="G6" i="25"/>
  <c r="H6" i="25"/>
  <c r="G10" i="25"/>
  <c r="H10" i="25"/>
  <c r="G11" i="25"/>
  <c r="H11" i="25"/>
  <c r="G22" i="25"/>
  <c r="H22" i="25"/>
  <c r="M5" i="4"/>
  <c r="N5" i="4"/>
  <c r="O5" i="4"/>
  <c r="M9" i="4"/>
  <c r="N9" i="4"/>
  <c r="O9" i="4"/>
  <c r="M10" i="4"/>
  <c r="N10" i="4"/>
  <c r="O10" i="4"/>
  <c r="M21" i="4"/>
  <c r="N21" i="4"/>
  <c r="O21" i="4"/>
  <c r="B32" i="17"/>
  <c r="B33" i="17"/>
  <c r="B34" i="17"/>
  <c r="B35" i="17"/>
  <c r="B36" i="17"/>
  <c r="Q2" i="16"/>
  <c r="R2" i="16"/>
  <c r="U2" i="16"/>
  <c r="V2" i="16"/>
  <c r="W2" i="16"/>
  <c r="X2" i="16"/>
  <c r="Q3" i="16"/>
  <c r="R3" i="16"/>
  <c r="U3" i="16"/>
  <c r="V3" i="16"/>
  <c r="W3" i="16"/>
  <c r="X3" i="16"/>
  <c r="Q4" i="16"/>
  <c r="R4" i="16"/>
  <c r="U4" i="16"/>
  <c r="V4" i="16"/>
  <c r="W4" i="16"/>
  <c r="X4" i="16"/>
  <c r="P2" i="18"/>
  <c r="Q2" i="18"/>
  <c r="R2" i="18"/>
  <c r="S2" i="18"/>
  <c r="T2" i="18"/>
  <c r="V5" i="22"/>
  <c r="Z14" i="22"/>
  <c r="Y3" i="6"/>
  <c r="AB3" i="6"/>
  <c r="AC3" i="6"/>
  <c r="AE3" i="6"/>
  <c r="AF3" i="6"/>
  <c r="AH3" i="6"/>
  <c r="Y4" i="6"/>
  <c r="AB4" i="6"/>
  <c r="AC4" i="6"/>
  <c r="AE4" i="6"/>
  <c r="AF4" i="6"/>
  <c r="AH4" i="6"/>
  <c r="Y5" i="6"/>
  <c r="AB5" i="6"/>
  <c r="AC5" i="6"/>
  <c r="AE5" i="6"/>
  <c r="AF5" i="6"/>
  <c r="AH5" i="6"/>
  <c r="Y6" i="6"/>
  <c r="Z6" i="6"/>
  <c r="AA6" i="6"/>
  <c r="AB6" i="6"/>
  <c r="AC6" i="6"/>
  <c r="AE6" i="6"/>
  <c r="AF6" i="6"/>
  <c r="AH6" i="6"/>
  <c r="Y7" i="6"/>
  <c r="Z7" i="6"/>
  <c r="AA7" i="6"/>
  <c r="AB7" i="6"/>
  <c r="AC7" i="6"/>
  <c r="AE7" i="6"/>
  <c r="AF7" i="6"/>
  <c r="AH7" i="6"/>
  <c r="Y8" i="6"/>
  <c r="Z8" i="6"/>
  <c r="AA8" i="6"/>
  <c r="AB8" i="6"/>
  <c r="AC8" i="6"/>
  <c r="AE8" i="6"/>
  <c r="AF8" i="6"/>
  <c r="AH8" i="6"/>
  <c r="Y9" i="6"/>
  <c r="Z9" i="6"/>
  <c r="AA9" i="6"/>
  <c r="AB9" i="6"/>
  <c r="AC9" i="6"/>
  <c r="AE9" i="6"/>
  <c r="AF9" i="6"/>
  <c r="AH9" i="6"/>
  <c r="Y10" i="6"/>
  <c r="Z10" i="6"/>
  <c r="AA10" i="6"/>
  <c r="AB10" i="6"/>
  <c r="AC10" i="6"/>
  <c r="AE10" i="6"/>
  <c r="AF10" i="6"/>
  <c r="AH10" i="6"/>
  <c r="Y11" i="6"/>
  <c r="Z11" i="6"/>
  <c r="AA11" i="6"/>
  <c r="AB11" i="6"/>
  <c r="AC11" i="6"/>
  <c r="AE11" i="6"/>
  <c r="AF11" i="6"/>
  <c r="AH11" i="6"/>
  <c r="Y12" i="6"/>
  <c r="Z12" i="6"/>
  <c r="AA12" i="6"/>
  <c r="AB12" i="6"/>
  <c r="AC12" i="6"/>
  <c r="AE12" i="6"/>
  <c r="AF12" i="6"/>
  <c r="AH12" i="6"/>
  <c r="Y13" i="6"/>
  <c r="Z13" i="6"/>
  <c r="AA13" i="6"/>
  <c r="AB13" i="6"/>
  <c r="AC13" i="6"/>
  <c r="AE13" i="6"/>
  <c r="AF13" i="6"/>
  <c r="AH13" i="6"/>
  <c r="Y14" i="6"/>
  <c r="Z14" i="6"/>
  <c r="AA14" i="6"/>
  <c r="AB14" i="6"/>
  <c r="AC14" i="6"/>
  <c r="AE14" i="6"/>
  <c r="AF14" i="6"/>
  <c r="AH14" i="6"/>
  <c r="Y15" i="6"/>
  <c r="Z15" i="6"/>
  <c r="AA15" i="6"/>
  <c r="AB15" i="6"/>
  <c r="AC15" i="6"/>
  <c r="AE15" i="6"/>
  <c r="AF15" i="6"/>
  <c r="AH15" i="6"/>
  <c r="Y16" i="6"/>
  <c r="Z16" i="6"/>
  <c r="AA16" i="6"/>
  <c r="AB16" i="6"/>
  <c r="AC16" i="6"/>
  <c r="AE16" i="6"/>
  <c r="AF16" i="6"/>
  <c r="AH16" i="6"/>
  <c r="Y17" i="6"/>
  <c r="Z17" i="6"/>
  <c r="AA17" i="6"/>
  <c r="AB17" i="6"/>
  <c r="AC17" i="6"/>
  <c r="AE17" i="6"/>
  <c r="AF17" i="6"/>
  <c r="AH17" i="6"/>
  <c r="Y18" i="6"/>
  <c r="Z18" i="6"/>
  <c r="AA18" i="6"/>
  <c r="AB18" i="6"/>
  <c r="AC18" i="6"/>
  <c r="AE18" i="6"/>
  <c r="AF18" i="6"/>
  <c r="AH18" i="6"/>
  <c r="Y19" i="6"/>
  <c r="Z19" i="6"/>
  <c r="AA19" i="6"/>
  <c r="AB19" i="6"/>
  <c r="AC19" i="6"/>
  <c r="AE19" i="6"/>
  <c r="AF19" i="6"/>
  <c r="AH19" i="6"/>
  <c r="Y20" i="6"/>
  <c r="Z20" i="6"/>
  <c r="AA20" i="6"/>
  <c r="AB20" i="6"/>
  <c r="AC20" i="6"/>
  <c r="AE20" i="6"/>
  <c r="AF20" i="6"/>
  <c r="AH20" i="6"/>
  <c r="Y21" i="6"/>
  <c r="Z21" i="6"/>
  <c r="AA21" i="6"/>
  <c r="AB21" i="6"/>
  <c r="AC21" i="6"/>
  <c r="AE21" i="6"/>
  <c r="AF21" i="6"/>
  <c r="AH21" i="6"/>
  <c r="Y22" i="6"/>
  <c r="Z22" i="6"/>
  <c r="AA22" i="6"/>
  <c r="AB22" i="6"/>
  <c r="AC22" i="6"/>
  <c r="AE22" i="6"/>
  <c r="AF22" i="6"/>
  <c r="AH22" i="6"/>
  <c r="Y23" i="6"/>
  <c r="Z23" i="6"/>
  <c r="AA23" i="6"/>
  <c r="AB23" i="6"/>
  <c r="AC23" i="6"/>
  <c r="AE23" i="6"/>
  <c r="AF23" i="6"/>
  <c r="AH23" i="6"/>
  <c r="Y24" i="6"/>
  <c r="Z24" i="6"/>
  <c r="AA24" i="6"/>
  <c r="AB24" i="6"/>
  <c r="AC24" i="6"/>
  <c r="AE24" i="6"/>
  <c r="AF24" i="6"/>
  <c r="AH24" i="6"/>
  <c r="Y25" i="6"/>
  <c r="Z25" i="6"/>
  <c r="AA25" i="6"/>
  <c r="AB25" i="6"/>
  <c r="AC25" i="6"/>
  <c r="AE25" i="6"/>
  <c r="AF25" i="6"/>
  <c r="AH25" i="6"/>
  <c r="Y26" i="6"/>
  <c r="Z26" i="6"/>
  <c r="AA26" i="6"/>
  <c r="AB26" i="6"/>
  <c r="AC26" i="6"/>
  <c r="AE26" i="6"/>
  <c r="AF26" i="6"/>
  <c r="AH26" i="6"/>
  <c r="Y27" i="6"/>
  <c r="Z27" i="6"/>
  <c r="AA27" i="6"/>
  <c r="AB27" i="6"/>
  <c r="AC27" i="6"/>
  <c r="AE27" i="6"/>
  <c r="AF27" i="6"/>
  <c r="AH27" i="6"/>
  <c r="Y28" i="6"/>
  <c r="Z28" i="6"/>
  <c r="AA28" i="6"/>
  <c r="AB28" i="6"/>
  <c r="AC28" i="6"/>
  <c r="AE28" i="6"/>
  <c r="AF28" i="6"/>
  <c r="AH28" i="6"/>
  <c r="Y29" i="6"/>
  <c r="Z29" i="6"/>
  <c r="AA29" i="6"/>
  <c r="AB29" i="6"/>
  <c r="AC29" i="6"/>
  <c r="AE29" i="6"/>
  <c r="AF29" i="6"/>
  <c r="AH29" i="6"/>
  <c r="Y30" i="6"/>
  <c r="Z30" i="6"/>
  <c r="AA30" i="6"/>
  <c r="AB30" i="6"/>
  <c r="AC30" i="6"/>
  <c r="AE30" i="6"/>
  <c r="AF30" i="6"/>
  <c r="AH30" i="6"/>
  <c r="Y31" i="6"/>
  <c r="Z31" i="6"/>
  <c r="AA31" i="6"/>
  <c r="AB31" i="6"/>
  <c r="AC31" i="6"/>
  <c r="AE31" i="6"/>
  <c r="AF31" i="6"/>
  <c r="AH31" i="6"/>
  <c r="Y32" i="6"/>
  <c r="Z32" i="6"/>
  <c r="AA32" i="6"/>
  <c r="AB32" i="6"/>
  <c r="AC32" i="6"/>
  <c r="AE32" i="6"/>
  <c r="AF32" i="6"/>
  <c r="AH32" i="6"/>
  <c r="Y33" i="6"/>
  <c r="AB33" i="6"/>
  <c r="AC33" i="6"/>
  <c r="AE33" i="6"/>
  <c r="AF33" i="6"/>
  <c r="AH33" i="6"/>
  <c r="Y34" i="6"/>
  <c r="AB34" i="6"/>
  <c r="AC34" i="6"/>
  <c r="AE34" i="6"/>
  <c r="AF34" i="6"/>
  <c r="AH34" i="6"/>
  <c r="Y35" i="6"/>
  <c r="AB35" i="6"/>
  <c r="AC35" i="6"/>
  <c r="AE35" i="6"/>
  <c r="AF35" i="6"/>
  <c r="AH35" i="6"/>
  <c r="Y36" i="6"/>
  <c r="Z36" i="6"/>
  <c r="AA36" i="6"/>
  <c r="AB36" i="6"/>
  <c r="AC36" i="6"/>
  <c r="AE36" i="6"/>
  <c r="AF36" i="6"/>
  <c r="AH36" i="6"/>
  <c r="Y37" i="6"/>
  <c r="Z37" i="6"/>
  <c r="AA37" i="6"/>
  <c r="AB37" i="6"/>
  <c r="AC37" i="6"/>
  <c r="AE37" i="6"/>
  <c r="AF37" i="6"/>
  <c r="AH37" i="6"/>
  <c r="Y38" i="6"/>
  <c r="Z38" i="6"/>
  <c r="AA38" i="6"/>
  <c r="AB38" i="6"/>
  <c r="AC38" i="6"/>
  <c r="AE38" i="6"/>
  <c r="AF38" i="6"/>
  <c r="AH38" i="6"/>
  <c r="Y39" i="6"/>
  <c r="Z39" i="6"/>
  <c r="AA39" i="6"/>
  <c r="AB39" i="6"/>
  <c r="AC39" i="6"/>
  <c r="AE39" i="6"/>
  <c r="AF39" i="6"/>
  <c r="AH39" i="6"/>
  <c r="Y40" i="6"/>
  <c r="Z40" i="6"/>
  <c r="AA40" i="6"/>
  <c r="AB40" i="6"/>
  <c r="AC40" i="6"/>
  <c r="AE40" i="6"/>
  <c r="AF40" i="6"/>
  <c r="AH40" i="6"/>
  <c r="Y41" i="6"/>
  <c r="Z41" i="6"/>
  <c r="AA41" i="6"/>
  <c r="AB41" i="6"/>
  <c r="AC41" i="6"/>
  <c r="AE41" i="6"/>
  <c r="AF41" i="6"/>
  <c r="AH41" i="6"/>
  <c r="Y42" i="6"/>
  <c r="Z42" i="6"/>
  <c r="AA42" i="6"/>
  <c r="AB42" i="6"/>
  <c r="AC42" i="6"/>
  <c r="AE42" i="6"/>
  <c r="AF42" i="6"/>
  <c r="AH42" i="6"/>
  <c r="Y43" i="6"/>
  <c r="Z43" i="6"/>
  <c r="AA43" i="6"/>
  <c r="AB43" i="6"/>
  <c r="AC43" i="6"/>
  <c r="AE43" i="6"/>
  <c r="AF43" i="6"/>
  <c r="AH43" i="6"/>
  <c r="Y44" i="6"/>
  <c r="Z44" i="6"/>
  <c r="AA44" i="6"/>
  <c r="AB44" i="6"/>
  <c r="AC44" i="6"/>
  <c r="AE44" i="6"/>
  <c r="AF44" i="6"/>
  <c r="AH44" i="6"/>
  <c r="Y45" i="6"/>
  <c r="Z45" i="6"/>
  <c r="AA45" i="6"/>
  <c r="AB45" i="6"/>
  <c r="AC45" i="6"/>
  <c r="AE45" i="6"/>
  <c r="AF45" i="6"/>
  <c r="AH45" i="6"/>
  <c r="Y46" i="6"/>
  <c r="Z46" i="6"/>
  <c r="AA46" i="6"/>
  <c r="AB46" i="6"/>
  <c r="AC46" i="6"/>
  <c r="AE46" i="6"/>
  <c r="AF46" i="6"/>
  <c r="AH46" i="6"/>
  <c r="Y47" i="6"/>
  <c r="Z47" i="6"/>
  <c r="AA47" i="6"/>
  <c r="AB47" i="6"/>
  <c r="AC47" i="6"/>
  <c r="AE47" i="6"/>
  <c r="AF47" i="6"/>
  <c r="AH47" i="6"/>
  <c r="Y48" i="6"/>
  <c r="Z48" i="6"/>
  <c r="AA48" i="6"/>
  <c r="AB48" i="6"/>
  <c r="AC48" i="6"/>
  <c r="AE48" i="6"/>
  <c r="AF48" i="6"/>
  <c r="AH48" i="6"/>
  <c r="Y49" i="6"/>
  <c r="Z49" i="6"/>
  <c r="AA49" i="6"/>
  <c r="AB49" i="6"/>
  <c r="AC49" i="6"/>
  <c r="AE49" i="6"/>
  <c r="AF49" i="6"/>
  <c r="AH49" i="6"/>
  <c r="Y50" i="6"/>
  <c r="Z50" i="6"/>
  <c r="AA50" i="6"/>
  <c r="AB50" i="6"/>
  <c r="AC50" i="6"/>
  <c r="AE50" i="6"/>
  <c r="AF50" i="6"/>
  <c r="AH50" i="6"/>
  <c r="Y51" i="6"/>
  <c r="Z51" i="6"/>
  <c r="AA51" i="6"/>
  <c r="AB51" i="6"/>
  <c r="AC51" i="6"/>
  <c r="AE51" i="6"/>
  <c r="AF51" i="6"/>
  <c r="AH51" i="6"/>
  <c r="Y52" i="6"/>
  <c r="Z52" i="6"/>
  <c r="AA52" i="6"/>
  <c r="AB52" i="6"/>
  <c r="AC52" i="6"/>
  <c r="AE52" i="6"/>
  <c r="AF52" i="6"/>
  <c r="AH52" i="6"/>
  <c r="Y53" i="6"/>
  <c r="Z53" i="6"/>
  <c r="AA53" i="6"/>
  <c r="AB53" i="6"/>
  <c r="AC53" i="6"/>
  <c r="AE53" i="6"/>
  <c r="AF53" i="6"/>
  <c r="AH53" i="6"/>
  <c r="Y54" i="6"/>
  <c r="Z54" i="6"/>
  <c r="AA54" i="6"/>
  <c r="AB54" i="6"/>
  <c r="AC54" i="6"/>
  <c r="AE54" i="6"/>
  <c r="AF54" i="6"/>
  <c r="AH54" i="6"/>
  <c r="Y55" i="6"/>
  <c r="Z55" i="6"/>
  <c r="AA55" i="6"/>
  <c r="AB55" i="6"/>
  <c r="AC55" i="6"/>
  <c r="AE55" i="6"/>
  <c r="AF55" i="6"/>
  <c r="AH55" i="6"/>
  <c r="Y56" i="6"/>
  <c r="Z56" i="6"/>
  <c r="AA56" i="6"/>
  <c r="AB56" i="6"/>
  <c r="AC56" i="6"/>
  <c r="AE56" i="6"/>
  <c r="AF56" i="6"/>
  <c r="AH56" i="6"/>
  <c r="Y57" i="6"/>
  <c r="Z57" i="6"/>
  <c r="AA57" i="6"/>
  <c r="AB57" i="6"/>
  <c r="AC57" i="6"/>
  <c r="AE57" i="6"/>
  <c r="AF57" i="6"/>
  <c r="AH57" i="6"/>
  <c r="Y58" i="6"/>
  <c r="Z58" i="6"/>
  <c r="AA58" i="6"/>
  <c r="AB58" i="6"/>
  <c r="AC58" i="6"/>
  <c r="AE58" i="6"/>
  <c r="AF58" i="6"/>
  <c r="AH58" i="6"/>
  <c r="Y59" i="6"/>
  <c r="Z59" i="6"/>
  <c r="AA59" i="6"/>
  <c r="AB59" i="6"/>
  <c r="AC59" i="6"/>
  <c r="AE59" i="6"/>
  <c r="AF59" i="6"/>
  <c r="AH59" i="6"/>
  <c r="Y60" i="6"/>
  <c r="Z60" i="6"/>
  <c r="AA60" i="6"/>
  <c r="AB60" i="6"/>
  <c r="AC60" i="6"/>
  <c r="AE60" i="6"/>
  <c r="AF60" i="6"/>
  <c r="AH60" i="6"/>
  <c r="Y61" i="6"/>
  <c r="Z61" i="6"/>
  <c r="AA61" i="6"/>
  <c r="AB61" i="6"/>
  <c r="AC61" i="6"/>
  <c r="AE61" i="6"/>
  <c r="AF61" i="6"/>
  <c r="AH61" i="6"/>
  <c r="Y62" i="6"/>
  <c r="Z62" i="6"/>
  <c r="AA62" i="6"/>
  <c r="AB62" i="6"/>
  <c r="AC62" i="6"/>
  <c r="AE62" i="6"/>
  <c r="AF62" i="6"/>
  <c r="AH62" i="6"/>
  <c r="Y63" i="6"/>
  <c r="AB63" i="6"/>
  <c r="AC63" i="6"/>
  <c r="AE63" i="6"/>
  <c r="AF63" i="6"/>
  <c r="AH63" i="6"/>
  <c r="Y64" i="6"/>
  <c r="AB64" i="6"/>
  <c r="AC64" i="6"/>
  <c r="AE64" i="6"/>
  <c r="AF64" i="6"/>
  <c r="AH64" i="6"/>
  <c r="Y65" i="6"/>
  <c r="AB65" i="6"/>
  <c r="AC65" i="6"/>
  <c r="AE65" i="6"/>
  <c r="AF65" i="6"/>
  <c r="AH65" i="6"/>
  <c r="Y66" i="6"/>
  <c r="Z66" i="6"/>
  <c r="AA66" i="6"/>
  <c r="AB66" i="6"/>
  <c r="AC66" i="6"/>
  <c r="AE66" i="6"/>
  <c r="AF66" i="6"/>
  <c r="AH66" i="6"/>
  <c r="Y67" i="6"/>
  <c r="Z67" i="6"/>
  <c r="AA67" i="6"/>
  <c r="AB67" i="6"/>
  <c r="AC67" i="6"/>
  <c r="AE67" i="6"/>
  <c r="AF67" i="6"/>
  <c r="AH67" i="6"/>
  <c r="Y68" i="6"/>
  <c r="Z68" i="6"/>
  <c r="AA68" i="6"/>
  <c r="AB68" i="6"/>
  <c r="AC68" i="6"/>
  <c r="AE68" i="6"/>
  <c r="AF68" i="6"/>
  <c r="AH68" i="6"/>
  <c r="Y69" i="6"/>
  <c r="Z69" i="6"/>
  <c r="AA69" i="6"/>
  <c r="AB69" i="6"/>
  <c r="AC69" i="6"/>
  <c r="AE69" i="6"/>
  <c r="AF69" i="6"/>
  <c r="AH69" i="6"/>
  <c r="Y70" i="6"/>
  <c r="Z70" i="6"/>
  <c r="AA70" i="6"/>
  <c r="AB70" i="6"/>
  <c r="AC70" i="6"/>
  <c r="AE70" i="6"/>
  <c r="AF70" i="6"/>
  <c r="AH70" i="6"/>
  <c r="Y71" i="6"/>
  <c r="Z71" i="6"/>
  <c r="AA71" i="6"/>
  <c r="AB71" i="6"/>
  <c r="AC71" i="6"/>
  <c r="AE71" i="6"/>
  <c r="AF71" i="6"/>
  <c r="AH71" i="6"/>
  <c r="Y72" i="6"/>
  <c r="Z72" i="6"/>
  <c r="AA72" i="6"/>
  <c r="AB72" i="6"/>
  <c r="AC72" i="6"/>
  <c r="AE72" i="6"/>
  <c r="AF72" i="6"/>
  <c r="AH72" i="6"/>
  <c r="Y73" i="6"/>
  <c r="Z73" i="6"/>
  <c r="AA73" i="6"/>
  <c r="AB73" i="6"/>
  <c r="AC73" i="6"/>
  <c r="AE73" i="6"/>
  <c r="AF73" i="6"/>
  <c r="AH73" i="6"/>
  <c r="Y74" i="6"/>
  <c r="Z74" i="6"/>
  <c r="AA74" i="6"/>
  <c r="AB74" i="6"/>
  <c r="AC74" i="6"/>
  <c r="AE74" i="6"/>
  <c r="AF74" i="6"/>
  <c r="AH74" i="6"/>
  <c r="Y75" i="6"/>
  <c r="Z75" i="6"/>
  <c r="AA75" i="6"/>
  <c r="AB75" i="6"/>
  <c r="AC75" i="6"/>
  <c r="AE75" i="6"/>
  <c r="AF75" i="6"/>
  <c r="AH75" i="6"/>
  <c r="Y76" i="6"/>
  <c r="Z76" i="6"/>
  <c r="AA76" i="6"/>
  <c r="AB76" i="6"/>
  <c r="AC76" i="6"/>
  <c r="AE76" i="6"/>
  <c r="AF76" i="6"/>
  <c r="AH76" i="6"/>
  <c r="Y77" i="6"/>
  <c r="Z77" i="6"/>
  <c r="AA77" i="6"/>
  <c r="AB77" i="6"/>
  <c r="AC77" i="6"/>
  <c r="AE77" i="6"/>
  <c r="AF77" i="6"/>
  <c r="AH77" i="6"/>
  <c r="Y78" i="6"/>
  <c r="Z78" i="6"/>
  <c r="AA78" i="6"/>
  <c r="AB78" i="6"/>
  <c r="AC78" i="6"/>
  <c r="AE78" i="6"/>
  <c r="AF78" i="6"/>
  <c r="AH78" i="6"/>
  <c r="Y79" i="6"/>
  <c r="Z79" i="6"/>
  <c r="AA79" i="6"/>
  <c r="AB79" i="6"/>
  <c r="AC79" i="6"/>
  <c r="AE79" i="6"/>
  <c r="AF79" i="6"/>
  <c r="AH79" i="6"/>
  <c r="Y80" i="6"/>
  <c r="Z80" i="6"/>
  <c r="AA80" i="6"/>
  <c r="AB80" i="6"/>
  <c r="AC80" i="6"/>
  <c r="AE80" i="6"/>
  <c r="AF80" i="6"/>
  <c r="AH80" i="6"/>
  <c r="Y81" i="6"/>
  <c r="Z81" i="6"/>
  <c r="AA81" i="6"/>
  <c r="AB81" i="6"/>
  <c r="AC81" i="6"/>
  <c r="AE81" i="6"/>
  <c r="AF81" i="6"/>
  <c r="AH81" i="6"/>
  <c r="Y82" i="6"/>
  <c r="Z82" i="6"/>
  <c r="AA82" i="6"/>
  <c r="AB82" i="6"/>
  <c r="AC82" i="6"/>
  <c r="AE82" i="6"/>
  <c r="AF82" i="6"/>
  <c r="AH82" i="6"/>
  <c r="Y83" i="6"/>
  <c r="Z83" i="6"/>
  <c r="AA83" i="6"/>
  <c r="AB83" i="6"/>
  <c r="AC83" i="6"/>
  <c r="AE83" i="6"/>
  <c r="AF83" i="6"/>
  <c r="AH83" i="6"/>
  <c r="Y84" i="6"/>
  <c r="Z84" i="6"/>
  <c r="AA84" i="6"/>
  <c r="AB84" i="6"/>
  <c r="AC84" i="6"/>
  <c r="AE84" i="6"/>
  <c r="AF84" i="6"/>
  <c r="AH84" i="6"/>
  <c r="Y85" i="6"/>
  <c r="Z85" i="6"/>
  <c r="AA85" i="6"/>
  <c r="AB85" i="6"/>
  <c r="AC85" i="6"/>
  <c r="AE85" i="6"/>
  <c r="AF85" i="6"/>
  <c r="AH85" i="6"/>
  <c r="Y86" i="6"/>
  <c r="Z86" i="6"/>
  <c r="AA86" i="6"/>
  <c r="AB86" i="6"/>
  <c r="AC86" i="6"/>
  <c r="AE86" i="6"/>
  <c r="AF86" i="6"/>
  <c r="AH86" i="6"/>
  <c r="Y87" i="6"/>
  <c r="Z87" i="6"/>
  <c r="AA87" i="6"/>
  <c r="AB87" i="6"/>
  <c r="AC87" i="6"/>
  <c r="AE87" i="6"/>
  <c r="AF87" i="6"/>
  <c r="AH87" i="6"/>
  <c r="Y88" i="6"/>
  <c r="Z88" i="6"/>
  <c r="AA88" i="6"/>
  <c r="AB88" i="6"/>
  <c r="AC88" i="6"/>
  <c r="AE88" i="6"/>
  <c r="AF88" i="6"/>
  <c r="AH88" i="6"/>
  <c r="Y89" i="6"/>
  <c r="Z89" i="6"/>
  <c r="AA89" i="6"/>
  <c r="AB89" i="6"/>
  <c r="AC89" i="6"/>
  <c r="AE89" i="6"/>
  <c r="AF89" i="6"/>
  <c r="AH89" i="6"/>
  <c r="Y90" i="6"/>
  <c r="Z90" i="6"/>
  <c r="AA90" i="6"/>
  <c r="AB90" i="6"/>
  <c r="AC90" i="6"/>
  <c r="AE90" i="6"/>
  <c r="AF90" i="6"/>
  <c r="AH90" i="6"/>
  <c r="Y91" i="6"/>
  <c r="Z91" i="6"/>
  <c r="AA91" i="6"/>
  <c r="AB91" i="6"/>
  <c r="AC91" i="6"/>
  <c r="AE91" i="6"/>
  <c r="AF91" i="6"/>
  <c r="AH91" i="6"/>
  <c r="Y92" i="6"/>
  <c r="Z92" i="6"/>
  <c r="AA92" i="6"/>
  <c r="AB92" i="6"/>
  <c r="AC92" i="6"/>
  <c r="AE92" i="6"/>
  <c r="AF92" i="6"/>
  <c r="AH92" i="6"/>
  <c r="Y93" i="6"/>
  <c r="AB93" i="6"/>
  <c r="AC93" i="6"/>
  <c r="AE93" i="6"/>
  <c r="AF93" i="6"/>
  <c r="AH93" i="6"/>
  <c r="Y94" i="6"/>
  <c r="AB94" i="6"/>
  <c r="AC94" i="6"/>
  <c r="AE94" i="6"/>
  <c r="AF94" i="6"/>
  <c r="AH94" i="6"/>
  <c r="Y95" i="6"/>
  <c r="AB95" i="6"/>
  <c r="AC95" i="6"/>
  <c r="AE95" i="6"/>
  <c r="AF95" i="6"/>
  <c r="AH95" i="6"/>
  <c r="Y96" i="6"/>
  <c r="Z96" i="6"/>
  <c r="AA96" i="6"/>
  <c r="AB96" i="6"/>
  <c r="AC96" i="6"/>
  <c r="AE96" i="6"/>
  <c r="AF96" i="6"/>
  <c r="AH96" i="6"/>
  <c r="Y97" i="6"/>
  <c r="Z97" i="6"/>
  <c r="AA97" i="6"/>
  <c r="AB97" i="6"/>
  <c r="AC97" i="6"/>
  <c r="AE97" i="6"/>
  <c r="AF97" i="6"/>
  <c r="AH97" i="6"/>
  <c r="Y98" i="6"/>
  <c r="Z98" i="6"/>
  <c r="AA98" i="6"/>
  <c r="AB98" i="6"/>
  <c r="AC98" i="6"/>
  <c r="AE98" i="6"/>
  <c r="AF98" i="6"/>
  <c r="AH98" i="6"/>
  <c r="Y99" i="6"/>
  <c r="Z99" i="6"/>
  <c r="AA99" i="6"/>
  <c r="AB99" i="6"/>
  <c r="AC99" i="6"/>
  <c r="AE99" i="6"/>
  <c r="AF99" i="6"/>
  <c r="AH99" i="6"/>
  <c r="Y100" i="6"/>
  <c r="Z100" i="6"/>
  <c r="AA100" i="6"/>
  <c r="AB100" i="6"/>
  <c r="AC100" i="6"/>
  <c r="AE100" i="6"/>
  <c r="AF100" i="6"/>
  <c r="AH100" i="6"/>
  <c r="Y101" i="6"/>
  <c r="Z101" i="6"/>
  <c r="AA101" i="6"/>
  <c r="AB101" i="6"/>
  <c r="AC101" i="6"/>
  <c r="AE101" i="6"/>
  <c r="AF101" i="6"/>
  <c r="AH101" i="6"/>
  <c r="Y102" i="6"/>
  <c r="Z102" i="6"/>
  <c r="AA102" i="6"/>
  <c r="AB102" i="6"/>
  <c r="AC102" i="6"/>
  <c r="AE102" i="6"/>
  <c r="AF102" i="6"/>
  <c r="AH102" i="6"/>
  <c r="Y103" i="6"/>
  <c r="Z103" i="6"/>
  <c r="AA103" i="6"/>
  <c r="AB103" i="6"/>
  <c r="AC103" i="6"/>
  <c r="AE103" i="6"/>
  <c r="AF103" i="6"/>
  <c r="AH103" i="6"/>
  <c r="Y104" i="6"/>
  <c r="Z104" i="6"/>
  <c r="AA104" i="6"/>
  <c r="AB104" i="6"/>
  <c r="AC104" i="6"/>
  <c r="AE104" i="6"/>
  <c r="AF104" i="6"/>
  <c r="AH104" i="6"/>
  <c r="Y105" i="6"/>
  <c r="Z105" i="6"/>
  <c r="AA105" i="6"/>
  <c r="AB105" i="6"/>
  <c r="AC105" i="6"/>
  <c r="AE105" i="6"/>
  <c r="AF105" i="6"/>
  <c r="AH105" i="6"/>
  <c r="Y106" i="6"/>
  <c r="Z106" i="6"/>
  <c r="AA106" i="6"/>
  <c r="AB106" i="6"/>
  <c r="AC106" i="6"/>
  <c r="AE106" i="6"/>
  <c r="AF106" i="6"/>
  <c r="AH106" i="6"/>
  <c r="Y107" i="6"/>
  <c r="Z107" i="6"/>
  <c r="AA107" i="6"/>
  <c r="AB107" i="6"/>
  <c r="AC107" i="6"/>
  <c r="AE107" i="6"/>
  <c r="AF107" i="6"/>
  <c r="AH107" i="6"/>
  <c r="Y108" i="6"/>
  <c r="Z108" i="6"/>
  <c r="AA108" i="6"/>
  <c r="AB108" i="6"/>
  <c r="AC108" i="6"/>
  <c r="AE108" i="6"/>
  <c r="AF108" i="6"/>
  <c r="AH108" i="6"/>
  <c r="Y109" i="6"/>
  <c r="Z109" i="6"/>
  <c r="AA109" i="6"/>
  <c r="AB109" i="6"/>
  <c r="AC109" i="6"/>
  <c r="AE109" i="6"/>
  <c r="AF109" i="6"/>
  <c r="AH109" i="6"/>
  <c r="Y110" i="6"/>
  <c r="Z110" i="6"/>
  <c r="AA110" i="6"/>
  <c r="AB110" i="6"/>
  <c r="AC110" i="6"/>
  <c r="AE110" i="6"/>
  <c r="AF110" i="6"/>
  <c r="AH110" i="6"/>
  <c r="Y111" i="6"/>
  <c r="Z111" i="6"/>
  <c r="AA111" i="6"/>
  <c r="AB111" i="6"/>
  <c r="AC111" i="6"/>
  <c r="AE111" i="6"/>
  <c r="AF111" i="6"/>
  <c r="AH111" i="6"/>
  <c r="Y112" i="6"/>
  <c r="Z112" i="6"/>
  <c r="AA112" i="6"/>
  <c r="AB112" i="6"/>
  <c r="AC112" i="6"/>
  <c r="AE112" i="6"/>
  <c r="AF112" i="6"/>
  <c r="AH112" i="6"/>
  <c r="Y113" i="6"/>
  <c r="Z113" i="6"/>
  <c r="AA113" i="6"/>
  <c r="AB113" i="6"/>
  <c r="AC113" i="6"/>
  <c r="AE113" i="6"/>
  <c r="AF113" i="6"/>
  <c r="AH113" i="6"/>
  <c r="Y114" i="6"/>
  <c r="Z114" i="6"/>
  <c r="AA114" i="6"/>
  <c r="AB114" i="6"/>
  <c r="AC114" i="6"/>
  <c r="AE114" i="6"/>
  <c r="AF114" i="6"/>
  <c r="AH114" i="6"/>
  <c r="Y115" i="6"/>
  <c r="Z115" i="6"/>
  <c r="AA115" i="6"/>
  <c r="AB115" i="6"/>
  <c r="AC115" i="6"/>
  <c r="AE115" i="6"/>
  <c r="AF115" i="6"/>
  <c r="AH115" i="6"/>
  <c r="Y116" i="6"/>
  <c r="Z116" i="6"/>
  <c r="AA116" i="6"/>
  <c r="AB116" i="6"/>
  <c r="AC116" i="6"/>
  <c r="AE116" i="6"/>
  <c r="AF116" i="6"/>
  <c r="AH116" i="6"/>
  <c r="Y117" i="6"/>
  <c r="Z117" i="6"/>
  <c r="AA117" i="6"/>
  <c r="AB117" i="6"/>
  <c r="AC117" i="6"/>
  <c r="AE117" i="6"/>
  <c r="AF117" i="6"/>
  <c r="AH117" i="6"/>
  <c r="Y118" i="6"/>
  <c r="Z118" i="6"/>
  <c r="AA118" i="6"/>
  <c r="AB118" i="6"/>
  <c r="AC118" i="6"/>
  <c r="AE118" i="6"/>
  <c r="AF118" i="6"/>
  <c r="AH118" i="6"/>
  <c r="Y119" i="6"/>
  <c r="Z119" i="6"/>
  <c r="AA119" i="6"/>
  <c r="AB119" i="6"/>
  <c r="AC119" i="6"/>
  <c r="AE119" i="6"/>
  <c r="AF119" i="6"/>
  <c r="AH119" i="6"/>
  <c r="Y120" i="6"/>
  <c r="Z120" i="6"/>
  <c r="AA120" i="6"/>
  <c r="AB120" i="6"/>
  <c r="AC120" i="6"/>
  <c r="AE120" i="6"/>
  <c r="AF120" i="6"/>
  <c r="AH120" i="6"/>
  <c r="Y121" i="6"/>
  <c r="Z121" i="6"/>
  <c r="AA121" i="6"/>
  <c r="AB121" i="6"/>
  <c r="AC121" i="6"/>
  <c r="AE121" i="6"/>
  <c r="AF121" i="6"/>
  <c r="AH121" i="6"/>
  <c r="Y122" i="6"/>
  <c r="Z122" i="6"/>
  <c r="AA122" i="6"/>
  <c r="AB122" i="6"/>
  <c r="AC122" i="6"/>
  <c r="AE122" i="6"/>
  <c r="AF122" i="6"/>
  <c r="AH122" i="6"/>
  <c r="Y123" i="6"/>
  <c r="AB123" i="6"/>
  <c r="AC123" i="6"/>
  <c r="AE123" i="6"/>
  <c r="AF123" i="6"/>
  <c r="AH123" i="6"/>
  <c r="Y124" i="6"/>
  <c r="AB124" i="6"/>
  <c r="AC124" i="6"/>
  <c r="AE124" i="6"/>
  <c r="AF124" i="6"/>
  <c r="AH124" i="6"/>
  <c r="Y125" i="6"/>
  <c r="AB125" i="6"/>
  <c r="AC125" i="6"/>
  <c r="AE125" i="6"/>
  <c r="AF125" i="6"/>
  <c r="AH125" i="6"/>
  <c r="Y126" i="6"/>
  <c r="Z126" i="6"/>
  <c r="AA126" i="6"/>
  <c r="AB126" i="6"/>
  <c r="AC126" i="6"/>
  <c r="AE126" i="6"/>
  <c r="AF126" i="6"/>
  <c r="AH126" i="6"/>
  <c r="Y127" i="6"/>
  <c r="Z127" i="6"/>
  <c r="AA127" i="6"/>
  <c r="AB127" i="6"/>
  <c r="AC127" i="6"/>
  <c r="AE127" i="6"/>
  <c r="AF127" i="6"/>
  <c r="AH127" i="6"/>
  <c r="Y128" i="6"/>
  <c r="Z128" i="6"/>
  <c r="AA128" i="6"/>
  <c r="AB128" i="6"/>
  <c r="AC128" i="6"/>
  <c r="AE128" i="6"/>
  <c r="AF128" i="6"/>
  <c r="AH128" i="6"/>
  <c r="Y129" i="6"/>
  <c r="Z129" i="6"/>
  <c r="AA129" i="6"/>
  <c r="AB129" i="6"/>
  <c r="AC129" i="6"/>
  <c r="AE129" i="6"/>
  <c r="AF129" i="6"/>
  <c r="AH129" i="6"/>
  <c r="Y130" i="6"/>
  <c r="Z130" i="6"/>
  <c r="AA130" i="6"/>
  <c r="AB130" i="6"/>
  <c r="AC130" i="6"/>
  <c r="AE130" i="6"/>
  <c r="AF130" i="6"/>
  <c r="AH130" i="6"/>
  <c r="Y131" i="6"/>
  <c r="Z131" i="6"/>
  <c r="AA131" i="6"/>
  <c r="AB131" i="6"/>
  <c r="AC131" i="6"/>
  <c r="AE131" i="6"/>
  <c r="AF131" i="6"/>
  <c r="AH131" i="6"/>
  <c r="Y132" i="6"/>
  <c r="Z132" i="6"/>
  <c r="AA132" i="6"/>
  <c r="AB132" i="6"/>
  <c r="AC132" i="6"/>
  <c r="AE132" i="6"/>
  <c r="AF132" i="6"/>
  <c r="AH132" i="6"/>
  <c r="Y133" i="6"/>
  <c r="Z133" i="6"/>
  <c r="AA133" i="6"/>
  <c r="AB133" i="6"/>
  <c r="AC133" i="6"/>
  <c r="AE133" i="6"/>
  <c r="AF133" i="6"/>
  <c r="AH133" i="6"/>
  <c r="Y134" i="6"/>
  <c r="Z134" i="6"/>
  <c r="AA134" i="6"/>
  <c r="AB134" i="6"/>
  <c r="AC134" i="6"/>
  <c r="AE134" i="6"/>
  <c r="AF134" i="6"/>
  <c r="AH134" i="6"/>
  <c r="Y135" i="6"/>
  <c r="Z135" i="6"/>
  <c r="AA135" i="6"/>
  <c r="AB135" i="6"/>
  <c r="AC135" i="6"/>
  <c r="AE135" i="6"/>
  <c r="AF135" i="6"/>
  <c r="AH135" i="6"/>
  <c r="Y136" i="6"/>
  <c r="Z136" i="6"/>
  <c r="AA136" i="6"/>
  <c r="AB136" i="6"/>
  <c r="AC136" i="6"/>
  <c r="AE136" i="6"/>
  <c r="AF136" i="6"/>
  <c r="AH136" i="6"/>
  <c r="Y137" i="6"/>
  <c r="Z137" i="6"/>
  <c r="AA137" i="6"/>
  <c r="AB137" i="6"/>
  <c r="AC137" i="6"/>
  <c r="AE137" i="6"/>
  <c r="AF137" i="6"/>
  <c r="AH137" i="6"/>
  <c r="Y138" i="6"/>
  <c r="Z138" i="6"/>
  <c r="AA138" i="6"/>
  <c r="AB138" i="6"/>
  <c r="AC138" i="6"/>
  <c r="AE138" i="6"/>
  <c r="AF138" i="6"/>
  <c r="AH138" i="6"/>
  <c r="Y139" i="6"/>
  <c r="Z139" i="6"/>
  <c r="AA139" i="6"/>
  <c r="AB139" i="6"/>
  <c r="AC139" i="6"/>
  <c r="AE139" i="6"/>
  <c r="AF139" i="6"/>
  <c r="AH139" i="6"/>
  <c r="Y140" i="6"/>
  <c r="Z140" i="6"/>
  <c r="AA140" i="6"/>
  <c r="AB140" i="6"/>
  <c r="AC140" i="6"/>
  <c r="AE140" i="6"/>
  <c r="AF140" i="6"/>
  <c r="AH140" i="6"/>
  <c r="Y141" i="6"/>
  <c r="Z141" i="6"/>
  <c r="AA141" i="6"/>
  <c r="AB141" i="6"/>
  <c r="AC141" i="6"/>
  <c r="AE141" i="6"/>
  <c r="AF141" i="6"/>
  <c r="AH141" i="6"/>
  <c r="Y142" i="6"/>
  <c r="Z142" i="6"/>
  <c r="AA142" i="6"/>
  <c r="AB142" i="6"/>
  <c r="AC142" i="6"/>
  <c r="AE142" i="6"/>
  <c r="AF142" i="6"/>
  <c r="AH142" i="6"/>
  <c r="Y143" i="6"/>
  <c r="Z143" i="6"/>
  <c r="AA143" i="6"/>
  <c r="AB143" i="6"/>
  <c r="AC143" i="6"/>
  <c r="AE143" i="6"/>
  <c r="AF143" i="6"/>
  <c r="AH143" i="6"/>
  <c r="Y144" i="6"/>
  <c r="Z144" i="6"/>
  <c r="AA144" i="6"/>
  <c r="AB144" i="6"/>
  <c r="AC144" i="6"/>
  <c r="AE144" i="6"/>
  <c r="AF144" i="6"/>
  <c r="AH144" i="6"/>
  <c r="Y145" i="6"/>
  <c r="Z145" i="6"/>
  <c r="AA145" i="6"/>
  <c r="AB145" i="6"/>
  <c r="AC145" i="6"/>
  <c r="AE145" i="6"/>
  <c r="AF145" i="6"/>
  <c r="AH145" i="6"/>
  <c r="Y146" i="6"/>
  <c r="Z146" i="6"/>
  <c r="AA146" i="6"/>
  <c r="AB146" i="6"/>
  <c r="AC146" i="6"/>
  <c r="AE146" i="6"/>
  <c r="AF146" i="6"/>
  <c r="AH146" i="6"/>
  <c r="Y147" i="6"/>
  <c r="Z147" i="6"/>
  <c r="AA147" i="6"/>
  <c r="AB147" i="6"/>
  <c r="AC147" i="6"/>
  <c r="AE147" i="6"/>
  <c r="AF147" i="6"/>
  <c r="AH147" i="6"/>
  <c r="Y148" i="6"/>
  <c r="Z148" i="6"/>
  <c r="AA148" i="6"/>
  <c r="AB148" i="6"/>
  <c r="AC148" i="6"/>
  <c r="AE148" i="6"/>
  <c r="AF148" i="6"/>
  <c r="AH148" i="6"/>
  <c r="Y149" i="6"/>
  <c r="Z149" i="6"/>
  <c r="AA149" i="6"/>
  <c r="AB149" i="6"/>
  <c r="AC149" i="6"/>
  <c r="AE149" i="6"/>
  <c r="AF149" i="6"/>
  <c r="AH149" i="6"/>
  <c r="Y150" i="6"/>
  <c r="Z150" i="6"/>
  <c r="AA150" i="6"/>
  <c r="AB150" i="6"/>
  <c r="AC150" i="6"/>
  <c r="AE150" i="6"/>
  <c r="AF150" i="6"/>
  <c r="AH150" i="6"/>
  <c r="Y151" i="6"/>
  <c r="Z151" i="6"/>
  <c r="AA151" i="6"/>
  <c r="AB151" i="6"/>
  <c r="AC151" i="6"/>
  <c r="AE151" i="6"/>
  <c r="AF151" i="6"/>
  <c r="AH151" i="6"/>
  <c r="Y152" i="6"/>
  <c r="Z152" i="6"/>
  <c r="AA152" i="6"/>
  <c r="AB152" i="6"/>
  <c r="AC152" i="6"/>
  <c r="AE152" i="6"/>
  <c r="AF152" i="6"/>
  <c r="AH152" i="6"/>
  <c r="Y153" i="6"/>
  <c r="AB153" i="6"/>
  <c r="AC153" i="6"/>
  <c r="AE153" i="6"/>
  <c r="AF153" i="6"/>
  <c r="AH153" i="6"/>
  <c r="Y154" i="6"/>
  <c r="AB154" i="6"/>
  <c r="AC154" i="6"/>
  <c r="AE154" i="6"/>
  <c r="AF154" i="6"/>
  <c r="AH154" i="6"/>
  <c r="Y155" i="6"/>
  <c r="AB155" i="6"/>
  <c r="AC155" i="6"/>
  <c r="AE155" i="6"/>
  <c r="AF155" i="6"/>
  <c r="AH155" i="6"/>
  <c r="Y156" i="6"/>
  <c r="Z156" i="6"/>
  <c r="AA156" i="6"/>
  <c r="AB156" i="6"/>
  <c r="AC156" i="6"/>
  <c r="AE156" i="6"/>
  <c r="AF156" i="6"/>
  <c r="AH156" i="6"/>
  <c r="Y157" i="6"/>
  <c r="Z157" i="6"/>
  <c r="AA157" i="6"/>
  <c r="AB157" i="6"/>
  <c r="AC157" i="6"/>
  <c r="AE157" i="6"/>
  <c r="AF157" i="6"/>
  <c r="AH157" i="6"/>
  <c r="Y158" i="6"/>
  <c r="Z158" i="6"/>
  <c r="AA158" i="6"/>
  <c r="AB158" i="6"/>
  <c r="AC158" i="6"/>
  <c r="AE158" i="6"/>
  <c r="AF158" i="6"/>
  <c r="AH158" i="6"/>
  <c r="Y159" i="6"/>
  <c r="Z159" i="6"/>
  <c r="AA159" i="6"/>
  <c r="AB159" i="6"/>
  <c r="AC159" i="6"/>
  <c r="AE159" i="6"/>
  <c r="AF159" i="6"/>
  <c r="AH159" i="6"/>
  <c r="Y160" i="6"/>
  <c r="Z160" i="6"/>
  <c r="AA160" i="6"/>
  <c r="AB160" i="6"/>
  <c r="AC160" i="6"/>
  <c r="AE160" i="6"/>
  <c r="AF160" i="6"/>
  <c r="AH160" i="6"/>
  <c r="Y161" i="6"/>
  <c r="Z161" i="6"/>
  <c r="AA161" i="6"/>
  <c r="AB161" i="6"/>
  <c r="AC161" i="6"/>
  <c r="AE161" i="6"/>
  <c r="AF161" i="6"/>
  <c r="AH161" i="6"/>
  <c r="Y162" i="6"/>
  <c r="Z162" i="6"/>
  <c r="AA162" i="6"/>
  <c r="AB162" i="6"/>
  <c r="AC162" i="6"/>
  <c r="AE162" i="6"/>
  <c r="AF162" i="6"/>
  <c r="AH162" i="6"/>
  <c r="Y163" i="6"/>
  <c r="Z163" i="6"/>
  <c r="AA163" i="6"/>
  <c r="AB163" i="6"/>
  <c r="AC163" i="6"/>
  <c r="AE163" i="6"/>
  <c r="AF163" i="6"/>
  <c r="AH163" i="6"/>
  <c r="Y164" i="6"/>
  <c r="Z164" i="6"/>
  <c r="AA164" i="6"/>
  <c r="AB164" i="6"/>
  <c r="AC164" i="6"/>
  <c r="AE164" i="6"/>
  <c r="AF164" i="6"/>
  <c r="AH164" i="6"/>
  <c r="Y165" i="6"/>
  <c r="Z165" i="6"/>
  <c r="AA165" i="6"/>
  <c r="AB165" i="6"/>
  <c r="AC165" i="6"/>
  <c r="AE165" i="6"/>
  <c r="AF165" i="6"/>
  <c r="AH165" i="6"/>
  <c r="Y166" i="6"/>
  <c r="Z166" i="6"/>
  <c r="AA166" i="6"/>
  <c r="AB166" i="6"/>
  <c r="AC166" i="6"/>
  <c r="AE166" i="6"/>
  <c r="AF166" i="6"/>
  <c r="AH166" i="6"/>
  <c r="Y167" i="6"/>
  <c r="Z167" i="6"/>
  <c r="AA167" i="6"/>
  <c r="AB167" i="6"/>
  <c r="AC167" i="6"/>
  <c r="AE167" i="6"/>
  <c r="AF167" i="6"/>
  <c r="AH167" i="6"/>
  <c r="Y168" i="6"/>
  <c r="Z168" i="6"/>
  <c r="AA168" i="6"/>
  <c r="AB168" i="6"/>
  <c r="AC168" i="6"/>
  <c r="AE168" i="6"/>
  <c r="AF168" i="6"/>
  <c r="AH168" i="6"/>
  <c r="Y169" i="6"/>
  <c r="Z169" i="6"/>
  <c r="AA169" i="6"/>
  <c r="AB169" i="6"/>
  <c r="AC169" i="6"/>
  <c r="AE169" i="6"/>
  <c r="AF169" i="6"/>
  <c r="AH169" i="6"/>
  <c r="Y170" i="6"/>
  <c r="Z170" i="6"/>
  <c r="AA170" i="6"/>
  <c r="AB170" i="6"/>
  <c r="AC170" i="6"/>
  <c r="AE170" i="6"/>
  <c r="AF170" i="6"/>
  <c r="AH170" i="6"/>
  <c r="Y171" i="6"/>
  <c r="Z171" i="6"/>
  <c r="AA171" i="6"/>
  <c r="AB171" i="6"/>
  <c r="AC171" i="6"/>
  <c r="AE171" i="6"/>
  <c r="AF171" i="6"/>
  <c r="AH171" i="6"/>
  <c r="Y172" i="6"/>
  <c r="Z172" i="6"/>
  <c r="AA172" i="6"/>
  <c r="AB172" i="6"/>
  <c r="AC172" i="6"/>
  <c r="AE172" i="6"/>
  <c r="AF172" i="6"/>
  <c r="AH172" i="6"/>
  <c r="Y173" i="6"/>
  <c r="Z173" i="6"/>
  <c r="AA173" i="6"/>
  <c r="AB173" i="6"/>
  <c r="AC173" i="6"/>
  <c r="AE173" i="6"/>
  <c r="AF173" i="6"/>
  <c r="AH173" i="6"/>
  <c r="Y174" i="6"/>
  <c r="Z174" i="6"/>
  <c r="AA174" i="6"/>
  <c r="AB174" i="6"/>
  <c r="AC174" i="6"/>
  <c r="AE174" i="6"/>
  <c r="AF174" i="6"/>
  <c r="AH174" i="6"/>
  <c r="Y175" i="6"/>
  <c r="Z175" i="6"/>
  <c r="AA175" i="6"/>
  <c r="AB175" i="6"/>
  <c r="AC175" i="6"/>
  <c r="AE175" i="6"/>
  <c r="AF175" i="6"/>
  <c r="AH175" i="6"/>
  <c r="Y176" i="6"/>
  <c r="Z176" i="6"/>
  <c r="AA176" i="6"/>
  <c r="AB176" i="6"/>
  <c r="AC176" i="6"/>
  <c r="AE176" i="6"/>
  <c r="AF176" i="6"/>
  <c r="AH176" i="6"/>
  <c r="Y177" i="6"/>
  <c r="Z177" i="6"/>
  <c r="AA177" i="6"/>
  <c r="AB177" i="6"/>
  <c r="AC177" i="6"/>
  <c r="AE177" i="6"/>
  <c r="AF177" i="6"/>
  <c r="AH177" i="6"/>
  <c r="Y178" i="6"/>
  <c r="Z178" i="6"/>
  <c r="AA178" i="6"/>
  <c r="AB178" i="6"/>
  <c r="AC178" i="6"/>
  <c r="AE178" i="6"/>
  <c r="AF178" i="6"/>
  <c r="AH178" i="6"/>
  <c r="Y179" i="6"/>
  <c r="Z179" i="6"/>
  <c r="AA179" i="6"/>
  <c r="AB179" i="6"/>
  <c r="AC179" i="6"/>
  <c r="AE179" i="6"/>
  <c r="AF179" i="6"/>
  <c r="AH179" i="6"/>
  <c r="Y180" i="6"/>
  <c r="Z180" i="6"/>
  <c r="AA180" i="6"/>
  <c r="AB180" i="6"/>
  <c r="AC180" i="6"/>
  <c r="AE180" i="6"/>
  <c r="AF180" i="6"/>
  <c r="AH180" i="6"/>
  <c r="Y181" i="6"/>
  <c r="Z181" i="6"/>
  <c r="AA181" i="6"/>
  <c r="AB181" i="6"/>
  <c r="AC181" i="6"/>
  <c r="AE181" i="6"/>
  <c r="AF181" i="6"/>
  <c r="AH181" i="6"/>
  <c r="Y182" i="6"/>
  <c r="Z182" i="6"/>
  <c r="AA182" i="6"/>
  <c r="AB182" i="6"/>
  <c r="AC182" i="6"/>
  <c r="AE182" i="6"/>
  <c r="AF182" i="6"/>
  <c r="AH182" i="6"/>
  <c r="Y183" i="6"/>
  <c r="AB183" i="6"/>
  <c r="AC183" i="6"/>
  <c r="AE183" i="6"/>
  <c r="AF183" i="6"/>
  <c r="AH183" i="6"/>
  <c r="Y184" i="6"/>
  <c r="AB184" i="6"/>
  <c r="AC184" i="6"/>
  <c r="AE184" i="6"/>
  <c r="AF184" i="6"/>
  <c r="AH184" i="6"/>
  <c r="Y185" i="6"/>
  <c r="AB185" i="6"/>
  <c r="AC185" i="6"/>
  <c r="AE185" i="6"/>
  <c r="AF185" i="6"/>
  <c r="AH185" i="6"/>
  <c r="Y186" i="6"/>
  <c r="Z186" i="6"/>
  <c r="AA186" i="6"/>
  <c r="AB186" i="6"/>
  <c r="AC186" i="6"/>
  <c r="AE186" i="6"/>
  <c r="AF186" i="6"/>
  <c r="AH186" i="6"/>
  <c r="Y187" i="6"/>
  <c r="Z187" i="6"/>
  <c r="AA187" i="6"/>
  <c r="AB187" i="6"/>
  <c r="AC187" i="6"/>
  <c r="AE187" i="6"/>
  <c r="AF187" i="6"/>
  <c r="AH187" i="6"/>
  <c r="Y188" i="6"/>
  <c r="Z188" i="6"/>
  <c r="AA188" i="6"/>
  <c r="AB188" i="6"/>
  <c r="AC188" i="6"/>
  <c r="AE188" i="6"/>
  <c r="AF188" i="6"/>
  <c r="AH188" i="6"/>
  <c r="Y189" i="6"/>
  <c r="Z189" i="6"/>
  <c r="AA189" i="6"/>
  <c r="AB189" i="6"/>
  <c r="AC189" i="6"/>
  <c r="AE189" i="6"/>
  <c r="AF189" i="6"/>
  <c r="AH189" i="6"/>
  <c r="Y190" i="6"/>
  <c r="Z190" i="6"/>
  <c r="AA190" i="6"/>
  <c r="AB190" i="6"/>
  <c r="AC190" i="6"/>
  <c r="AE190" i="6"/>
  <c r="AF190" i="6"/>
  <c r="AH190" i="6"/>
  <c r="Y191" i="6"/>
  <c r="Z191" i="6"/>
  <c r="AA191" i="6"/>
  <c r="AB191" i="6"/>
  <c r="AC191" i="6"/>
  <c r="AE191" i="6"/>
  <c r="AF191" i="6"/>
  <c r="AH191" i="6"/>
  <c r="Y192" i="6"/>
  <c r="Z192" i="6"/>
  <c r="AA192" i="6"/>
  <c r="AB192" i="6"/>
  <c r="AC192" i="6"/>
  <c r="AE192" i="6"/>
  <c r="AF192" i="6"/>
  <c r="AH192" i="6"/>
  <c r="Y193" i="6"/>
  <c r="Z193" i="6"/>
  <c r="AA193" i="6"/>
  <c r="AB193" i="6"/>
  <c r="AC193" i="6"/>
  <c r="AE193" i="6"/>
  <c r="AF193" i="6"/>
  <c r="AH193" i="6"/>
  <c r="Y194" i="6"/>
  <c r="Z194" i="6"/>
  <c r="AA194" i="6"/>
  <c r="AB194" i="6"/>
  <c r="AC194" i="6"/>
  <c r="AE194" i="6"/>
  <c r="AF194" i="6"/>
  <c r="AH194" i="6"/>
  <c r="Y195" i="6"/>
  <c r="Z195" i="6"/>
  <c r="AA195" i="6"/>
  <c r="AB195" i="6"/>
  <c r="AC195" i="6"/>
  <c r="AE195" i="6"/>
  <c r="AF195" i="6"/>
  <c r="AH195" i="6"/>
  <c r="Y196" i="6"/>
  <c r="Z196" i="6"/>
  <c r="AA196" i="6"/>
  <c r="AB196" i="6"/>
  <c r="AC196" i="6"/>
  <c r="AE196" i="6"/>
  <c r="AF196" i="6"/>
  <c r="AH196" i="6"/>
  <c r="Y197" i="6"/>
  <c r="Z197" i="6"/>
  <c r="AA197" i="6"/>
  <c r="AB197" i="6"/>
  <c r="AC197" i="6"/>
  <c r="AE197" i="6"/>
  <c r="AF197" i="6"/>
  <c r="AH197" i="6"/>
  <c r="Y198" i="6"/>
  <c r="Z198" i="6"/>
  <c r="AA198" i="6"/>
  <c r="AB198" i="6"/>
  <c r="AC198" i="6"/>
  <c r="AE198" i="6"/>
  <c r="AF198" i="6"/>
  <c r="AH198" i="6"/>
  <c r="Y199" i="6"/>
  <c r="Z199" i="6"/>
  <c r="AA199" i="6"/>
  <c r="AB199" i="6"/>
  <c r="AC199" i="6"/>
  <c r="AE199" i="6"/>
  <c r="AF199" i="6"/>
  <c r="AH199" i="6"/>
  <c r="Y200" i="6"/>
  <c r="Z200" i="6"/>
  <c r="AA200" i="6"/>
  <c r="AB200" i="6"/>
  <c r="AC200" i="6"/>
  <c r="AE200" i="6"/>
  <c r="AF200" i="6"/>
  <c r="AH200" i="6"/>
  <c r="Y201" i="6"/>
  <c r="Z201" i="6"/>
  <c r="AA201" i="6"/>
  <c r="AB201" i="6"/>
  <c r="AC201" i="6"/>
  <c r="AE201" i="6"/>
  <c r="AF201" i="6"/>
  <c r="AH201" i="6"/>
  <c r="Y202" i="6"/>
  <c r="Z202" i="6"/>
  <c r="AA202" i="6"/>
  <c r="AB202" i="6"/>
  <c r="AC202" i="6"/>
  <c r="AE202" i="6"/>
  <c r="AF202" i="6"/>
  <c r="AH202" i="6"/>
  <c r="Y203" i="6"/>
  <c r="Z203" i="6"/>
  <c r="AA203" i="6"/>
  <c r="AB203" i="6"/>
  <c r="AC203" i="6"/>
  <c r="AE203" i="6"/>
  <c r="AF203" i="6"/>
  <c r="AH203" i="6"/>
  <c r="Y204" i="6"/>
  <c r="Z204" i="6"/>
  <c r="AA204" i="6"/>
  <c r="AB204" i="6"/>
  <c r="AC204" i="6"/>
  <c r="AE204" i="6"/>
  <c r="AF204" i="6"/>
  <c r="AH204" i="6"/>
  <c r="Y205" i="6"/>
  <c r="Z205" i="6"/>
  <c r="AA205" i="6"/>
  <c r="AB205" i="6"/>
  <c r="AC205" i="6"/>
  <c r="AE205" i="6"/>
  <c r="AF205" i="6"/>
  <c r="AH205" i="6"/>
  <c r="Y206" i="6"/>
  <c r="Z206" i="6"/>
  <c r="AA206" i="6"/>
  <c r="AB206" i="6"/>
  <c r="AC206" i="6"/>
  <c r="AE206" i="6"/>
  <c r="AF206" i="6"/>
  <c r="AH206" i="6"/>
  <c r="Y207" i="6"/>
  <c r="Z207" i="6"/>
  <c r="AA207" i="6"/>
  <c r="AB207" i="6"/>
  <c r="AC207" i="6"/>
  <c r="AE207" i="6"/>
  <c r="AF207" i="6"/>
  <c r="AH207" i="6"/>
  <c r="Y208" i="6"/>
  <c r="Z208" i="6"/>
  <c r="AA208" i="6"/>
  <c r="AB208" i="6"/>
  <c r="AC208" i="6"/>
  <c r="AE208" i="6"/>
  <c r="AF208" i="6"/>
  <c r="AH208" i="6"/>
  <c r="Y209" i="6"/>
  <c r="Z209" i="6"/>
  <c r="AA209" i="6"/>
  <c r="AB209" i="6"/>
  <c r="AC209" i="6"/>
  <c r="AE209" i="6"/>
  <c r="AF209" i="6"/>
  <c r="AH209" i="6"/>
  <c r="Y210" i="6"/>
  <c r="Z210" i="6"/>
  <c r="AA210" i="6"/>
  <c r="AB210" i="6"/>
  <c r="AC210" i="6"/>
  <c r="AE210" i="6"/>
  <c r="AF210" i="6"/>
  <c r="AH210" i="6"/>
  <c r="Y211" i="6"/>
  <c r="Z211" i="6"/>
  <c r="AA211" i="6"/>
  <c r="AB211" i="6"/>
  <c r="AC211" i="6"/>
  <c r="AE211" i="6"/>
  <c r="AF211" i="6"/>
  <c r="AH211" i="6"/>
  <c r="Y212" i="6"/>
  <c r="Z212" i="6"/>
  <c r="AA212" i="6"/>
  <c r="AB212" i="6"/>
  <c r="AC212" i="6"/>
  <c r="AE212" i="6"/>
  <c r="AF212" i="6"/>
  <c r="AH212" i="6"/>
  <c r="Y213" i="6"/>
  <c r="AB213" i="6"/>
  <c r="AC213" i="6"/>
  <c r="AE213" i="6"/>
  <c r="AF213" i="6"/>
  <c r="AH213" i="6"/>
  <c r="Y214" i="6"/>
  <c r="AB214" i="6"/>
  <c r="AC214" i="6"/>
  <c r="AE214" i="6"/>
  <c r="AF214" i="6"/>
  <c r="AH214" i="6"/>
  <c r="Y215" i="6"/>
  <c r="AB215" i="6"/>
  <c r="AC215" i="6"/>
  <c r="AE215" i="6"/>
  <c r="AF215" i="6"/>
  <c r="AH215" i="6"/>
  <c r="Y216" i="6"/>
  <c r="Z216" i="6"/>
  <c r="AA216" i="6"/>
  <c r="AB216" i="6"/>
  <c r="AC216" i="6"/>
  <c r="AE216" i="6"/>
  <c r="AF216" i="6"/>
  <c r="AH216" i="6"/>
  <c r="Y217" i="6"/>
  <c r="Z217" i="6"/>
  <c r="AA217" i="6"/>
  <c r="AB217" i="6"/>
  <c r="AC217" i="6"/>
  <c r="AE217" i="6"/>
  <c r="AF217" i="6"/>
  <c r="AH217" i="6"/>
  <c r="Y218" i="6"/>
  <c r="Z218" i="6"/>
  <c r="AA218" i="6"/>
  <c r="AB218" i="6"/>
  <c r="AC218" i="6"/>
  <c r="AE218" i="6"/>
  <c r="AF218" i="6"/>
  <c r="AH218" i="6"/>
  <c r="Y219" i="6"/>
  <c r="Z219" i="6"/>
  <c r="AA219" i="6"/>
  <c r="AB219" i="6"/>
  <c r="AC219" i="6"/>
  <c r="AE219" i="6"/>
  <c r="AF219" i="6"/>
  <c r="AH219" i="6"/>
  <c r="Y220" i="6"/>
  <c r="Z220" i="6"/>
  <c r="AA220" i="6"/>
  <c r="AB220" i="6"/>
  <c r="AC220" i="6"/>
  <c r="AE220" i="6"/>
  <c r="AF220" i="6"/>
  <c r="AH220" i="6"/>
  <c r="Y221" i="6"/>
  <c r="Z221" i="6"/>
  <c r="AA221" i="6"/>
  <c r="AB221" i="6"/>
  <c r="AC221" i="6"/>
  <c r="AE221" i="6"/>
  <c r="AF221" i="6"/>
  <c r="AH221" i="6"/>
  <c r="Y222" i="6"/>
  <c r="Z222" i="6"/>
  <c r="AA222" i="6"/>
  <c r="AB222" i="6"/>
  <c r="AC222" i="6"/>
  <c r="AE222" i="6"/>
  <c r="AF222" i="6"/>
  <c r="AH222" i="6"/>
  <c r="Y223" i="6"/>
  <c r="Z223" i="6"/>
  <c r="AA223" i="6"/>
  <c r="AB223" i="6"/>
  <c r="AC223" i="6"/>
  <c r="AE223" i="6"/>
  <c r="AF223" i="6"/>
  <c r="AH223" i="6"/>
  <c r="Y224" i="6"/>
  <c r="Z224" i="6"/>
  <c r="AA224" i="6"/>
  <c r="AB224" i="6"/>
  <c r="AC224" i="6"/>
  <c r="AE224" i="6"/>
  <c r="AF224" i="6"/>
  <c r="AH224" i="6"/>
  <c r="Y225" i="6"/>
  <c r="Z225" i="6"/>
  <c r="AA225" i="6"/>
  <c r="AB225" i="6"/>
  <c r="AC225" i="6"/>
  <c r="AE225" i="6"/>
  <c r="AF225" i="6"/>
  <c r="AH225" i="6"/>
  <c r="Y226" i="6"/>
  <c r="Z226" i="6"/>
  <c r="AA226" i="6"/>
  <c r="AB226" i="6"/>
  <c r="AC226" i="6"/>
  <c r="AE226" i="6"/>
  <c r="AF226" i="6"/>
  <c r="AH226" i="6"/>
  <c r="Y227" i="6"/>
  <c r="Z227" i="6"/>
  <c r="AA227" i="6"/>
  <c r="AB227" i="6"/>
  <c r="AC227" i="6"/>
  <c r="AE227" i="6"/>
  <c r="AF227" i="6"/>
  <c r="AH227" i="6"/>
  <c r="Y228" i="6"/>
  <c r="Z228" i="6"/>
  <c r="AA228" i="6"/>
  <c r="AB228" i="6"/>
  <c r="AC228" i="6"/>
  <c r="AE228" i="6"/>
  <c r="AF228" i="6"/>
  <c r="AH228" i="6"/>
  <c r="Y229" i="6"/>
  <c r="Z229" i="6"/>
  <c r="AA229" i="6"/>
  <c r="AB229" i="6"/>
  <c r="AC229" i="6"/>
  <c r="AE229" i="6"/>
  <c r="AF229" i="6"/>
  <c r="AH229" i="6"/>
  <c r="Y230" i="6"/>
  <c r="Z230" i="6"/>
  <c r="AA230" i="6"/>
  <c r="AB230" i="6"/>
  <c r="AC230" i="6"/>
  <c r="AE230" i="6"/>
  <c r="AF230" i="6"/>
  <c r="AH230" i="6"/>
  <c r="Y231" i="6"/>
  <c r="Z231" i="6"/>
  <c r="AA231" i="6"/>
  <c r="AB231" i="6"/>
  <c r="AC231" i="6"/>
  <c r="AE231" i="6"/>
  <c r="AF231" i="6"/>
  <c r="AH231" i="6"/>
  <c r="Y232" i="6"/>
  <c r="Z232" i="6"/>
  <c r="AA232" i="6"/>
  <c r="AB232" i="6"/>
  <c r="AC232" i="6"/>
  <c r="AE232" i="6"/>
  <c r="AF232" i="6"/>
  <c r="AH232" i="6"/>
  <c r="Y233" i="6"/>
  <c r="Z233" i="6"/>
  <c r="AA233" i="6"/>
  <c r="AB233" i="6"/>
  <c r="AC233" i="6"/>
  <c r="AE233" i="6"/>
  <c r="AF233" i="6"/>
  <c r="AH233" i="6"/>
  <c r="Y234" i="6"/>
  <c r="Z234" i="6"/>
  <c r="AA234" i="6"/>
  <c r="AB234" i="6"/>
  <c r="AC234" i="6"/>
  <c r="AE234" i="6"/>
  <c r="AF234" i="6"/>
  <c r="AH234" i="6"/>
  <c r="Y235" i="6"/>
  <c r="Z235" i="6"/>
  <c r="AA235" i="6"/>
  <c r="AB235" i="6"/>
  <c r="AC235" i="6"/>
  <c r="AE235" i="6"/>
  <c r="AF235" i="6"/>
  <c r="AH235" i="6"/>
  <c r="Y236" i="6"/>
  <c r="Z236" i="6"/>
  <c r="AA236" i="6"/>
  <c r="AB236" i="6"/>
  <c r="AC236" i="6"/>
  <c r="AE236" i="6"/>
  <c r="AF236" i="6"/>
  <c r="AH236" i="6"/>
  <c r="Y237" i="6"/>
  <c r="Z237" i="6"/>
  <c r="AA237" i="6"/>
  <c r="AB237" i="6"/>
  <c r="AC237" i="6"/>
  <c r="AE237" i="6"/>
  <c r="AF237" i="6"/>
  <c r="AH237" i="6"/>
  <c r="Y238" i="6"/>
  <c r="Z238" i="6"/>
  <c r="AA238" i="6"/>
  <c r="AB238" i="6"/>
  <c r="AC238" i="6"/>
  <c r="AE238" i="6"/>
  <c r="AF238" i="6"/>
  <c r="AH238" i="6"/>
  <c r="Y239" i="6"/>
  <c r="Z239" i="6"/>
  <c r="AA239" i="6"/>
  <c r="AB239" i="6"/>
  <c r="AC239" i="6"/>
  <c r="AE239" i="6"/>
  <c r="AF239" i="6"/>
  <c r="AH239" i="6"/>
  <c r="Y240" i="6"/>
  <c r="Z240" i="6"/>
  <c r="AA240" i="6"/>
  <c r="AB240" i="6"/>
  <c r="AC240" i="6"/>
  <c r="AE240" i="6"/>
  <c r="AF240" i="6"/>
  <c r="AH240" i="6"/>
  <c r="Y241" i="6"/>
  <c r="Z241" i="6"/>
  <c r="AA241" i="6"/>
  <c r="AB241" i="6"/>
  <c r="AC241" i="6"/>
  <c r="AE241" i="6"/>
  <c r="AF241" i="6"/>
  <c r="AH241" i="6"/>
  <c r="Y242" i="6"/>
  <c r="Z242" i="6"/>
  <c r="AA242" i="6"/>
  <c r="AB242" i="6"/>
  <c r="AC242" i="6"/>
  <c r="AE242" i="6"/>
  <c r="AF242" i="6"/>
  <c r="AH242" i="6"/>
  <c r="U52" i="1"/>
  <c r="Y56" i="1"/>
  <c r="AC56" i="1"/>
  <c r="J58" i="1"/>
  <c r="L58" i="1"/>
  <c r="AC58" i="1"/>
  <c r="AC59" i="1"/>
  <c r="S60" i="1"/>
  <c r="U60" i="1"/>
  <c r="Q62" i="1"/>
  <c r="M66" i="1"/>
  <c r="AA66" i="1"/>
  <c r="M67" i="1"/>
  <c r="AA67" i="1"/>
  <c r="M68" i="1"/>
  <c r="AA68" i="1"/>
  <c r="M69" i="1"/>
  <c r="AA69" i="1"/>
  <c r="M70" i="1"/>
  <c r="AA70" i="1"/>
  <c r="M71" i="1"/>
  <c r="AA71" i="1"/>
  <c r="M72" i="1"/>
  <c r="AA72" i="1"/>
  <c r="M73" i="1"/>
  <c r="AA73" i="1"/>
  <c r="M74" i="1"/>
  <c r="AA74" i="1"/>
  <c r="M75" i="1"/>
  <c r="AA75" i="1"/>
  <c r="M76" i="1"/>
  <c r="AA76" i="1"/>
  <c r="M77" i="1"/>
  <c r="AA77" i="1"/>
  <c r="M78" i="1"/>
  <c r="AA78" i="1"/>
  <c r="M79" i="1"/>
  <c r="AA79" i="1"/>
  <c r="M80" i="1"/>
  <c r="AA80" i="1"/>
  <c r="M81" i="1"/>
  <c r="AA81" i="1"/>
  <c r="M82" i="1"/>
  <c r="AA82" i="1"/>
  <c r="M83" i="1"/>
  <c r="AA83" i="1"/>
  <c r="M84" i="1"/>
  <c r="AA84" i="1"/>
  <c r="M85" i="1"/>
  <c r="AA85" i="1"/>
  <c r="C91" i="1"/>
  <c r="N91" i="1"/>
  <c r="Q91" i="1"/>
  <c r="AB91" i="1"/>
  <c r="C92" i="1"/>
  <c r="N92" i="1"/>
  <c r="Q92" i="1"/>
  <c r="AB92" i="1"/>
  <c r="C93" i="1"/>
  <c r="N93" i="1"/>
  <c r="Q93" i="1"/>
  <c r="AB93" i="1"/>
  <c r="C94" i="1"/>
  <c r="N94" i="1"/>
  <c r="Q94" i="1"/>
  <c r="AB94" i="1"/>
  <c r="C95" i="1"/>
  <c r="N95" i="1"/>
  <c r="Q95" i="1"/>
  <c r="AB95" i="1"/>
  <c r="C96" i="1"/>
  <c r="N96" i="1"/>
  <c r="Q96" i="1"/>
  <c r="AB96" i="1"/>
  <c r="C97" i="1"/>
  <c r="N97" i="1"/>
  <c r="Q97" i="1"/>
  <c r="AB97" i="1"/>
  <c r="C98" i="1"/>
  <c r="N98" i="1"/>
  <c r="Q98" i="1"/>
  <c r="AB98" i="1"/>
  <c r="C99" i="1"/>
  <c r="N99" i="1"/>
  <c r="Q99" i="1"/>
  <c r="AB99" i="1"/>
  <c r="C100" i="1"/>
  <c r="N100" i="1"/>
  <c r="Q100" i="1"/>
  <c r="AB100" i="1"/>
  <c r="C101" i="1"/>
  <c r="N101" i="1"/>
  <c r="Q101" i="1"/>
  <c r="AB101" i="1"/>
  <c r="C102" i="1"/>
  <c r="N102" i="1"/>
  <c r="Q102" i="1"/>
  <c r="AB102" i="1"/>
  <c r="C103" i="1"/>
  <c r="N103" i="1"/>
  <c r="Q103" i="1"/>
  <c r="AB103" i="1"/>
  <c r="C104" i="1"/>
  <c r="N104" i="1"/>
  <c r="Q104" i="1"/>
  <c r="AB104" i="1"/>
  <c r="C105" i="1"/>
  <c r="N105" i="1"/>
  <c r="Q105" i="1"/>
  <c r="AB105" i="1"/>
  <c r="C106" i="1"/>
  <c r="N106" i="1"/>
  <c r="Q106" i="1"/>
  <c r="AB106" i="1"/>
  <c r="C107" i="1"/>
  <c r="N107" i="1"/>
  <c r="Q107" i="1"/>
  <c r="AB107" i="1"/>
  <c r="C108" i="1"/>
  <c r="N108" i="1"/>
  <c r="Q108" i="1"/>
  <c r="AB108" i="1"/>
  <c r="C109" i="1"/>
  <c r="N109" i="1"/>
  <c r="Q109" i="1"/>
  <c r="AB109" i="1"/>
  <c r="D3" i="19"/>
  <c r="D4" i="19"/>
  <c r="D5" i="19"/>
  <c r="D6" i="19"/>
  <c r="D7" i="19"/>
  <c r="D8" i="19"/>
  <c r="D9" i="19"/>
  <c r="D10" i="19"/>
  <c r="D11" i="19"/>
  <c r="D12" i="19"/>
  <c r="D13" i="19"/>
  <c r="D14" i="19"/>
  <c r="D15" i="19"/>
  <c r="D16" i="19"/>
  <c r="D17" i="19"/>
  <c r="D18" i="19"/>
  <c r="D19" i="19"/>
  <c r="D20" i="19"/>
  <c r="D21" i="19"/>
  <c r="D22" i="19"/>
  <c r="D23" i="19"/>
  <c r="D24"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<sst xmlns="http://schemas.openxmlformats.org/spreadsheetml/2006/main" count="6813" uniqueCount="1007">
  <si>
    <t>Informations du Joueur</t>
  </si>
  <si>
    <t>Date de naissance:</t>
  </si>
  <si>
    <t>Date du premier Arkadia:</t>
  </si>
  <si>
    <t>-</t>
  </si>
  <si>
    <t>Contact (Lien):</t>
  </si>
  <si>
    <t xml:space="preserve">Allergies: </t>
  </si>
  <si>
    <t>XPs</t>
  </si>
  <si>
    <t>Événement</t>
  </si>
  <si>
    <t>Saison</t>
  </si>
  <si>
    <t xml:space="preserve">Création du personnage </t>
  </si>
  <si>
    <t>Totals des XPs:</t>
  </si>
  <si>
    <t>Fiche du personnage</t>
  </si>
  <si>
    <t>Nom du personnage:</t>
  </si>
  <si>
    <t>Date du premier évènement du personnage:</t>
  </si>
  <si>
    <t>Race:</t>
  </si>
  <si>
    <t>Carrière:</t>
  </si>
  <si>
    <t>Immunités:</t>
  </si>
  <si>
    <t>Religion:</t>
  </si>
  <si>
    <t>*Réserver aux carrières à 2 divinités</t>
  </si>
  <si>
    <t>Maison Noble / Titre:</t>
  </si>
  <si>
    <t>Noblesse:</t>
  </si>
  <si>
    <t>Oui</t>
  </si>
  <si>
    <t>Non</t>
  </si>
  <si>
    <t xml:space="preserve"> Nombre de Points de Vie (PV):</t>
  </si>
  <si>
    <t>Points de Magie:</t>
  </si>
  <si>
    <t>Points de compétences (XPs dépensés / XPs totaux):</t>
  </si>
  <si>
    <t xml:space="preserve">/ </t>
  </si>
  <si>
    <t>Compétences</t>
  </si>
  <si>
    <t xml:space="preserve">Niveau </t>
  </si>
  <si>
    <t xml:space="preserve">Nom du sort </t>
  </si>
  <si>
    <t>Barbare</t>
  </si>
  <si>
    <t>Asmodérus</t>
  </si>
  <si>
    <t>Combattant</t>
  </si>
  <si>
    <t>Atme'ra</t>
  </si>
  <si>
    <t>Arboréen</t>
  </si>
  <si>
    <t>Druide</t>
  </si>
  <si>
    <t>Arawn</t>
  </si>
  <si>
    <t>Dons</t>
  </si>
  <si>
    <t>Avariel</t>
  </si>
  <si>
    <t>Mage</t>
  </si>
  <si>
    <t>Argonas</t>
  </si>
  <si>
    <t>Druidisme</t>
  </si>
  <si>
    <t>Bossu</t>
  </si>
  <si>
    <t>Marchand</t>
  </si>
  <si>
    <t>Cyrder</t>
  </si>
  <si>
    <t>Magie Élémentaire</t>
  </si>
  <si>
    <t>Corvus</t>
  </si>
  <si>
    <t>Prêtre</t>
  </si>
  <si>
    <t>Elûna</t>
  </si>
  <si>
    <t>Magie Noire</t>
  </si>
  <si>
    <t>Demi-démon</t>
  </si>
  <si>
    <t>Roublard</t>
  </si>
  <si>
    <t>Leviastis</t>
  </si>
  <si>
    <t>Nécromancie</t>
  </si>
  <si>
    <t>Demi-elfe (Peredhil)</t>
  </si>
  <si>
    <t>Animiste</t>
  </si>
  <si>
    <t>Lumer</t>
  </si>
  <si>
    <t>Sortilèges</t>
  </si>
  <si>
    <t>Elfe gris (Mitheldar)</t>
  </si>
  <si>
    <t>Archer</t>
  </si>
  <si>
    <t>Magystia</t>
  </si>
  <si>
    <t>Voix de la Malveillance</t>
  </si>
  <si>
    <t>Elfe lunaire (Ithileldar)</t>
  </si>
  <si>
    <t>Barde</t>
  </si>
  <si>
    <t>Maskorino</t>
  </si>
  <si>
    <t xml:space="preserve">Voix Sacrée </t>
  </si>
  <si>
    <t>Elfe noir</t>
  </si>
  <si>
    <t>Berserker</t>
  </si>
  <si>
    <t>Myrkar</t>
  </si>
  <si>
    <t>Elfe sanguinaire</t>
  </si>
  <si>
    <t>Chaman</t>
  </si>
  <si>
    <t>Thurdek</t>
  </si>
  <si>
    <t>Elfe sauvage (Sylaneldar)</t>
  </si>
  <si>
    <t>Charlatan</t>
  </si>
  <si>
    <t>Vermilord</t>
  </si>
  <si>
    <t>Être Sylvestre</t>
  </si>
  <si>
    <t>Ermite</t>
  </si>
  <si>
    <t>Vorn</t>
  </si>
  <si>
    <t>Gitan</t>
  </si>
  <si>
    <t>Garde</t>
  </si>
  <si>
    <t>Walërya</t>
  </si>
  <si>
    <t>Gobelin</t>
  </si>
  <si>
    <t>Gardien mystique</t>
  </si>
  <si>
    <t>Amida</t>
  </si>
  <si>
    <t>Haut elfe (Noldar)</t>
  </si>
  <si>
    <t>Guérisseur</t>
  </si>
  <si>
    <t>Baku</t>
  </si>
  <si>
    <t>Humain</t>
  </si>
  <si>
    <t>Inquisiteur</t>
  </si>
  <si>
    <t>Izanagi &amp; Izanami</t>
  </si>
  <si>
    <t>Illithyd</t>
  </si>
  <si>
    <t>Magelame</t>
  </si>
  <si>
    <t>O-Kuni-Nushi</t>
  </si>
  <si>
    <t>Morgull</t>
  </si>
  <si>
    <t>Maître des runes</t>
  </si>
  <si>
    <t>Baldur</t>
  </si>
  <si>
    <t>Voix Sacrée</t>
  </si>
  <si>
    <t>Nain</t>
  </si>
  <si>
    <t>Maraudeur</t>
  </si>
  <si>
    <t>Eir</t>
  </si>
  <si>
    <t>Norde</t>
  </si>
  <si>
    <t>Nahual</t>
  </si>
  <si>
    <t>Honir</t>
  </si>
  <si>
    <t>Orque</t>
  </si>
  <si>
    <t>Paladin</t>
  </si>
  <si>
    <t>Magni</t>
  </si>
  <si>
    <t>Presqu'Humain</t>
  </si>
  <si>
    <t>Rôdeur</t>
  </si>
  <si>
    <t>Modi</t>
  </si>
  <si>
    <t>Rasgadan</t>
  </si>
  <si>
    <t>Sage</t>
  </si>
  <si>
    <t>Thrud</t>
  </si>
  <si>
    <t>Ratfolk</t>
  </si>
  <si>
    <t>Scribe</t>
  </si>
  <si>
    <t>Vali</t>
  </si>
  <si>
    <t>Satyre</t>
  </si>
  <si>
    <t>Seigneur de guerre</t>
  </si>
  <si>
    <t>Vidar</t>
  </si>
  <si>
    <t>Traqueur</t>
  </si>
  <si>
    <t>Baphomet</t>
  </si>
  <si>
    <t>Malveria</t>
  </si>
  <si>
    <t>Salazaar</t>
  </si>
  <si>
    <t>Thalia</t>
  </si>
  <si>
    <t>Essence infernale</t>
  </si>
  <si>
    <t>Esprits de la guerre</t>
  </si>
  <si>
    <t>Esprits de la Nature</t>
  </si>
  <si>
    <t>Esprits des Morts</t>
  </si>
  <si>
    <t>Numéro d'assurance maladie:</t>
  </si>
  <si>
    <t>Liste d'événements</t>
  </si>
  <si>
    <t>Faiblesses:</t>
  </si>
  <si>
    <t>Numéro de téléphone en cas d'urgence:</t>
  </si>
  <si>
    <t>Moralité:</t>
  </si>
  <si>
    <t>Notes / Points faibles / Avantages</t>
  </si>
  <si>
    <t>Chances (restantes):</t>
  </si>
  <si>
    <t>Héraldique</t>
  </si>
  <si>
    <t>Witcher's Den</t>
  </si>
  <si>
    <t>Bravoure</t>
  </si>
  <si>
    <t>Concoction : Herboristerie</t>
  </si>
  <si>
    <t>Concoction : Alchimie</t>
  </si>
  <si>
    <t>Concoction : Toxicologie</t>
  </si>
  <si>
    <t>Races</t>
  </si>
  <si>
    <t>Demi-Elfe</t>
  </si>
  <si>
    <t>Elfe Gris</t>
  </si>
  <si>
    <t>Elfe Lunaire</t>
  </si>
  <si>
    <t>Elfe Sanguinaire</t>
  </si>
  <si>
    <t>Elfe Noir</t>
  </si>
  <si>
    <t>Elfe Sauvage</t>
  </si>
  <si>
    <t>Haut-Elfe</t>
  </si>
  <si>
    <t>Demi-Démon</t>
  </si>
  <si>
    <t>Saurien</t>
  </si>
  <si>
    <t>Événements</t>
  </si>
  <si>
    <t>Nuit de la terreur</t>
  </si>
  <si>
    <t>Passe VIP</t>
  </si>
  <si>
    <t>Passe de saison</t>
  </si>
  <si>
    <t>XPs raciaux</t>
  </si>
  <si>
    <t>Carrières</t>
  </si>
  <si>
    <t>Combatant</t>
  </si>
  <si>
    <t>Gardien Mystique</t>
  </si>
  <si>
    <t>Seigneur de Guerre</t>
  </si>
  <si>
    <t>Totem</t>
  </si>
  <si>
    <t xml:space="preserve">Xps </t>
  </si>
  <si>
    <t>Ambidexterie</t>
  </si>
  <si>
    <t>Archerie</t>
  </si>
  <si>
    <t>Archerie Arcane</t>
  </si>
  <si>
    <t>Arme à feu</t>
  </si>
  <si>
    <t>Arme de jet</t>
  </si>
  <si>
    <t>Arme non conventionnelle (2 mains)</t>
  </si>
  <si>
    <t>Arme non conventionnelle (Colossale)</t>
  </si>
  <si>
    <t>Art Mystique</t>
  </si>
  <si>
    <t>Bâton de pouvoir</t>
  </si>
  <si>
    <t>Bouclier</t>
  </si>
  <si>
    <t>Charognard</t>
  </si>
  <si>
    <t>Endurance Simple</t>
  </si>
  <si>
    <t>Forge</t>
  </si>
  <si>
    <t>Invocation Guerrière</t>
  </si>
  <si>
    <t>Mulet de bataille</t>
  </si>
  <si>
    <t>Noblesse</t>
  </si>
  <si>
    <t>Peinture des Morts</t>
  </si>
  <si>
    <t>Rage animale</t>
  </si>
  <si>
    <t>Religion</t>
  </si>
  <si>
    <t>Résistance à l'alcool</t>
  </si>
  <si>
    <t>Résistance aux maladies</t>
  </si>
  <si>
    <t>Rituel</t>
  </si>
  <si>
    <t>Sang impur</t>
  </si>
  <si>
    <t>Sang pur</t>
  </si>
  <si>
    <t>Attaque brutale</t>
  </si>
  <si>
    <t>Lecture et écriture (Commun)</t>
  </si>
  <si>
    <t>Lecture et écriture (Elfique)</t>
  </si>
  <si>
    <t>Lecture et écriture (Rakuzan)</t>
  </si>
  <si>
    <t>Lecture et écriture (Infernal)</t>
  </si>
  <si>
    <t>Lecture et écriture (Céleste)</t>
  </si>
  <si>
    <t>Lecture et écriture (Outremonde)</t>
  </si>
  <si>
    <t>Lecture et écriture (Vermilangue)</t>
  </si>
  <si>
    <t>Lecture et écriture (Orque)</t>
  </si>
  <si>
    <t>Lecture et écriture (Arcane)</t>
  </si>
  <si>
    <t>Lecture et écriture (Arborique)</t>
  </si>
  <si>
    <t>Lecture et écriture (Runique)</t>
  </si>
  <si>
    <t>Lecture et écriture (Sylvestre)</t>
  </si>
  <si>
    <t>Catégories</t>
  </si>
  <si>
    <t>Bravoure accrue</t>
  </si>
  <si>
    <t>Bris d'arme</t>
  </si>
  <si>
    <t>Brise-bouclier</t>
  </si>
  <si>
    <t>Charge</t>
  </si>
  <si>
    <t>Charge accrue</t>
  </si>
  <si>
    <t>Coup meurtrier</t>
  </si>
  <si>
    <t>Coup puissant</t>
  </si>
  <si>
    <t>Endurance guerrière</t>
  </si>
  <si>
    <t>Maître abidextre</t>
  </si>
  <si>
    <t>Onde de choc</t>
  </si>
  <si>
    <t>Peinture de protection</t>
  </si>
  <si>
    <t>Résistance physique</t>
  </si>
  <si>
    <t>Résistance à la torture</t>
  </si>
  <si>
    <t>Résistance aux poisons</t>
  </si>
  <si>
    <t>Tir précis</t>
  </si>
  <si>
    <t xml:space="preserve">Prénon et nom: </t>
  </si>
  <si>
    <t>Divinitées</t>
  </si>
  <si>
    <t>Atem'ra</t>
  </si>
  <si>
    <t>Adramelech</t>
  </si>
  <si>
    <t>Essence Infernale</t>
  </si>
  <si>
    <t>Esprits de la nature</t>
  </si>
  <si>
    <t>Esprits des morts</t>
  </si>
  <si>
    <t>Esprit de l'Aube</t>
  </si>
  <si>
    <t>Esprit de la Nuit</t>
  </si>
  <si>
    <t>Divinité</t>
  </si>
  <si>
    <t>Essence infernal</t>
  </si>
  <si>
    <t>Xps</t>
  </si>
  <si>
    <t>Catégorie</t>
  </si>
  <si>
    <t>Bouclier avancé</t>
  </si>
  <si>
    <t>Contre-charge</t>
  </si>
  <si>
    <t>Désarmement</t>
  </si>
  <si>
    <t>Force brute</t>
  </si>
  <si>
    <t>Port d'armure spécialisée</t>
  </si>
  <si>
    <t>Clairvoyance</t>
  </si>
  <si>
    <t>Endurance naturelle à la magie</t>
  </si>
  <si>
    <t>Fatigue atténuée</t>
  </si>
  <si>
    <t>Ferveur magique</t>
  </si>
  <si>
    <t>Haute magie</t>
  </si>
  <si>
    <t>Magie brutale</t>
  </si>
  <si>
    <t>Poudre de Morphée</t>
  </si>
  <si>
    <t>Résistance contre un élément</t>
  </si>
  <si>
    <t>Résistance magique</t>
  </si>
  <si>
    <t>Résistance mentale</t>
  </si>
  <si>
    <t>Restauration</t>
  </si>
  <si>
    <t>Talisman</t>
  </si>
  <si>
    <t>Talisman avancée</t>
  </si>
  <si>
    <t>Transfert de vitalité en mana</t>
  </si>
  <si>
    <t>Renvoi de sort</t>
  </si>
  <si>
    <t>Contact Marchand - Mineur</t>
  </si>
  <si>
    <t>Contact Marchand - Druide</t>
  </si>
  <si>
    <t>Contact Marchand - Brasseur</t>
  </si>
  <si>
    <t>Contact Marchand - Forgeron</t>
  </si>
  <si>
    <t>Contact Marchand - Scribe</t>
  </si>
  <si>
    <t>Contact Marchand - Sorcier</t>
  </si>
  <si>
    <t>Contact Marchand - Commanditaire</t>
  </si>
  <si>
    <t>Dissimulation d'objet</t>
  </si>
  <si>
    <t>Expert en concotion</t>
  </si>
  <si>
    <t>Falsification</t>
  </si>
  <si>
    <t>Forge avancée</t>
  </si>
  <si>
    <t>Serrurier</t>
  </si>
  <si>
    <t>Vol à la tire</t>
  </si>
  <si>
    <t>Armure de la foi</t>
  </si>
  <si>
    <t>Attaque divine</t>
  </si>
  <si>
    <t>Don miraculeux</t>
  </si>
  <si>
    <t>Attaque sournoise</t>
  </si>
  <si>
    <t>Crochetage</t>
  </si>
  <si>
    <t>Déguisement</t>
  </si>
  <si>
    <t>Équilibre</t>
  </si>
  <si>
    <t>Esquive</t>
  </si>
  <si>
    <t>Lame affûtée</t>
  </si>
  <si>
    <t>Lancer meurtrier</t>
  </si>
  <si>
    <t>Maître de l'évasion</t>
  </si>
  <si>
    <t>Maître des poisons</t>
  </si>
  <si>
    <t>Orientation planaire</t>
  </si>
  <si>
    <t>Touche à tout</t>
  </si>
  <si>
    <t>Torture</t>
  </si>
  <si>
    <t>Moralité</t>
  </si>
  <si>
    <t>Bénéfique</t>
  </si>
  <si>
    <t>Balancée</t>
  </si>
  <si>
    <t>Points de magie</t>
  </si>
  <si>
    <t>Xps +1</t>
  </si>
  <si>
    <t>Protection Sauvage</t>
  </si>
  <si>
    <t>Position de Combat</t>
  </si>
  <si>
    <t>Énergie Végétale</t>
  </si>
  <si>
    <t>Élémentaliste</t>
  </si>
  <si>
    <t>Nécromancien</t>
  </si>
  <si>
    <t>Sorcier</t>
  </si>
  <si>
    <t>Création accrue</t>
  </si>
  <si>
    <t>Messe</t>
  </si>
  <si>
    <t>Égorgement</t>
  </si>
  <si>
    <t>Cration d'anima</t>
  </si>
  <si>
    <t>Archerie Mystique</t>
  </si>
  <si>
    <t>Performance bardique</t>
  </si>
  <si>
    <t>Rage du Berserker</t>
  </si>
  <si>
    <t>Danse du feu</t>
  </si>
  <si>
    <t>Langue fourchue</t>
  </si>
  <si>
    <t>Effigie animale</t>
  </si>
  <si>
    <t>Résilience</t>
  </si>
  <si>
    <t>Peinture de guerre</t>
  </si>
  <si>
    <t>Diagnostic</t>
  </si>
  <si>
    <t>Abjuration</t>
  </si>
  <si>
    <t>Lame enchantée</t>
  </si>
  <si>
    <t>Rune de protection</t>
  </si>
  <si>
    <t>Coup fracassant</t>
  </si>
  <si>
    <t>Ferveur divine</t>
  </si>
  <si>
    <t>Ennemi juré</t>
  </si>
  <si>
    <t>Magie puissante</t>
  </si>
  <si>
    <t>Parchemins magiques - niv. 1</t>
  </si>
  <si>
    <t>Parchemins magiques - niv. 2</t>
  </si>
  <si>
    <t>Parchemins magiques - niv. 3</t>
  </si>
  <si>
    <t>Parchemins magiques - niv. 4</t>
  </si>
  <si>
    <t>Parchemins magiques - niv. 5</t>
  </si>
  <si>
    <t>Frappe stratégique</t>
  </si>
  <si>
    <t>Spiritualité animale</t>
  </si>
  <si>
    <t>Traque</t>
  </si>
  <si>
    <t>Armure permise</t>
  </si>
  <si>
    <t>Toutes</t>
  </si>
  <si>
    <t>Type d'armure :</t>
  </si>
  <si>
    <t>Points d'armure maximum :</t>
  </si>
  <si>
    <t>Écoles de magie</t>
  </si>
  <si>
    <t>Magie élémentaire</t>
  </si>
  <si>
    <t>Magie noire</t>
  </si>
  <si>
    <t>Voix maudite</t>
  </si>
  <si>
    <t>Voix sacrée</t>
  </si>
  <si>
    <t>Voie maudite</t>
  </si>
  <si>
    <t xml:space="preserve">Magie élémentaire </t>
  </si>
  <si>
    <t>Berserk</t>
  </si>
  <si>
    <t>Voie sacrée</t>
  </si>
  <si>
    <t>Nom du sort</t>
  </si>
  <si>
    <t>Xp</t>
  </si>
  <si>
    <t>Bénédiction sacrée</t>
  </si>
  <si>
    <t>Repos serein</t>
  </si>
  <si>
    <t>Protection contre le mal</t>
  </si>
  <si>
    <t>Soins</t>
  </si>
  <si>
    <t>Lumière céleste</t>
  </si>
  <si>
    <t>Détection des mensonges</t>
  </si>
  <si>
    <t>Sanctuaire divin</t>
  </si>
  <si>
    <t>Purgation</t>
  </si>
  <si>
    <t>Apaisement</t>
  </si>
  <si>
    <t>Courage</t>
  </si>
  <si>
    <t>Peau de cuir</t>
  </si>
  <si>
    <t>Cercle de guérison</t>
  </si>
  <si>
    <t>Geôle divine</t>
  </si>
  <si>
    <t>Armure miraculeuse</t>
  </si>
  <si>
    <t>Ancre des souvenirs</t>
  </si>
  <si>
    <t>Soins accrus</t>
  </si>
  <si>
    <t>Festin des héros</t>
  </si>
  <si>
    <t>Consécration</t>
  </si>
  <si>
    <t>Déliverance des malédictions</t>
  </si>
  <si>
    <t>Arme sainte</t>
  </si>
  <si>
    <t>Armure divine</t>
  </si>
  <si>
    <t>Régénération osseuse</t>
  </si>
  <si>
    <t>Grâce divine</t>
  </si>
  <si>
    <t>Cercle de restauration</t>
  </si>
  <si>
    <t>Révélation</t>
  </si>
  <si>
    <t>Seconde chance</t>
  </si>
  <si>
    <t>Souffle de vie</t>
  </si>
  <si>
    <t>Toucher divin</t>
  </si>
  <si>
    <t>Avatar divin</t>
  </si>
  <si>
    <t>Cure divine</t>
  </si>
  <si>
    <t>Détection de la magie</t>
  </si>
  <si>
    <t>Langage animal</t>
  </si>
  <si>
    <t>Endurance druidique</t>
  </si>
  <si>
    <t>Soins de la nature</t>
  </si>
  <si>
    <t>Purification druidique</t>
  </si>
  <si>
    <t>Amitié animale</t>
  </si>
  <si>
    <t>Épines</t>
  </si>
  <si>
    <t>Lumièr solaire</t>
  </si>
  <si>
    <t>Morsure d'arachnide</t>
  </si>
  <si>
    <t>Peau d'écorce</t>
  </si>
  <si>
    <t>Faiblaisse au poison</t>
  </si>
  <si>
    <t>Antidote</t>
  </si>
  <si>
    <t>Enchevêtrement</t>
  </si>
  <si>
    <t>Marque sauvage</t>
  </si>
  <si>
    <t>Festin des druides</t>
  </si>
  <si>
    <t>Animation d'hommes-plantes</t>
  </si>
  <si>
    <t>Source druidique</t>
  </si>
  <si>
    <t>Cercle des ronces</t>
  </si>
  <si>
    <t>Rayon de rouille</t>
  </si>
  <si>
    <t>Voyage sylvestre</t>
  </si>
  <si>
    <t>Arbres gardiens</t>
  </si>
  <si>
    <t>Arme sylvestre</t>
  </si>
  <si>
    <t>Cercle de restauration druidique</t>
  </si>
  <si>
    <t>Régénération sylvestre</t>
  </si>
  <si>
    <t>Piège de racines</t>
  </si>
  <si>
    <t>Reviviscence sylvestre</t>
  </si>
  <si>
    <t>Avatar de la chasse sauvage</t>
  </si>
  <si>
    <t>Arme élémentaire mineure</t>
  </si>
  <si>
    <t>Force mentale</t>
  </si>
  <si>
    <t>Poussée du mage</t>
  </si>
  <si>
    <t>Identification</t>
  </si>
  <si>
    <t>Projectiles arcanes mineurs</t>
  </si>
  <si>
    <t>Faiblaisse magique</t>
  </si>
  <si>
    <t>Silence arcane</t>
  </si>
  <si>
    <t>Sommeil de Morphée</t>
  </si>
  <si>
    <t>Barrière magique</t>
  </si>
  <si>
    <t>Objet maudit</t>
  </si>
  <si>
    <t>Enchantement d'arme</t>
  </si>
  <si>
    <t>Cage de verre</t>
  </si>
  <si>
    <t>Désenchantement arcane</t>
  </si>
  <si>
    <t>Oubli</t>
  </si>
  <si>
    <t>Occultation d'objet</t>
  </si>
  <si>
    <t>Incompétence</t>
  </si>
  <si>
    <t>Projectiles arcanes majeurs</t>
  </si>
  <si>
    <t>Fracture arcane</t>
  </si>
  <si>
    <t>Drainage de mana</t>
  </si>
  <si>
    <t>Création de souvenir</t>
  </si>
  <si>
    <t>Toucher de dissipation</t>
  </si>
  <si>
    <t>Voile d'invisibilité</t>
  </si>
  <si>
    <t>Domination</t>
  </si>
  <si>
    <t>Consécration arcane</t>
  </si>
  <si>
    <t>Chaos mental</t>
  </si>
  <si>
    <t>Magie exhaustive</t>
  </si>
  <si>
    <t>Aura d'anti-magie</t>
  </si>
  <si>
    <t>Dissipation de la magie</t>
  </si>
  <si>
    <t>Fureur arcane</t>
  </si>
  <si>
    <t>Incarnation arcane</t>
  </si>
  <si>
    <t>Protection élémentaire</t>
  </si>
  <si>
    <t>Faiblaisse élémentaire</t>
  </si>
  <si>
    <t>Toucher du mage</t>
  </si>
  <si>
    <t>Rayon désarmant</t>
  </si>
  <si>
    <t>Métabolisme de glace</t>
  </si>
  <si>
    <t>Bouclier de vent</t>
  </si>
  <si>
    <t>Rayon élémentaire</t>
  </si>
  <si>
    <t>Sérénité élémentaire</t>
  </si>
  <si>
    <t>Arme brûlante</t>
  </si>
  <si>
    <t>Armure de pierre</t>
  </si>
  <si>
    <t>Arme de titane</t>
  </si>
  <si>
    <t>Boule élémentaire</t>
  </si>
  <si>
    <t>Renvoi élémentaire</t>
  </si>
  <si>
    <t>Maîtrise des éléments</t>
  </si>
  <si>
    <t>Jambes pétrifiées</t>
  </si>
  <si>
    <t>Explosion élémentaire</t>
  </si>
  <si>
    <t>Fracture élémentaire</t>
  </si>
  <si>
    <t>Passage des braisiers</t>
  </si>
  <si>
    <t>Bouclier du vent</t>
  </si>
  <si>
    <t>Vapeur corrosive</t>
  </si>
  <si>
    <t>Golem élémentaire</t>
  </si>
  <si>
    <t>Tremblement de terre</t>
  </si>
  <si>
    <t>Prison de glace</t>
  </si>
  <si>
    <t>Asêct élémentaire</t>
  </si>
  <si>
    <t>Fusion élémentaire</t>
  </si>
  <si>
    <t>Colone élémentaire</t>
  </si>
  <si>
    <t>Avatar élémentaire</t>
  </si>
  <si>
    <t>Tempête élémentaire</t>
  </si>
  <si>
    <t>Réincarnation du phoenix</t>
  </si>
  <si>
    <t>Écoles permises</t>
  </si>
  <si>
    <t>École de magie</t>
  </si>
  <si>
    <t>Niveau</t>
  </si>
  <si>
    <t>Coût en XPs</t>
  </si>
  <si>
    <t>Semi-Magique</t>
  </si>
  <si>
    <t>Race</t>
  </si>
  <si>
    <t>Compétence</t>
  </si>
  <si>
    <t>Ilithyd</t>
  </si>
  <si>
    <t>XP</t>
  </si>
  <si>
    <t>PV jour</t>
  </si>
  <si>
    <t>PV nuit</t>
  </si>
  <si>
    <t>J</t>
  </si>
  <si>
    <t>N</t>
  </si>
  <si>
    <t>Voile de la moralité</t>
  </si>
  <si>
    <t>Bénédiction ténébreuse</t>
  </si>
  <si>
    <t>Protection contre le bien</t>
  </si>
  <si>
    <t>Peur maléfique</t>
  </si>
  <si>
    <t>Fragmentation d'armure</t>
  </si>
  <si>
    <t>Voile de l'ombre</t>
  </si>
  <si>
    <t>Sanctuaire du mal</t>
  </si>
  <si>
    <t>Damnation</t>
  </si>
  <si>
    <t>Couardise</t>
  </si>
  <si>
    <t>Drain infernal de l'essence</t>
  </si>
  <si>
    <t>Geôle des ombres</t>
  </si>
  <si>
    <t>Armure ténébreuse</t>
  </si>
  <si>
    <t>Poison endormant</t>
  </si>
  <si>
    <t>Festin des vilains</t>
  </si>
  <si>
    <t>Bouclier de la honte</t>
  </si>
  <si>
    <t>Grâce ténébreuse</t>
  </si>
  <si>
    <t>Désacralisation</t>
  </si>
  <si>
    <t>Confusion sensorielle</t>
  </si>
  <si>
    <t>Armure maléfique</t>
  </si>
  <si>
    <t>Destruction d'armure</t>
  </si>
  <si>
    <t>Délivrance des malédictions</t>
  </si>
  <si>
    <t>Marque du damné</t>
  </si>
  <si>
    <t>Fracturation d'arme</t>
  </si>
  <si>
    <t>Symbole d'occultation</t>
  </si>
  <si>
    <t>Avatar ténébreux</t>
  </si>
  <si>
    <t>Agonie divine</t>
  </si>
  <si>
    <t>Main morte</t>
  </si>
  <si>
    <t>Langage des morts</t>
  </si>
  <si>
    <t>Infliction de douleur</t>
  </si>
  <si>
    <t>Sort de peur</t>
  </si>
  <si>
    <t>Projectile d'os</t>
  </si>
  <si>
    <t>Animation mineure de zombies</t>
  </si>
  <si>
    <t>Fuite du spectre</t>
  </si>
  <si>
    <t>Souffle du spectre</t>
  </si>
  <si>
    <t>Silence de mort</t>
  </si>
  <si>
    <t>Testament nécromantique</t>
  </si>
  <si>
    <t>Armure d'os</t>
  </si>
  <si>
    <t>Animation de squelettes</t>
  </si>
  <si>
    <t>Mort illusoire</t>
  </si>
  <si>
    <t>Appel d'outre-tombe</t>
  </si>
  <si>
    <t>Explosion cadavérique</t>
  </si>
  <si>
    <t>Nécrophobie</t>
  </si>
  <si>
    <t>Animation majeure de zombies</t>
  </si>
  <si>
    <t>Main de la faucheuse</t>
  </si>
  <si>
    <t>Prison d'os</t>
  </si>
  <si>
    <t>Voyage astral</t>
  </si>
  <si>
    <t>Projectiles mortels</t>
  </si>
  <si>
    <t>Toucher maudit</t>
  </si>
  <si>
    <t>Échange de vitalité</t>
  </si>
  <si>
    <t>Aspect macabre</t>
  </si>
  <si>
    <t>Ordre d'outre-tombe</t>
  </si>
  <si>
    <t>Animation d'un nécrophage</t>
  </si>
  <si>
    <t>Invocation de la mort</t>
  </si>
  <si>
    <t>Souffle de la faucheuse</t>
  </si>
  <si>
    <t>Forme spectrale</t>
  </si>
  <si>
    <t>Souffrance maligne</t>
  </si>
  <si>
    <t>Bénédiction malveillante</t>
  </si>
  <si>
    <t>Langue de vipère</t>
  </si>
  <si>
    <t>Fureur provoquée</t>
  </si>
  <si>
    <t>La dernière chance</t>
  </si>
  <si>
    <t>Prison de démence</t>
  </si>
  <si>
    <t>Volonté infernale</t>
  </si>
  <si>
    <t>Bouclier de la foi noire</t>
  </si>
  <si>
    <t>Arme infernale</t>
  </si>
  <si>
    <t>Emblème maudit</t>
  </si>
  <si>
    <t>Protection infernale</t>
  </si>
  <si>
    <t>Protection maligne contre la magie</t>
  </si>
  <si>
    <t>Enclume du mal</t>
  </si>
  <si>
    <t>Destruction des lieux</t>
  </si>
  <si>
    <t>Dissipation de l'âme</t>
  </si>
  <si>
    <t>L'art de la douleur</t>
  </si>
  <si>
    <t>Châtiment</t>
  </si>
  <si>
    <t>Arsenal éthéré des abysses</t>
  </si>
  <si>
    <t>Déchéance du guerrier</t>
  </si>
  <si>
    <t>Voyage dans les ténèbres</t>
  </si>
  <si>
    <t>Armée maléfique</t>
  </si>
  <si>
    <t>Avatar maléfique</t>
  </si>
  <si>
    <t>Fragmentation de l'âme</t>
  </si>
  <si>
    <t>Détection des morts et des démons</t>
  </si>
  <si>
    <t>Bastion de la foi</t>
  </si>
  <si>
    <t>Vade Retro</t>
  </si>
  <si>
    <t>Le dernier salut</t>
  </si>
  <si>
    <t>Prison du jugement</t>
  </si>
  <si>
    <t>Volonté divine</t>
  </si>
  <si>
    <t>Bouclier de la foi</t>
  </si>
  <si>
    <t>Emblème sacrée</t>
  </si>
  <si>
    <t>Destruction des morts</t>
  </si>
  <si>
    <t>Protection divine contre la magie</t>
  </si>
  <si>
    <t>Lumière purificatrice</t>
  </si>
  <si>
    <t>Purification des lieux</t>
  </si>
  <si>
    <t>Arsenal éthéré de la foi</t>
  </si>
  <si>
    <t>Rappel à la terre</t>
  </si>
  <si>
    <t>Foudre purificatrice</t>
  </si>
  <si>
    <t>Arsenal miraculeux</t>
  </si>
  <si>
    <t>Luminaria</t>
  </si>
  <si>
    <t>Avatar sacrée</t>
  </si>
  <si>
    <t>Croisade</t>
  </si>
  <si>
    <t>Symbole de jugement</t>
  </si>
  <si>
    <t>Touche à tout - Attaque brutale</t>
  </si>
  <si>
    <t>Touche à tout - Bravoure accrue</t>
  </si>
  <si>
    <t>Touche à tout - Bris d'arme</t>
  </si>
  <si>
    <t xml:space="preserve">Touche à tout - </t>
  </si>
  <si>
    <t>Touche à tout - Brise-bouclier</t>
  </si>
  <si>
    <t>Touche à tout - Charge</t>
  </si>
  <si>
    <t>Touche à tout - Charge accrue</t>
  </si>
  <si>
    <t>Touche à tout - Coup meurtrier</t>
  </si>
  <si>
    <t>Touche à tout - Coup puissant</t>
  </si>
  <si>
    <t>Touche à tout - Endurance guerrière</t>
  </si>
  <si>
    <t>Touche à tout - Onde de choc</t>
  </si>
  <si>
    <t>Touche à tout - Peinture de protection</t>
  </si>
  <si>
    <t>Touche à tout - Résistance physique</t>
  </si>
  <si>
    <t>Touche à tout - Bouclier avancé</t>
  </si>
  <si>
    <t>Touche à tout - Contre-charge</t>
  </si>
  <si>
    <t>Touche à tout - Désarmement</t>
  </si>
  <si>
    <t>Touche à tout - Force brute</t>
  </si>
  <si>
    <t>Touche à tout - Port d'armure spécialisée</t>
  </si>
  <si>
    <t>Touche à tout - Clairvoyance</t>
  </si>
  <si>
    <t>Touche à tout - Endurance naturelle à la magie</t>
  </si>
  <si>
    <t>Touche à tout - Fatigue atténuée</t>
  </si>
  <si>
    <t>Touche à tout - Ferveur magique</t>
  </si>
  <si>
    <t>Touche à tout - Haute magie</t>
  </si>
  <si>
    <t>Touche à tout - Magie brutale</t>
  </si>
  <si>
    <t>Touche à tout - Poudre de Morphée</t>
  </si>
  <si>
    <t>Touche à tout - Résistance contre un élément</t>
  </si>
  <si>
    <t>Touche à tout - Résistance magique</t>
  </si>
  <si>
    <t>Touche à tout - Résistance mentale</t>
  </si>
  <si>
    <t>Touche à tout - Restauration</t>
  </si>
  <si>
    <t>Touche à tout - Talisman</t>
  </si>
  <si>
    <t>Touche à tout - Talisman avancée</t>
  </si>
  <si>
    <t>Touche à tout - Transfert de vitalité en mana</t>
  </si>
  <si>
    <t>Touche à tout - Renvoi de sort</t>
  </si>
  <si>
    <t>Touche à tout - Contact Marchand - Mineur</t>
  </si>
  <si>
    <t>Touche à tout - Contact Marchand - Druide</t>
  </si>
  <si>
    <t>Touche à tout - Contact Marchand - Brasseur</t>
  </si>
  <si>
    <t>Touche à tout - Contact Marchand - Forgeron</t>
  </si>
  <si>
    <t>Touche à tout - Contact Marchand - Scribe</t>
  </si>
  <si>
    <t>Touche à tout - Contact Marchand - Sorcier</t>
  </si>
  <si>
    <t>Touche à tout - Contact Marchand - Commanditaire</t>
  </si>
  <si>
    <t>Touche à tout - Expert en concotion</t>
  </si>
  <si>
    <t>Touche à tout - Forge avancée</t>
  </si>
  <si>
    <t>Touche à tout - Serrurier</t>
  </si>
  <si>
    <t>Touche à tout - Armure de la foi</t>
  </si>
  <si>
    <t>Touche à tout - Attaque divine</t>
  </si>
  <si>
    <t>Touche à tout - Don miraculeux</t>
  </si>
  <si>
    <t>Résistance magique (Bonus Elfe Gris)</t>
  </si>
  <si>
    <t>Résistance mentale (Bonus Elfe Lunaire)</t>
  </si>
  <si>
    <t>Résistance magique (Bonus Elfe Noir)</t>
  </si>
  <si>
    <t>Torture (Bonus Elfe Sanguinaire)</t>
  </si>
  <si>
    <t>Résistance aux poisons (Bonus Elfe Sauvage)</t>
  </si>
  <si>
    <t>Résistance contre un élément - Feu (Bonus Elfe Sauvage)</t>
  </si>
  <si>
    <t>Résistance contre un élément - Glace (Bonus Elfe Sauvage)</t>
  </si>
  <si>
    <t>Résistance contre un élément - Électricité (Bonus Elfe Sauvage)</t>
  </si>
  <si>
    <t>Résistance contre un élément - Acide (Bonus Elfe Sauvage)</t>
  </si>
  <si>
    <t>Résistance mentale (Bonus Haut-Elfe)</t>
  </si>
  <si>
    <t>Résistance magique (Bonus Gobelin)</t>
  </si>
  <si>
    <t>Résistance aux poisons (Bonus Gobelin)</t>
  </si>
  <si>
    <t>Résistance physique (Bonus Orque)</t>
  </si>
  <si>
    <t>Torture (Bonus Orque)</t>
  </si>
  <si>
    <t>Torture (Bonus Demi-Démon)</t>
  </si>
  <si>
    <t>Résistance aux poisons (Bonus Ilithyd</t>
  </si>
  <si>
    <t>Torture (Bonus Ilithyd)</t>
  </si>
  <si>
    <t>Résistance magique (Bonus Gitan)</t>
  </si>
  <si>
    <t>Résistance aux poisons (Bonus Morgull)</t>
  </si>
  <si>
    <t>Religion (Bonus Druide)</t>
  </si>
  <si>
    <t>Religion (Bonus Mage)</t>
  </si>
  <si>
    <t>Religion (Bonus Prêtre)</t>
  </si>
  <si>
    <t>Religion (Bonus Animiste)</t>
  </si>
  <si>
    <t>Archerie (Bonus Archer)</t>
  </si>
  <si>
    <t>Religion (Bonus Barde)</t>
  </si>
  <si>
    <t>Ferveur Magique (Bonus Barde)</t>
  </si>
  <si>
    <t>Bravoure (Bonus Berserker)</t>
  </si>
  <si>
    <t>Religion (Bonus Berserker)</t>
  </si>
  <si>
    <t>Religion (Bonus Chaman)</t>
  </si>
  <si>
    <t>Falsification (Bonus Charlatan)</t>
  </si>
  <si>
    <t>Religion (Bonus Ermite)</t>
  </si>
  <si>
    <t>Bouclier (Bonus Garde)</t>
  </si>
  <si>
    <t>Bouclier Avacé (Bonus Garde)</t>
  </si>
  <si>
    <t>Religion (Bonus Gardien Mystique)</t>
  </si>
  <si>
    <t>Religion (Bonus Guérisseur)</t>
  </si>
  <si>
    <t>Religion (Bonus Inquisiteur)</t>
  </si>
  <si>
    <t>Religion (Bonus Magelame)</t>
  </si>
  <si>
    <t>Religion (Bonus Maître des runes)</t>
  </si>
  <si>
    <t>Religion (Bonus Paladin)</t>
  </si>
  <si>
    <t>Invocation Guerrière (Bonus Paladin)</t>
  </si>
  <si>
    <t>Religion (Bonus Rôdeur)</t>
  </si>
  <si>
    <t>Archerie (Bonus Rôdeur)</t>
  </si>
  <si>
    <t>Religion (Bonus Sage)</t>
  </si>
  <si>
    <t>Religion (Bonus Scribe)</t>
  </si>
  <si>
    <t>Charge (Bonus Seigneur de Guerre)</t>
  </si>
  <si>
    <t>Religion (Bonus Totem)</t>
  </si>
  <si>
    <t>Arme de jet (Bonus Traqueur)</t>
  </si>
  <si>
    <t>Cummulable</t>
  </si>
  <si>
    <t>TEL:</t>
  </si>
  <si>
    <t>To do :</t>
  </si>
  <si>
    <t xml:space="preserve">Feu / </t>
  </si>
  <si>
    <t xml:space="preserve">Sacré / </t>
  </si>
  <si>
    <t xml:space="preserve">Électricité / </t>
  </si>
  <si>
    <t xml:space="preserve">Eau / </t>
  </si>
  <si>
    <t xml:space="preserve">Acide / </t>
  </si>
  <si>
    <t xml:space="preserve">Performance / </t>
  </si>
  <si>
    <t xml:space="preserve">Spectral / </t>
  </si>
  <si>
    <t>Faiblesse1</t>
  </si>
  <si>
    <t>Faiblesse2</t>
  </si>
  <si>
    <t>Faiblesse3</t>
  </si>
  <si>
    <t>Concat</t>
  </si>
  <si>
    <t>Carrière</t>
  </si>
  <si>
    <t>Maléfique</t>
  </si>
  <si>
    <t xml:space="preserve">Maudit / </t>
  </si>
  <si>
    <t>Faiblesse4</t>
  </si>
  <si>
    <t>Faiblesse5</t>
  </si>
  <si>
    <t>Unique</t>
  </si>
  <si>
    <t>WIP</t>
  </si>
  <si>
    <t>Niv. Max des sorts:</t>
  </si>
  <si>
    <t>Être Sylvestre (Eau)</t>
  </si>
  <si>
    <t>Être Sylvestre (Terre)</t>
  </si>
  <si>
    <t>Être Sylvestre (Feu)</t>
  </si>
  <si>
    <t>Être Sylvestre (Air)</t>
  </si>
  <si>
    <t>Saurien (Phrynos)</t>
  </si>
  <si>
    <t>Saurien (Slann)</t>
  </si>
  <si>
    <t>Saurien (Coatl)</t>
  </si>
  <si>
    <t>Saurien (Troglodon)</t>
  </si>
  <si>
    <t>Maximum Magique</t>
  </si>
  <si>
    <t>Type de magie</t>
  </si>
  <si>
    <t>Div.1</t>
  </si>
  <si>
    <t>Div.2</t>
  </si>
  <si>
    <t>Respect niv.</t>
  </si>
  <si>
    <t>Respect école</t>
  </si>
  <si>
    <t>Autorisation</t>
  </si>
  <si>
    <t>Système de premier achat de X gratuit</t>
  </si>
  <si>
    <t>Idée</t>
  </si>
  <si>
    <t xml:space="preserve">Charme / </t>
  </si>
  <si>
    <t>Concoction</t>
  </si>
  <si>
    <t>Concotion</t>
  </si>
  <si>
    <t>Valeur</t>
  </si>
  <si>
    <t>Herboristerie</t>
  </si>
  <si>
    <t>Toxicologie</t>
  </si>
  <si>
    <t>Alchimie</t>
  </si>
  <si>
    <t>Type d'armure</t>
  </si>
  <si>
    <t>Non métallique</t>
  </si>
  <si>
    <t>2 non dispo</t>
  </si>
  <si>
    <t>Toujours dispo</t>
  </si>
  <si>
    <t>Blocage race</t>
  </si>
  <si>
    <t>Blocage carrière</t>
  </si>
  <si>
    <t>Disponible?</t>
  </si>
  <si>
    <t>Race joueur</t>
  </si>
  <si>
    <t>Carrière joueur</t>
  </si>
  <si>
    <t>École</t>
  </si>
  <si>
    <t>École 1</t>
  </si>
  <si>
    <t>École 2</t>
  </si>
  <si>
    <t xml:space="preserve">Mai </t>
  </si>
  <si>
    <t xml:space="preserve">Juin </t>
  </si>
  <si>
    <t xml:space="preserve">Juillet </t>
  </si>
  <si>
    <t xml:space="preserve">Août </t>
  </si>
  <si>
    <t xml:space="preserve">Septembre </t>
  </si>
  <si>
    <t>Immunité1</t>
  </si>
  <si>
    <t>Immunité2</t>
  </si>
  <si>
    <t>Immunité3</t>
  </si>
  <si>
    <t xml:space="preserve">Sommeil / </t>
  </si>
  <si>
    <t xml:space="preserve">Effets néfastes du druidisme / </t>
  </si>
  <si>
    <t xml:space="preserve">Maladies magiques ou non / </t>
  </si>
  <si>
    <t>Immunité4</t>
  </si>
  <si>
    <t xml:space="preserve">Alcool / </t>
  </si>
  <si>
    <t xml:space="preserve">Maladies non magiques / </t>
  </si>
  <si>
    <t xml:space="preserve">Poison / </t>
  </si>
  <si>
    <t>Immunité</t>
  </si>
  <si>
    <t xml:space="preserve">Fractures / </t>
  </si>
  <si>
    <t xml:space="preserve">Toutes magies / </t>
  </si>
  <si>
    <t xml:space="preserve">Peur / </t>
  </si>
  <si>
    <t xml:space="preserve">Terreur / </t>
  </si>
  <si>
    <t xml:space="preserve">Coma étylique / </t>
  </si>
  <si>
    <t xml:space="preserve">Sang pur / </t>
  </si>
  <si>
    <t xml:space="preserve">Sang impur / </t>
  </si>
  <si>
    <t>Compétence1</t>
  </si>
  <si>
    <t>Compétence2</t>
  </si>
  <si>
    <t>Compétence3</t>
  </si>
  <si>
    <t>Compétence4</t>
  </si>
  <si>
    <t>Prérequis d'achat</t>
  </si>
  <si>
    <t>Total</t>
  </si>
  <si>
    <t>Pts religion</t>
  </si>
  <si>
    <t>Religion 1</t>
  </si>
  <si>
    <t>Religion 2</t>
  </si>
  <si>
    <t>Final Religion 1</t>
  </si>
  <si>
    <t>Final Religion 2</t>
  </si>
  <si>
    <t>Art mystique</t>
  </si>
  <si>
    <t>Lecture et écriture - Commun</t>
  </si>
  <si>
    <t>Lecture et écriture - Elfique</t>
  </si>
  <si>
    <t>Lecture et écriture - Rakuzan</t>
  </si>
  <si>
    <t>Lecture et écriture - Infernal</t>
  </si>
  <si>
    <t>Lecture et écriture - Céleste</t>
  </si>
  <si>
    <t>Lecture et écriture - Outremonde</t>
  </si>
  <si>
    <t>Lecture et écriture - Vermilangue</t>
  </si>
  <si>
    <t>Lecture et écriture - Orque</t>
  </si>
  <si>
    <t>Lecture et écriture - Arborique</t>
  </si>
  <si>
    <t>Lecture et écriture - Arcane</t>
  </si>
  <si>
    <t>Lecture et écriture - Runique</t>
  </si>
  <si>
    <t>Lecture et écriture - Sylvestre</t>
  </si>
  <si>
    <t>Arme non conventionnelle - 2 mains</t>
  </si>
  <si>
    <t>Arme non conventionnelle - Colossale</t>
  </si>
  <si>
    <t>À réparer</t>
  </si>
  <si>
    <t>Page des règles de magie et flagger à partir de valeurs VRAI/FAUX</t>
  </si>
  <si>
    <t>Lecture et écriture - Commun (Bonus Demi-Elfe)</t>
  </si>
  <si>
    <t>Lecture et écriture - Elfique (Bonus Demi-Elfe)</t>
  </si>
  <si>
    <t>Lecture et écriture - Rakuzan (Bonus Demi-Elfe)</t>
  </si>
  <si>
    <t>Lecture et écriture - Infernal (Bonus Demi-Elfe)</t>
  </si>
  <si>
    <t>Lecture et écriture - Céleste (Bonus Demi-Elfe)</t>
  </si>
  <si>
    <t>Lecture et écriture - Outremonde (Bonus Demi-Elfe)</t>
  </si>
  <si>
    <t>Lecture et écriture - Vermilangue (Bonus Demi-Elfe)</t>
  </si>
  <si>
    <t>Lecture et écriture - Orque (Bonus Demi-Elfe)</t>
  </si>
  <si>
    <t>Lecture et écriture - Arcane (Bonus Demi-Elfe)</t>
  </si>
  <si>
    <t>Lecture et écriture - Arborique (Bonus Demi-Elfe)</t>
  </si>
  <si>
    <t>Lecture et écriture - Runique (Bonus Demi-Elfe)</t>
  </si>
  <si>
    <t>Lecture et écriture - Sylvestre (Bonus Demi-Elfe)</t>
  </si>
  <si>
    <t>Lecture et écriture - Commun (Bonus Elfe Gris)</t>
  </si>
  <si>
    <t>Lecture et écriture - Elfique (Bonus Elfe Gris)</t>
  </si>
  <si>
    <t>Lecture et écriture - Rakuzan (Bonus Elfe Gris)</t>
  </si>
  <si>
    <t>Lecture et écriture - Infernal (Bonus Elfe Gris)</t>
  </si>
  <si>
    <t>Lecture et écriture - Céleste (Bonus Elfe Gris)</t>
  </si>
  <si>
    <t>Lecture et écriture - Outremonde (Bonus Elfe Gris)</t>
  </si>
  <si>
    <t>Lecture et écriture - Vermilangue (Bonus Elfe Gris)</t>
  </si>
  <si>
    <t>Lecture et écriture - Orque (Bonus Elfe Gris)</t>
  </si>
  <si>
    <t>Lecture et écriture - Arcane (Bonus Elfe Gris)</t>
  </si>
  <si>
    <t>Lecture et écriture - Arborique (Bonus Elfe Gris)</t>
  </si>
  <si>
    <t>Lecture et écriture - Runique (Bonus Elfe Gris)</t>
  </si>
  <si>
    <t>Lecture et écriture - Sylvestre (Bonus Elfe Gris)</t>
  </si>
  <si>
    <t>Lecture et écriture - Elfique (Bonus Haut Elfe)</t>
  </si>
  <si>
    <t>Lecture et écriture - Commun (Bonus Mage)</t>
  </si>
  <si>
    <t>Lecture et écriture - Elfique (Bonus Mage)</t>
  </si>
  <si>
    <t>Lecture et écriture - Rakuzan (Bonus Mage)</t>
  </si>
  <si>
    <t>Lecture et écriture - Infernal (Bonus Mage)</t>
  </si>
  <si>
    <t>Lecture et écriture - Céleste (Bonus Mage)</t>
  </si>
  <si>
    <t>Lecture et écriture - Outremonde (Bonus Mage)</t>
  </si>
  <si>
    <t>Lecture et écriture - Vermilangue (Bonus Mage)</t>
  </si>
  <si>
    <t>Lecture et écriture - Orque (Bonus Mage)</t>
  </si>
  <si>
    <t>Lecture et écriture - Arcane (Bonus Mage)</t>
  </si>
  <si>
    <t>Lecture et écriture - Arborique (Bonus Mage)</t>
  </si>
  <si>
    <t>Lecture et écriture - Runique (Bonus Mage)</t>
  </si>
  <si>
    <t>Lecture et écriture - Sylvestre (Bonus Mage)</t>
  </si>
  <si>
    <t>Lecture et écriture - Commun (Bonus Barde)</t>
  </si>
  <si>
    <t>Lecture et écriture - Elfique (Bonus Barde)</t>
  </si>
  <si>
    <t>Lecture et écriture - Rakuzan (Bonus Barde)</t>
  </si>
  <si>
    <t>Lecture et écriture - Infernal (Bonus Barde)</t>
  </si>
  <si>
    <t>Lecture et écriture - Céleste (Bonus Barde)</t>
  </si>
  <si>
    <t>Lecture et écriture - Outremonde (Bonus Barde)</t>
  </si>
  <si>
    <t>Lecture et écriture - Vermilangue (Bonus Barde)</t>
  </si>
  <si>
    <t>Lecture et écriture - Orque (Bonus Barde)</t>
  </si>
  <si>
    <t>Lecture et écriture - Arcane (Bonus Barde)</t>
  </si>
  <si>
    <t>Lecture et écriture - Arborique (Bonus Barde)</t>
  </si>
  <si>
    <t>Lecture et écriture - Runique (Bonus Barde)</t>
  </si>
  <si>
    <t>Lecture et écriture - Sylvestre (Bonus Barde)</t>
  </si>
  <si>
    <t>Lecture et écriture - Commun (Bonus Charlatan)</t>
  </si>
  <si>
    <t>Lecture et écriture - Elfique (Bonus Charlatan)</t>
  </si>
  <si>
    <t>Lecture et écriture - Rakuzan (Bonus Charlatan)</t>
  </si>
  <si>
    <t>Lecture et écriture - Infernal (Bonus Charlatan)</t>
  </si>
  <si>
    <t>Lecture et écriture - Céleste (Bonus Charlatan)</t>
  </si>
  <si>
    <t>Lecture et écriture - Outremonde (Bonus Charlatan)</t>
  </si>
  <si>
    <t>Lecture et écriture - Vermilangue (Bonus Charlatan)</t>
  </si>
  <si>
    <t>Lecture et écriture - Orque (Bonus Charlatan)</t>
  </si>
  <si>
    <t>Lecture et écriture - Arcane (Bonus Charlatan)</t>
  </si>
  <si>
    <t>Lecture et écriture - Arborique (Bonus Charlatan)</t>
  </si>
  <si>
    <t>Lecture et écriture - Runique (Bonus Charlatan)</t>
  </si>
  <si>
    <t>Lecture et écriture - Sylvestre (Bonus Charlatan)</t>
  </si>
  <si>
    <t>Lecture et écriture - Commun (Bonus Sage)</t>
  </si>
  <si>
    <t>Lecture et écriture - Elfique (Bonus Sage)</t>
  </si>
  <si>
    <t>Lecture et écriture - Rakuzan (Bonus Sage)</t>
  </si>
  <si>
    <t>Lecture et écriture - Infernal (Bonus Sage)</t>
  </si>
  <si>
    <t>Lecture et écriture - Céleste (Bonus Sage)</t>
  </si>
  <si>
    <t>Lecture et écriture - Outremonde (Bonus Sage)</t>
  </si>
  <si>
    <t>Lecture et écriture - Vermilangue (Bonus Sage)</t>
  </si>
  <si>
    <t>Lecture et écriture - Orque (Bonus Sage)</t>
  </si>
  <si>
    <t>Lecture et écriture - Arcane (Bonus Sage)</t>
  </si>
  <si>
    <t>Lecture et écriture - Arborique (Bonus Sage)</t>
  </si>
  <si>
    <t>Lecture et écriture - Runique (Bonus Sage)</t>
  </si>
  <si>
    <t>Lecture et écriture - Sylvestre (Bonus Sage)</t>
  </si>
  <si>
    <t>Lecture et écriture - Commun (Bonus Scribe)</t>
  </si>
  <si>
    <t>Lecture et écriture - Elfique (Bonus Scribe)</t>
  </si>
  <si>
    <t>Lecture et écriture - Rakuzan (Bonus Scribe)</t>
  </si>
  <si>
    <t>Lecture et écriture - Infernal (Bonus Scribe)</t>
  </si>
  <si>
    <t>Lecture et écriture - Céleste (Bonus Scribe)</t>
  </si>
  <si>
    <t>Lecture et écriture - Outremonde (Bonus Scribe)</t>
  </si>
  <si>
    <t>Lecture et écriture - Vermilangue (Bonus Scribe)</t>
  </si>
  <si>
    <t>Lecture et écriture - Orque (Bonus Scribe)</t>
  </si>
  <si>
    <t>Lecture et écriture - Arcane (Bonus Scribe)</t>
  </si>
  <si>
    <t>Lecture et écriture - Arborique (Bonus Scribe)</t>
  </si>
  <si>
    <t>Lecture et écriture - Runique (Bonus Scribe)</t>
  </si>
  <si>
    <t>Lecture et écriture - Sylvestre (Bonus Scribe)</t>
  </si>
  <si>
    <t>A1</t>
  </si>
  <si>
    <t>A2</t>
  </si>
  <si>
    <t>A3</t>
  </si>
  <si>
    <t>A4</t>
  </si>
  <si>
    <t>A5</t>
  </si>
  <si>
    <t>A6</t>
  </si>
  <si>
    <t>A7</t>
  </si>
  <si>
    <t>A8</t>
  </si>
  <si>
    <t>A9</t>
  </si>
  <si>
    <t>A10</t>
  </si>
  <si>
    <t>A11</t>
  </si>
  <si>
    <t>A12</t>
  </si>
  <si>
    <t>B1</t>
  </si>
  <si>
    <t>B2</t>
  </si>
  <si>
    <t>B3</t>
  </si>
  <si>
    <t>B4</t>
  </si>
  <si>
    <t>B5</t>
  </si>
  <si>
    <t>B6</t>
  </si>
  <si>
    <t>B7</t>
  </si>
  <si>
    <t>B8</t>
  </si>
  <si>
    <t>B9</t>
  </si>
  <si>
    <t>B10</t>
  </si>
  <si>
    <t>B11</t>
  </si>
  <si>
    <t>B12</t>
  </si>
  <si>
    <t>C1</t>
  </si>
  <si>
    <t>D1</t>
  </si>
  <si>
    <t>D2</t>
  </si>
  <si>
    <t>D3</t>
  </si>
  <si>
    <t>D4</t>
  </si>
  <si>
    <t>D5</t>
  </si>
  <si>
    <t>D6</t>
  </si>
  <si>
    <t>D7</t>
  </si>
  <si>
    <t>D8</t>
  </si>
  <si>
    <t>D9</t>
  </si>
  <si>
    <t>D10</t>
  </si>
  <si>
    <t>D11</t>
  </si>
  <si>
    <t>D12</t>
  </si>
  <si>
    <t>E1</t>
  </si>
  <si>
    <t>E2</t>
  </si>
  <si>
    <t>E3</t>
  </si>
  <si>
    <t>E4</t>
  </si>
  <si>
    <t>E5</t>
  </si>
  <si>
    <t>E6</t>
  </si>
  <si>
    <t>E7</t>
  </si>
  <si>
    <t>E8</t>
  </si>
  <si>
    <t>E9</t>
  </si>
  <si>
    <t>E10</t>
  </si>
  <si>
    <t>E11</t>
  </si>
  <si>
    <t>E12</t>
  </si>
  <si>
    <t>F1</t>
  </si>
  <si>
    <t>F2</t>
  </si>
  <si>
    <t>F3</t>
  </si>
  <si>
    <t>F4</t>
  </si>
  <si>
    <t>F5</t>
  </si>
  <si>
    <t>F6</t>
  </si>
  <si>
    <t>F7</t>
  </si>
  <si>
    <t>F8</t>
  </si>
  <si>
    <t>F9</t>
  </si>
  <si>
    <t>F10</t>
  </si>
  <si>
    <t>F11</t>
  </si>
  <si>
    <t>F12</t>
  </si>
  <si>
    <t>G1</t>
  </si>
  <si>
    <t>G2</t>
  </si>
  <si>
    <t>G3</t>
  </si>
  <si>
    <t>G4</t>
  </si>
  <si>
    <t>G5</t>
  </si>
  <si>
    <t>G6</t>
  </si>
  <si>
    <t>G7</t>
  </si>
  <si>
    <t>G8</t>
  </si>
  <si>
    <t>G9</t>
  </si>
  <si>
    <t>G10</t>
  </si>
  <si>
    <t>G11</t>
  </si>
  <si>
    <t>G12</t>
  </si>
  <si>
    <t>H1</t>
  </si>
  <si>
    <t>H2</t>
  </si>
  <si>
    <t>H3</t>
  </si>
  <si>
    <t>H4</t>
  </si>
  <si>
    <t>H5</t>
  </si>
  <si>
    <t>H6</t>
  </si>
  <si>
    <t>H7</t>
  </si>
  <si>
    <t>H8</t>
  </si>
  <si>
    <t>H9</t>
  </si>
  <si>
    <t>H10</t>
  </si>
  <si>
    <t>H11</t>
  </si>
  <si>
    <t>H12</t>
  </si>
  <si>
    <t>Concoction : Herboristerie (Bonus Elfe Sauvage)</t>
  </si>
  <si>
    <t>Concoction : Herboristerie (Bonus Être Sylvestre)</t>
  </si>
  <si>
    <t>Concoction : Toxicologie (Bonus Être Sylvestre)</t>
  </si>
  <si>
    <t>Concoction : Alchimie (Bonus Gobelin)</t>
  </si>
  <si>
    <t>&lt;&gt;</t>
  </si>
  <si>
    <t>Compétences avancées</t>
  </si>
  <si>
    <t>Sage et ses écoles de magies</t>
  </si>
  <si>
    <t>X</t>
  </si>
  <si>
    <t>Validation</t>
  </si>
  <si>
    <t>Lecture et écriture</t>
  </si>
  <si>
    <t>Commun</t>
  </si>
  <si>
    <t>Elfique</t>
  </si>
  <si>
    <t>Rakuzan</t>
  </si>
  <si>
    <t>Infernal</t>
  </si>
  <si>
    <t>Céleste</t>
  </si>
  <si>
    <t>Outremonde</t>
  </si>
  <si>
    <t>Vermilangue</t>
  </si>
  <si>
    <t>Arcane</t>
  </si>
  <si>
    <t>Arborique</t>
  </si>
  <si>
    <t>Runique</t>
  </si>
  <si>
    <t>Sylvestre</t>
  </si>
  <si>
    <t>Animiste et ses écoles de magies</t>
  </si>
  <si>
    <t>Moralité permises</t>
  </si>
  <si>
    <t xml:space="preserve"> </t>
  </si>
  <si>
    <t>Esprits de la guerre (Khurn)</t>
  </si>
  <si>
    <t>Esprits de la guerre (Odann)</t>
  </si>
  <si>
    <t>Esprits de la guerre (Ulrick Silverwolf)</t>
  </si>
  <si>
    <t>Religion présente</t>
  </si>
  <si>
    <t>Test</t>
  </si>
  <si>
    <t>Autre</t>
  </si>
  <si>
    <t xml:space="preserve">École de magie: </t>
  </si>
  <si>
    <t>Ambidexterie (Bonus Humain)</t>
  </si>
  <si>
    <t>Archerie (Bonus Humain)</t>
  </si>
  <si>
    <t>Archerie Arcane (Bonus Humain)</t>
  </si>
  <si>
    <t>Arme à feu (Bonus Humain)</t>
  </si>
  <si>
    <t>Arme de jet (Bonus Humain)</t>
  </si>
  <si>
    <t>Arme non conventionnelle - 2 mains (Bonus Humain)</t>
  </si>
  <si>
    <t>Arme non conventionnelle - Colossale (Bonus Humain)</t>
  </si>
  <si>
    <t>Art Mystique (Bonus Humain)</t>
  </si>
  <si>
    <t>Bâton de pouvoir (Bonus Humain)</t>
  </si>
  <si>
    <t>Bouclier (Bonus Humain)</t>
  </si>
  <si>
    <t>Bravoure (Bonus Humain)</t>
  </si>
  <si>
    <t>Charognard (Bonus Humain)</t>
  </si>
  <si>
    <t>Concoction : Herboristerie (Bonus Humain)</t>
  </si>
  <si>
    <t>Concoction : Alchimie (Bonus Humain)</t>
  </si>
  <si>
    <t>Concoction : Toxicologie (Bonus Humain)</t>
  </si>
  <si>
    <t>Endurance Simple (Bonus Humain)</t>
  </si>
  <si>
    <t>Forge (Bonus Humain)</t>
  </si>
  <si>
    <t>Héraldique (Bonus Humain)</t>
  </si>
  <si>
    <t>Invocation Guerrière (Bonus Humain)</t>
  </si>
  <si>
    <t>Lecture et écriture - Commun (Bonus Humain)</t>
  </si>
  <si>
    <t>Lecture et écriture - Elfique (Bonus Humain)</t>
  </si>
  <si>
    <t>Lecture et écriture - Rakuzan (Bonus Humain)</t>
  </si>
  <si>
    <t>Lecture et écriture - Infernal (Bonus Humain)</t>
  </si>
  <si>
    <t>Lecture et écriture - Céleste (Bonus Humain)</t>
  </si>
  <si>
    <t>Lecture et écriture - Outremonde (Bonus Humain)</t>
  </si>
  <si>
    <t>Lecture et écriture - Vermilangue (Bonus Humain)</t>
  </si>
  <si>
    <t>Lecture et écriture - Orque (Bonus Humain)</t>
  </si>
  <si>
    <t>Lecture et écriture - Arcane (Bonus Humain)</t>
  </si>
  <si>
    <t>Lecture et écriture - Arborique (Bonus Humain)</t>
  </si>
  <si>
    <t>Lecture et écriture - Runique (Bonus Humain)</t>
  </si>
  <si>
    <t>Lecture et écriture - Sylvestre (Bonus Humain)</t>
  </si>
  <si>
    <t>Mulet de bataille (Bonus Humain)</t>
  </si>
  <si>
    <t>Noblesse (Bonus Humain)</t>
  </si>
  <si>
    <t>Peinture des Morts (Bonus Humain)</t>
  </si>
  <si>
    <t>Rage animale (Bonus Humain)</t>
  </si>
  <si>
    <t>Religion (Bonus Humain)</t>
  </si>
  <si>
    <t>Résistance à l'alcool (Bonus Humain)</t>
  </si>
  <si>
    <t>Résistance aux maladies (Bonus Humain)</t>
  </si>
  <si>
    <t>Rituel (Bonus Humain)</t>
  </si>
  <si>
    <t>Sang impur (Bonus Humain)</t>
  </si>
  <si>
    <t>Sang pur (Bonus Humain)</t>
  </si>
  <si>
    <t>Présent?</t>
  </si>
  <si>
    <t>Indisponnible</t>
  </si>
  <si>
    <t>Disponible</t>
  </si>
  <si>
    <t>&gt;</t>
  </si>
  <si>
    <t>&lt;</t>
  </si>
  <si>
    <t>Maître ambidextre</t>
  </si>
  <si>
    <t>Octobre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</si>
</sst>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C0C]General"/>
    <numFmt numFmtId="165" formatCode="[$-C0C]yyyy\-mm\-dd"/>
    <numFmt numFmtId="166" formatCode="0;\-0;;@"/>
    <numFmt numFmtId="167" formatCode="\L\L\L\ \(###\)\ ###\-####"/>
    <numFmt numFmtId="168" formatCode="\(###\)\ ###\-####"/>
  </numFmts>
  <fonts count="20">
    <font>
      <sz val="12"/>
      <color theme="1"/>
      <name val="Arial"/>
    </font>
    <font>
      <sz val="12"/>
      <name val="Arial"/>
      <family val="2"/>
    </font>
    <font>
      <sz val="12"/>
      <color theme="1"/>
      <name val="Calibri"/>
      <family val="2"/>
    </font>
    <font>
      <sz val="12"/>
      <color theme="1"/>
      <name val="Arial"/>
      <family val="2"/>
    </font>
    <font>
      <u/>
      <sz val="12"/>
      <color theme="10"/>
      <name val="Arial"/>
      <family val="2"/>
    </font>
    <font>
      <sz val="12"/>
      <color theme="0"/>
      <name val="Arial"/>
      <family val="2"/>
    </font>
    <font>
      <b/>
      <sz val="11"/>
      <name val="Sorts Mill Goudy"/>
    </font>
    <font>
      <sz val="8"/>
      <name val="Arial"/>
      <family val="2"/>
    </font>
    <font>
      <sz val="10"/>
      <name val="Sorts Mill Goudy"/>
    </font>
    <font>
      <sz val="10"/>
      <name val="Calibri"/>
      <family val="2"/>
    </font>
    <font>
      <sz val="11"/>
      <name val="Sorts Mill Goudy"/>
    </font>
    <font>
      <sz val="14"/>
      <name val="BlackCastleMF"/>
    </font>
    <font>
      <sz val="12"/>
      <name val="Calibri"/>
      <family val="2"/>
    </font>
    <font>
      <b/>
      <sz val="10"/>
      <name val="Sorts Mill Goudy"/>
    </font>
    <font>
      <b/>
      <sz val="9"/>
      <name val="Sorts Mill Goudy"/>
    </font>
    <font>
      <sz val="10"/>
      <name val="F"/>
    </font>
    <font>
      <sz val="8"/>
      <name val="Sorts Mill Goudy"/>
    </font>
    <font>
      <u/>
      <sz val="18"/>
      <name val="Arial"/>
      <family val="2"/>
    </font>
    <font>
      <sz val="10"/>
      <color rgb="FFFF0000"/>
      <name val="Calibri"/>
      <family val="2"/>
    </font>
    <font>
      <sz val="12"/>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7" tint="0.79998168889431442"/>
        <bgColor indexed="64"/>
      </patternFill>
    </fill>
  </fills>
  <borders count="36">
    <border>
      <left/>
      <right/>
      <top/>
      <bottom/>
      <diagonal/>
    </border>
    <border>
      <left style="double">
        <color rgb="FF000000"/>
      </left>
      <right/>
      <top style="double">
        <color rgb="FF000000"/>
      </top>
      <bottom/>
      <diagonal/>
    </border>
    <border>
      <left/>
      <right/>
      <top style="double">
        <color rgb="FF000000"/>
      </top>
      <bottom/>
      <diagonal/>
    </border>
    <border>
      <left/>
      <right/>
      <top style="double">
        <color rgb="FF000000"/>
      </top>
      <bottom style="thin">
        <color rgb="FF000000"/>
      </bottom>
      <diagonal/>
    </border>
    <border>
      <left/>
      <right style="double">
        <color rgb="FF000000"/>
      </right>
      <top style="double">
        <color rgb="FF000000"/>
      </top>
      <bottom/>
      <diagonal/>
    </border>
    <border>
      <left style="double">
        <color rgb="FF000000"/>
      </left>
      <right/>
      <top/>
      <bottom/>
      <diagonal/>
    </border>
    <border>
      <left/>
      <right/>
      <top/>
      <bottom style="thin">
        <color rgb="FF000000"/>
      </bottom>
      <diagonal/>
    </border>
    <border>
      <left/>
      <right style="double">
        <color rgb="FF000000"/>
      </right>
      <top/>
      <bottom/>
      <diagonal/>
    </border>
    <border>
      <left/>
      <right/>
      <top style="thin">
        <color rgb="FF000000"/>
      </top>
      <bottom style="thin">
        <color rgb="FF000000"/>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84">
    <xf numFmtId="0" fontId="0" fillId="0" borderId="0" xfId="0"/>
    <xf numFmtId="0" fontId="2" fillId="0" borderId="0" xfId="0" applyFont="1"/>
    <xf numFmtId="0" fontId="3" fillId="0" borderId="0" xfId="0" applyFont="1"/>
    <xf numFmtId="166" fontId="0" fillId="0" borderId="0" xfId="0" applyNumberFormat="1"/>
    <xf numFmtId="0" fontId="1" fillId="0" borderId="0" xfId="0" applyFont="1"/>
    <xf numFmtId="0" fontId="5" fillId="0" borderId="0" xfId="0" applyFont="1"/>
    <xf numFmtId="0" fontId="0" fillId="2" borderId="0" xfId="0" applyFill="1"/>
    <xf numFmtId="0" fontId="0" fillId="3" borderId="0" xfId="0" applyFill="1"/>
    <xf numFmtId="0" fontId="3" fillId="2" borderId="0" xfId="0" applyFont="1" applyFill="1"/>
    <xf numFmtId="0" fontId="0" fillId="4" borderId="0" xfId="0" applyFill="1"/>
    <xf numFmtId="0" fontId="3" fillId="0" borderId="0" xfId="0" applyFont="1" applyAlignment="1">
      <alignment horizontal="center"/>
    </xf>
    <xf numFmtId="0" fontId="3" fillId="0" borderId="0" xfId="0" quotePrefix="1" applyFont="1" applyAlignment="1">
      <alignment horizontal="center"/>
    </xf>
    <xf numFmtId="0" fontId="3" fillId="4" borderId="0" xfId="0" applyFont="1" applyFill="1"/>
    <xf numFmtId="0" fontId="3" fillId="0" borderId="0" xfId="0" quotePrefix="1" applyFont="1"/>
    <xf numFmtId="0" fontId="0" fillId="0" borderId="0" xfId="0" quotePrefix="1"/>
    <xf numFmtId="22" fontId="0" fillId="0" borderId="0" xfId="0" applyNumberFormat="1"/>
    <xf numFmtId="0" fontId="8" fillId="0" borderId="12" xfId="0" applyFont="1" applyBorder="1" applyAlignment="1">
      <alignment horizontal="center" vertical="center"/>
    </xf>
    <xf numFmtId="0" fontId="1" fillId="0" borderId="13" xfId="0" applyFont="1" applyBorder="1" applyAlignment="1">
      <alignment vertical="center"/>
    </xf>
    <xf numFmtId="0" fontId="10" fillId="0" borderId="9" xfId="0" applyFont="1" applyBorder="1"/>
    <xf numFmtId="0" fontId="10" fillId="0" borderId="10" xfId="0" applyFont="1" applyBorder="1"/>
    <xf numFmtId="0" fontId="10" fillId="0" borderId="11" xfId="0" applyFont="1" applyBorder="1"/>
    <xf numFmtId="0" fontId="8" fillId="0" borderId="7" xfId="0" applyFont="1" applyBorder="1" applyAlignment="1">
      <alignment vertical="top"/>
    </xf>
    <xf numFmtId="0" fontId="9" fillId="0" borderId="0" xfId="0" applyFont="1" applyAlignment="1">
      <alignment vertical="top"/>
    </xf>
    <xf numFmtId="0" fontId="8" fillId="0" borderId="0" xfId="0" applyFont="1" applyAlignment="1">
      <alignment vertical="top"/>
    </xf>
    <xf numFmtId="0" fontId="8" fillId="0" borderId="5" xfId="0" applyFont="1" applyBorder="1" applyAlignment="1">
      <alignment vertical="top"/>
    </xf>
    <xf numFmtId="164" fontId="8" fillId="0" borderId="0" xfId="0" applyNumberFormat="1" applyFont="1" applyAlignment="1">
      <alignment vertical="top"/>
    </xf>
    <xf numFmtId="164" fontId="14" fillId="0" borderId="0" xfId="0" applyNumberFormat="1" applyFont="1" applyAlignment="1">
      <alignment horizontal="left" vertical="top"/>
    </xf>
    <xf numFmtId="164" fontId="14" fillId="0" borderId="0" xfId="0" applyNumberFormat="1" applyFont="1" applyAlignment="1">
      <alignment vertical="top"/>
    </xf>
    <xf numFmtId="164" fontId="13" fillId="0" borderId="16" xfId="0" applyNumberFormat="1" applyFont="1" applyBorder="1" applyAlignment="1">
      <alignment horizontal="right"/>
    </xf>
    <xf numFmtId="164" fontId="13" fillId="0" borderId="16" xfId="0" applyNumberFormat="1" applyFont="1" applyBorder="1" applyAlignment="1">
      <alignment horizontal="left"/>
    </xf>
    <xf numFmtId="164" fontId="14" fillId="0" borderId="16" xfId="0" applyNumberFormat="1" applyFont="1" applyBorder="1" applyAlignment="1">
      <alignment horizontal="left" vertical="top"/>
    </xf>
    <xf numFmtId="164" fontId="13" fillId="0" borderId="0" xfId="0" applyNumberFormat="1" applyFont="1" applyAlignment="1">
      <alignment vertical="top"/>
    </xf>
    <xf numFmtId="164" fontId="13" fillId="0" borderId="0" xfId="0" applyNumberFormat="1" applyFont="1" applyAlignment="1">
      <alignment horizontal="right" vertical="top"/>
    </xf>
    <xf numFmtId="164" fontId="8" fillId="0" borderId="16" xfId="0" applyNumberFormat="1" applyFont="1" applyBorder="1" applyAlignment="1">
      <alignment vertical="top"/>
    </xf>
    <xf numFmtId="0" fontId="19" fillId="0" borderId="0" xfId="0" applyFont="1"/>
    <xf numFmtId="164" fontId="13" fillId="0" borderId="0" xfId="0" applyNumberFormat="1" applyFont="1"/>
    <xf numFmtId="164" fontId="1" fillId="0" borderId="0" xfId="0" applyNumberFormat="1" applyFont="1"/>
    <xf numFmtId="0" fontId="8" fillId="0" borderId="9" xfId="0" applyFont="1" applyBorder="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9" fillId="0" borderId="0" xfId="0" applyFont="1"/>
    <xf numFmtId="0" fontId="8" fillId="0" borderId="0" xfId="0" applyFont="1"/>
    <xf numFmtId="0" fontId="13" fillId="0" borderId="0" xfId="0" applyFont="1" applyAlignment="1">
      <alignment horizontal="center" vertical="top"/>
    </xf>
    <xf numFmtId="0" fontId="10" fillId="0" borderId="0" xfId="0" applyFont="1"/>
    <xf numFmtId="0" fontId="6" fillId="0" borderId="0" xfId="0" applyFont="1" applyAlignment="1">
      <alignment horizontal="right"/>
    </xf>
    <xf numFmtId="0" fontId="10" fillId="0" borderId="0" xfId="0" applyFont="1" applyAlignment="1">
      <alignment horizontal="center"/>
    </xf>
    <xf numFmtId="0" fontId="6" fillId="0" borderId="0" xfId="0" applyFont="1" applyAlignment="1">
      <alignment horizontal="center"/>
    </xf>
    <xf numFmtId="0" fontId="10" fillId="0" borderId="1" xfId="0" applyFont="1" applyBorder="1"/>
    <xf numFmtId="0" fontId="10" fillId="0" borderId="2" xfId="0" applyFont="1" applyBorder="1"/>
    <xf numFmtId="0" fontId="10" fillId="0" borderId="4" xfId="0" applyFont="1" applyBorder="1"/>
    <xf numFmtId="9" fontId="1" fillId="5" borderId="0" xfId="0" applyNumberFormat="1" applyFont="1" applyFill="1"/>
    <xf numFmtId="0" fontId="1" fillId="5" borderId="0" xfId="0" applyFont="1" applyFill="1"/>
    <xf numFmtId="0" fontId="1" fillId="0" borderId="0" xfId="0" quotePrefix="1" applyFont="1"/>
    <xf numFmtId="0" fontId="18" fillId="0" borderId="0" xfId="0" applyFont="1" applyAlignment="1">
      <alignment vertical="top"/>
    </xf>
    <xf numFmtId="0" fontId="8" fillId="0" borderId="1" xfId="0" applyFont="1" applyBorder="1" applyAlignment="1">
      <alignment vertical="top"/>
    </xf>
    <xf numFmtId="166" fontId="8" fillId="0" borderId="2" xfId="0" applyNumberFormat="1" applyFont="1" applyBorder="1"/>
    <xf numFmtId="0" fontId="8" fillId="0" borderId="4" xfId="0" applyFont="1" applyBorder="1" applyAlignment="1">
      <alignment vertical="top"/>
    </xf>
    <xf numFmtId="0" fontId="10" fillId="0" borderId="5" xfId="0" applyFont="1" applyBorder="1"/>
    <xf numFmtId="0" fontId="10" fillId="0" borderId="7" xfId="0" applyFont="1" applyBorder="1"/>
    <xf numFmtId="166" fontId="9" fillId="0" borderId="0" xfId="0" applyNumberFormat="1" applyFont="1" applyAlignment="1">
      <alignment vertical="top"/>
    </xf>
    <xf numFmtId="0" fontId="1" fillId="0" borderId="30" xfId="0" applyFont="1" applyBorder="1"/>
    <xf numFmtId="0" fontId="8" fillId="0" borderId="34" xfId="0" applyFont="1" applyBorder="1"/>
    <xf numFmtId="164" fontId="8" fillId="0" borderId="0" xfId="0" applyNumberFormat="1" applyFont="1" applyAlignment="1">
      <alignment horizontal="center" vertical="top"/>
    </xf>
    <xf numFmtId="166" fontId="13" fillId="0" borderId="15" xfId="0" applyNumberFormat="1" applyFont="1" applyBorder="1" applyAlignment="1">
      <alignment horizontal="center" vertical="top"/>
    </xf>
    <xf numFmtId="164" fontId="8" fillId="0" borderId="0" xfId="0" applyNumberFormat="1" applyFont="1"/>
    <xf numFmtId="164" fontId="8" fillId="0" borderId="0" xfId="0" applyNumberFormat="1" applyFont="1" applyAlignment="1">
      <alignment horizontal="left" vertical="center"/>
    </xf>
    <xf numFmtId="164" fontId="13" fillId="0" borderId="0" xfId="0" applyNumberFormat="1" applyFont="1" applyAlignment="1">
      <alignment horizontal="left"/>
    </xf>
    <xf numFmtId="164" fontId="13" fillId="0" borderId="2" xfId="0" applyNumberFormat="1" applyFont="1" applyBorder="1" applyAlignment="1">
      <alignment horizontal="left"/>
    </xf>
    <xf numFmtId="0" fontId="12" fillId="0" borderId="0" xfId="0" applyFont="1" applyAlignment="1">
      <alignment horizontal="left"/>
    </xf>
    <xf numFmtId="164" fontId="10" fillId="0" borderId="0" xfId="0" applyNumberFormat="1" applyFont="1"/>
    <xf numFmtId="164" fontId="10" fillId="0" borderId="0" xfId="0" applyNumberFormat="1" applyFont="1" applyAlignment="1">
      <alignment horizontal="center" vertical="center"/>
    </xf>
    <xf numFmtId="164" fontId="6" fillId="0" borderId="0" xfId="0" applyNumberFormat="1" applyFont="1"/>
    <xf numFmtId="9" fontId="1" fillId="0" borderId="0" xfId="0" applyNumberFormat="1" applyFont="1"/>
    <xf numFmtId="164" fontId="10" fillId="0" borderId="14" xfId="0" applyNumberFormat="1" applyFont="1" applyBorder="1"/>
    <xf numFmtId="0" fontId="13" fillId="0" borderId="20" xfId="0" applyFont="1" applyBorder="1" applyAlignment="1">
      <alignment horizontal="center" vertical="top"/>
    </xf>
    <xf numFmtId="0" fontId="13" fillId="0" borderId="21" xfId="0" applyFont="1" applyBorder="1" applyAlignment="1">
      <alignment horizontal="center" vertical="top"/>
    </xf>
    <xf numFmtId="0" fontId="13" fillId="0" borderId="22" xfId="0" applyFont="1" applyBorder="1" applyAlignment="1">
      <alignment horizontal="center" vertical="top"/>
    </xf>
    <xf numFmtId="0" fontId="13" fillId="0" borderId="35" xfId="0" applyFont="1" applyBorder="1" applyAlignment="1">
      <alignment horizontal="center" vertical="top"/>
    </xf>
    <xf numFmtId="0" fontId="13" fillId="0" borderId="8" xfId="0" applyFont="1" applyBorder="1" applyAlignment="1">
      <alignment horizontal="center" vertical="top"/>
    </xf>
    <xf numFmtId="0" fontId="13" fillId="0" borderId="13" xfId="0" applyFont="1" applyBorder="1" applyAlignment="1">
      <alignment horizontal="center" vertical="top"/>
    </xf>
    <xf numFmtId="0" fontId="13" fillId="0" borderId="31" xfId="0" applyFont="1" applyBorder="1" applyAlignment="1">
      <alignment horizontal="center" vertical="top"/>
    </xf>
    <xf numFmtId="0" fontId="13" fillId="0" borderId="32" xfId="0" applyFont="1" applyBorder="1" applyAlignment="1">
      <alignment horizontal="center" vertical="top"/>
    </xf>
    <xf numFmtId="0" fontId="13" fillId="0" borderId="12" xfId="0" applyFont="1" applyBorder="1" applyAlignment="1">
      <alignment horizontal="center" vertical="top"/>
    </xf>
    <xf numFmtId="0" fontId="1" fillId="0" borderId="13" xfId="0" applyFont="1" applyBorder="1"/>
    <xf numFmtId="0" fontId="8" fillId="0" borderId="12" xfId="0" applyFont="1" applyBorder="1" applyAlignment="1">
      <alignment horizontal="center" vertical="center"/>
    </xf>
    <xf numFmtId="0" fontId="1" fillId="0" borderId="13" xfId="0" applyFont="1" applyBorder="1" applyAlignment="1">
      <alignment vertical="center"/>
    </xf>
    <xf numFmtId="0" fontId="13" fillId="0" borderId="33" xfId="0" applyFont="1" applyBorder="1" applyAlignment="1">
      <alignment horizontal="center" vertical="top"/>
    </xf>
    <xf numFmtId="0" fontId="6" fillId="0" borderId="12" xfId="0" applyFont="1" applyBorder="1" applyAlignment="1">
      <alignment horizontal="center" vertical="center"/>
    </xf>
    <xf numFmtId="0" fontId="1" fillId="0" borderId="8" xfId="0" applyFont="1" applyBorder="1" applyAlignment="1">
      <alignment vertical="center"/>
    </xf>
    <xf numFmtId="0" fontId="10" fillId="0" borderId="12" xfId="0" applyFont="1" applyBorder="1" applyAlignment="1">
      <alignment horizontal="center" vertical="center"/>
    </xf>
    <xf numFmtId="0" fontId="10" fillId="0" borderId="12" xfId="0" applyFont="1" applyBorder="1" applyAlignment="1">
      <alignment horizontal="left" vertical="center"/>
    </xf>
    <xf numFmtId="0" fontId="1" fillId="0" borderId="8" xfId="0" applyFont="1" applyBorder="1" applyAlignment="1">
      <alignment horizontal="left" vertical="center"/>
    </xf>
    <xf numFmtId="0" fontId="1" fillId="0" borderId="13" xfId="0" applyFont="1" applyBorder="1" applyAlignment="1">
      <alignment horizontal="left" vertical="center"/>
    </xf>
    <xf numFmtId="164" fontId="13" fillId="0" borderId="0" xfId="0" applyNumberFormat="1" applyFont="1" applyAlignment="1">
      <alignment horizontal="right" vertical="top"/>
    </xf>
    <xf numFmtId="164" fontId="8" fillId="0" borderId="0" xfId="0" applyNumberFormat="1" applyFont="1" applyAlignment="1">
      <alignment horizontal="right" vertical="top"/>
    </xf>
    <xf numFmtId="167" fontId="6" fillId="0" borderId="20" xfId="0" applyNumberFormat="1" applyFont="1" applyBorder="1" applyAlignment="1">
      <alignment horizontal="center"/>
    </xf>
    <xf numFmtId="167" fontId="6" fillId="0" borderId="21" xfId="0" applyNumberFormat="1" applyFont="1" applyBorder="1" applyAlignment="1">
      <alignment horizontal="center"/>
    </xf>
    <xf numFmtId="168" fontId="6" fillId="0" borderId="21" xfId="0" applyNumberFormat="1" applyFont="1" applyBorder="1" applyAlignment="1" applyProtection="1">
      <alignment horizontal="center"/>
      <protection locked="0"/>
    </xf>
    <xf numFmtId="168" fontId="6" fillId="0" borderId="22" xfId="0" applyNumberFormat="1" applyFont="1" applyBorder="1" applyAlignment="1" applyProtection="1">
      <alignment horizontal="center"/>
      <protection locked="0"/>
    </xf>
    <xf numFmtId="0" fontId="10" fillId="0" borderId="6" xfId="0" applyFont="1" applyBorder="1" applyAlignment="1">
      <alignment horizontal="center"/>
    </xf>
    <xf numFmtId="0" fontId="6" fillId="0" borderId="0" xfId="0" applyFont="1" applyAlignment="1">
      <alignment horizontal="center"/>
    </xf>
    <xf numFmtId="0" fontId="1" fillId="0" borderId="0" xfId="0" applyFont="1"/>
    <xf numFmtId="0" fontId="6" fillId="0" borderId="12" xfId="0" applyFont="1" applyBorder="1" applyAlignment="1">
      <alignment horizontal="center"/>
    </xf>
    <xf numFmtId="0" fontId="1" fillId="0" borderId="8" xfId="0" applyFont="1" applyBorder="1"/>
    <xf numFmtId="164" fontId="6" fillId="0" borderId="2" xfId="0" applyNumberFormat="1" applyFont="1" applyBorder="1" applyAlignment="1">
      <alignment horizontal="center"/>
    </xf>
    <xf numFmtId="0" fontId="10" fillId="0" borderId="14" xfId="0" applyFont="1" applyBorder="1" applyAlignment="1">
      <alignment horizontal="center"/>
    </xf>
    <xf numFmtId="0" fontId="10" fillId="0" borderId="17" xfId="0" applyFont="1" applyBorder="1" applyAlignment="1">
      <alignment horizontal="center"/>
    </xf>
    <xf numFmtId="164" fontId="6" fillId="0" borderId="0" xfId="0" applyNumberFormat="1" applyFont="1" applyAlignment="1">
      <alignment horizontal="center"/>
    </xf>
    <xf numFmtId="14" fontId="10" fillId="0" borderId="19" xfId="0" applyNumberFormat="1" applyFont="1" applyBorder="1" applyAlignment="1" applyProtection="1">
      <alignment horizontal="center"/>
      <protection locked="0"/>
    </xf>
    <xf numFmtId="164" fontId="10" fillId="0" borderId="16" xfId="0" applyNumberFormat="1" applyFont="1" applyBorder="1" applyAlignment="1" applyProtection="1">
      <alignment horizontal="left"/>
      <protection locked="0"/>
    </xf>
    <xf numFmtId="0" fontId="6" fillId="0" borderId="6" xfId="0" applyFont="1" applyBorder="1" applyAlignment="1">
      <alignment horizontal="center"/>
    </xf>
    <xf numFmtId="0" fontId="6" fillId="0" borderId="18" xfId="0" applyFont="1" applyBorder="1" applyAlignment="1">
      <alignment horizontal="center"/>
    </xf>
    <xf numFmtId="0" fontId="6" fillId="0" borderId="8" xfId="0" applyFont="1" applyBorder="1" applyAlignment="1">
      <alignment horizontal="center"/>
    </xf>
    <xf numFmtId="0" fontId="6" fillId="0" borderId="13" xfId="0" applyFont="1" applyBorder="1" applyAlignment="1">
      <alignment horizontal="center"/>
    </xf>
    <xf numFmtId="0" fontId="10" fillId="0" borderId="8" xfId="0" applyFont="1" applyBorder="1" applyAlignment="1">
      <alignment horizontal="left" vertical="center"/>
    </xf>
    <xf numFmtId="0" fontId="10" fillId="0" borderId="13" xfId="0" applyFont="1" applyBorder="1" applyAlignment="1">
      <alignment horizontal="left" vertical="center"/>
    </xf>
    <xf numFmtId="164" fontId="15" fillId="0" borderId="12" xfId="0" applyNumberFormat="1" applyFont="1" applyBorder="1" applyAlignment="1">
      <alignment horizontal="center" vertical="center"/>
    </xf>
    <xf numFmtId="164" fontId="15" fillId="0" borderId="8" xfId="0" applyNumberFormat="1" applyFont="1" applyBorder="1" applyAlignment="1">
      <alignment horizontal="center" vertical="center"/>
    </xf>
    <xf numFmtId="164" fontId="15" fillId="0" borderId="13" xfId="0" applyNumberFormat="1" applyFont="1" applyBorder="1" applyAlignment="1">
      <alignment horizontal="center" vertical="center"/>
    </xf>
    <xf numFmtId="164" fontId="8" fillId="0" borderId="12" xfId="0" applyNumberFormat="1" applyFont="1" applyBorder="1" applyAlignment="1">
      <alignment horizontal="center" vertical="center"/>
    </xf>
    <xf numFmtId="0" fontId="11" fillId="0" borderId="0" xfId="0" applyFont="1" applyAlignment="1">
      <alignment horizontal="center"/>
    </xf>
    <xf numFmtId="164" fontId="10" fillId="0" borderId="3" xfId="0" applyNumberFormat="1"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165" fontId="10" fillId="0" borderId="0" xfId="0" applyNumberFormat="1" applyFont="1" applyAlignment="1">
      <alignment horizontal="center"/>
    </xf>
    <xf numFmtId="164" fontId="10" fillId="0" borderId="6" xfId="0" applyNumberFormat="1" applyFont="1" applyBorder="1" applyAlignment="1" applyProtection="1">
      <alignment horizontal="left"/>
      <protection locked="0"/>
    </xf>
    <xf numFmtId="164" fontId="6" fillId="0" borderId="0" xfId="0" applyNumberFormat="1" applyFont="1" applyAlignment="1">
      <alignment horizontal="right"/>
    </xf>
    <xf numFmtId="164" fontId="10" fillId="0" borderId="8" xfId="0" applyNumberFormat="1" applyFont="1" applyBorder="1" applyAlignment="1" applyProtection="1">
      <alignment horizontal="left"/>
      <protection locked="0"/>
    </xf>
    <xf numFmtId="0" fontId="6" fillId="0" borderId="0" xfId="0" applyFont="1" applyAlignment="1">
      <alignment horizontal="left"/>
    </xf>
    <xf numFmtId="0" fontId="10" fillId="0" borderId="6" xfId="0" applyFont="1" applyBorder="1" applyAlignment="1" applyProtection="1">
      <alignment horizontal="left"/>
      <protection locked="0"/>
    </xf>
    <xf numFmtId="0" fontId="10" fillId="0" borderId="8" xfId="0" applyFont="1" applyBorder="1" applyAlignment="1" applyProtection="1">
      <alignment horizontal="left"/>
      <protection locked="0"/>
    </xf>
    <xf numFmtId="0" fontId="6" fillId="0" borderId="2" xfId="0" applyFont="1" applyBorder="1" applyAlignment="1">
      <alignment horizontal="center"/>
    </xf>
    <xf numFmtId="164" fontId="8" fillId="0" borderId="6" xfId="0" applyNumberFormat="1" applyFont="1" applyBorder="1" applyAlignment="1">
      <alignment horizontal="left"/>
    </xf>
    <xf numFmtId="164" fontId="8" fillId="0" borderId="8" xfId="0" applyNumberFormat="1" applyFont="1" applyBorder="1" applyAlignment="1">
      <alignment horizontal="left"/>
    </xf>
    <xf numFmtId="164" fontId="13" fillId="0" borderId="0" xfId="0" applyNumberFormat="1" applyFont="1" applyAlignment="1">
      <alignment horizontal="center" vertical="top"/>
    </xf>
    <xf numFmtId="164" fontId="13" fillId="0" borderId="16" xfId="0" applyNumberFormat="1" applyFont="1" applyBorder="1" applyAlignment="1">
      <alignment horizontal="center"/>
    </xf>
    <xf numFmtId="164" fontId="13" fillId="0" borderId="0" xfId="0" applyNumberFormat="1" applyFont="1" applyAlignment="1">
      <alignment horizontal="center"/>
    </xf>
    <xf numFmtId="164" fontId="13" fillId="0" borderId="0" xfId="0" applyNumberFormat="1" applyFont="1" applyAlignment="1">
      <alignment horizontal="left" vertical="top"/>
    </xf>
    <xf numFmtId="0" fontId="1" fillId="0" borderId="0" xfId="0" applyFont="1" applyAlignment="1">
      <alignment horizontal="left"/>
    </xf>
    <xf numFmtId="0" fontId="12" fillId="0" borderId="8" xfId="0" applyFont="1" applyBorder="1" applyAlignment="1">
      <alignment horizontal="left"/>
    </xf>
    <xf numFmtId="0" fontId="6" fillId="0" borderId="12" xfId="0" applyFont="1" applyBorder="1" applyAlignment="1">
      <alignment horizontal="right"/>
    </xf>
    <xf numFmtId="0" fontId="6" fillId="0" borderId="8" xfId="0" applyFont="1" applyBorder="1" applyAlignment="1">
      <alignment horizontal="right"/>
    </xf>
    <xf numFmtId="0" fontId="6" fillId="0" borderId="13" xfId="0" applyFont="1" applyBorder="1" applyAlignment="1">
      <alignment horizontal="right"/>
    </xf>
    <xf numFmtId="0" fontId="10" fillId="0" borderId="12" xfId="0" applyFont="1" applyBorder="1" applyAlignment="1">
      <alignment horizontal="center"/>
    </xf>
    <xf numFmtId="0" fontId="11" fillId="0" borderId="10" xfId="0" applyFont="1" applyBorder="1" applyAlignment="1">
      <alignment horizontal="center"/>
    </xf>
    <xf numFmtId="164" fontId="13" fillId="0" borderId="14" xfId="0" applyNumberFormat="1" applyFont="1" applyBorder="1" applyAlignment="1">
      <alignment horizontal="right"/>
    </xf>
    <xf numFmtId="165" fontId="8" fillId="0" borderId="8" xfId="0" applyNumberFormat="1" applyFont="1" applyBorder="1" applyAlignment="1">
      <alignment horizontal="left"/>
    </xf>
    <xf numFmtId="0" fontId="1" fillId="0" borderId="8" xfId="0" applyFont="1" applyBorder="1" applyAlignment="1">
      <alignment horizontal="left"/>
    </xf>
    <xf numFmtId="164" fontId="13" fillId="0" borderId="8" xfId="0" applyNumberFormat="1" applyFont="1" applyBorder="1" applyAlignment="1" applyProtection="1">
      <alignment horizontal="left"/>
      <protection locked="0"/>
    </xf>
    <xf numFmtId="164" fontId="13" fillId="0" borderId="3" xfId="0" applyNumberFormat="1" applyFont="1" applyBorder="1" applyAlignment="1" applyProtection="1">
      <alignment horizontal="left"/>
      <protection locked="0"/>
    </xf>
    <xf numFmtId="0" fontId="1" fillId="0" borderId="0" xfId="0" applyFont="1" applyAlignment="1">
      <alignment horizontal="right"/>
    </xf>
    <xf numFmtId="164" fontId="8" fillId="0" borderId="8" xfId="0" applyNumberFormat="1" applyFont="1" applyBorder="1" applyAlignment="1">
      <alignment horizontal="center" vertical="center"/>
    </xf>
    <xf numFmtId="164" fontId="8" fillId="0" borderId="13" xfId="0" applyNumberFormat="1" applyFont="1" applyBorder="1" applyAlignment="1">
      <alignment horizontal="center" vertical="center"/>
    </xf>
    <xf numFmtId="0" fontId="8" fillId="0" borderId="3" xfId="0" applyFont="1" applyBorder="1" applyAlignment="1">
      <alignment horizontal="left"/>
    </xf>
    <xf numFmtId="0" fontId="13" fillId="0" borderId="2" xfId="0" applyFont="1" applyBorder="1" applyAlignment="1">
      <alignment horizontal="right" vertical="top"/>
    </xf>
    <xf numFmtId="164" fontId="8" fillId="0" borderId="3" xfId="0" applyNumberFormat="1" applyFont="1" applyBorder="1" applyAlignment="1">
      <alignment horizontal="left"/>
    </xf>
    <xf numFmtId="0" fontId="1" fillId="0" borderId="3" xfId="0" applyFont="1" applyBorder="1" applyAlignment="1">
      <alignment horizontal="left"/>
    </xf>
    <xf numFmtId="0" fontId="1" fillId="0" borderId="2" xfId="0" applyFont="1" applyBorder="1"/>
    <xf numFmtId="166" fontId="8" fillId="0" borderId="3" xfId="0" applyNumberFormat="1" applyFont="1" applyBorder="1" applyAlignment="1">
      <alignment horizontal="center"/>
    </xf>
    <xf numFmtId="166" fontId="8" fillId="0" borderId="12" xfId="0" applyNumberFormat="1" applyFont="1" applyBorder="1" applyAlignment="1">
      <alignment horizontal="center"/>
    </xf>
    <xf numFmtId="166" fontId="8" fillId="0" borderId="13" xfId="0" applyNumberFormat="1" applyFont="1" applyBorder="1" applyAlignment="1">
      <alignment horizontal="center"/>
    </xf>
    <xf numFmtId="0" fontId="8" fillId="0" borderId="8" xfId="0" applyFont="1" applyBorder="1" applyAlignment="1">
      <alignment horizontal="center" vertical="center"/>
    </xf>
    <xf numFmtId="0" fontId="8" fillId="0" borderId="13" xfId="0" applyFont="1" applyBorder="1" applyAlignment="1">
      <alignment horizontal="center" vertical="center"/>
    </xf>
    <xf numFmtId="166" fontId="1" fillId="0" borderId="13" xfId="0" applyNumberFormat="1" applyFont="1" applyBorder="1" applyAlignment="1">
      <alignment horizontal="center"/>
    </xf>
    <xf numFmtId="164" fontId="13" fillId="0" borderId="0" xfId="0" applyNumberFormat="1" applyFont="1" applyAlignment="1">
      <alignment horizontal="left"/>
    </xf>
    <xf numFmtId="0" fontId="1" fillId="0" borderId="16" xfId="0" applyFont="1" applyBorder="1" applyAlignment="1">
      <alignment horizontal="center"/>
    </xf>
    <xf numFmtId="164" fontId="13" fillId="0" borderId="16" xfId="0" applyNumberFormat="1" applyFont="1" applyBorder="1" applyAlignment="1" applyProtection="1">
      <alignment horizontal="left" vertical="top"/>
      <protection locked="0"/>
    </xf>
    <xf numFmtId="164" fontId="14" fillId="0" borderId="0" xfId="0" applyNumberFormat="1" applyFont="1" applyAlignment="1">
      <alignment horizontal="left" vertical="top"/>
    </xf>
    <xf numFmtId="0" fontId="9" fillId="0" borderId="14" xfId="0" applyFont="1" applyBorder="1" applyAlignment="1">
      <alignment horizontal="left" vertical="top" wrapText="1"/>
    </xf>
    <xf numFmtId="0" fontId="9" fillId="0" borderId="0" xfId="0" applyFont="1" applyAlignment="1">
      <alignment horizontal="left" vertical="top" wrapText="1"/>
    </xf>
    <xf numFmtId="0" fontId="9" fillId="0" borderId="6" xfId="0" applyFont="1" applyBorder="1" applyAlignment="1">
      <alignment horizontal="left" vertical="top" wrapText="1"/>
    </xf>
    <xf numFmtId="0" fontId="17" fillId="0" borderId="0" xfId="1" applyFont="1" applyAlignment="1" applyProtection="1">
      <alignment horizontal="center"/>
    </xf>
    <xf numFmtId="0" fontId="16" fillId="0" borderId="23" xfId="0" applyFont="1" applyBorder="1" applyAlignment="1" applyProtection="1">
      <alignment horizontal="center" vertical="top" wrapText="1"/>
      <protection locked="0"/>
    </xf>
    <xf numFmtId="0" fontId="16" fillId="0" borderId="24" xfId="0" applyFont="1" applyBorder="1" applyAlignment="1" applyProtection="1">
      <alignment horizontal="center" vertical="top" wrapText="1"/>
      <protection locked="0"/>
    </xf>
    <xf numFmtId="0" fontId="16" fillId="0" borderId="25" xfId="0" applyFont="1" applyBorder="1" applyAlignment="1" applyProtection="1">
      <alignment horizontal="center" vertical="top" wrapText="1"/>
      <protection locked="0"/>
    </xf>
    <xf numFmtId="0" fontId="16" fillId="0" borderId="26" xfId="0" applyFont="1" applyBorder="1" applyAlignment="1" applyProtection="1">
      <alignment horizontal="center" vertical="top" wrapText="1"/>
      <protection locked="0"/>
    </xf>
    <xf numFmtId="0" fontId="16" fillId="0" borderId="0" xfId="0" applyFont="1" applyAlignment="1" applyProtection="1">
      <alignment horizontal="center" vertical="top" wrapText="1"/>
      <protection locked="0"/>
    </xf>
    <xf numFmtId="0" fontId="16" fillId="0" borderId="27" xfId="0" applyFont="1" applyBorder="1" applyAlignment="1" applyProtection="1">
      <alignment horizontal="center" vertical="top" wrapText="1"/>
      <protection locked="0"/>
    </xf>
    <xf numFmtId="0" fontId="16" fillId="0" borderId="28" xfId="0" applyFont="1" applyBorder="1" applyAlignment="1" applyProtection="1">
      <alignment horizontal="center" vertical="top" wrapText="1"/>
      <protection locked="0"/>
    </xf>
    <xf numFmtId="0" fontId="16" fillId="0" borderId="16" xfId="0" applyFont="1" applyBorder="1" applyAlignment="1" applyProtection="1">
      <alignment horizontal="center" vertical="top" wrapText="1"/>
      <protection locked="0"/>
    </xf>
    <xf numFmtId="0" fontId="16" fillId="0" borderId="29" xfId="0" applyFont="1" applyBorder="1" applyAlignment="1" applyProtection="1">
      <alignment horizontal="center" vertical="top" wrapText="1"/>
      <protection locked="0"/>
    </xf>
    <xf numFmtId="0" fontId="0" fillId="0" borderId="0" xfId="0" applyAlignment="1">
      <alignment horizontal="center"/>
    </xf>
    <xf numFmtId="0" fontId="3" fillId="0" borderId="0" xfId="0" applyFont="1" applyAlignment="1">
      <alignment horizontal="center"/>
    </xf>
    <xf numFmtId="0" fontId="0" fillId="4" borderId="0" xfId="0" applyFill="1" applyAlignment="1">
      <alignment horizontal="center"/>
    </xf>
    <xf numFmtId="0" fontId="3" fillId="4" borderId="0" xfId="0" applyFont="1" applyFill="1" applyAlignment="1">
      <alignment horizontal="center"/>
    </xf>
  </cellXfs>
  <cellStyles count="2">
    <cellStyle name="Lien hypertexte" xfId="1" builtinId="8"/>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ill>
        <patternFill>
          <bgColor rgb="FFFF0000"/>
        </patternFill>
      </fill>
    </dxf>
    <dxf>
      <font>
        <color theme="0"/>
      </font>
    </dxf>
    <dxf>
      <fill>
        <patternFill>
          <bgColor rgb="FFFF0000"/>
        </patternFill>
      </fill>
    </dxf>
    <dxf>
      <font>
        <color auto="1"/>
      </font>
      <fill>
        <patternFill patternType="solid">
          <fgColor rgb="FFFFC7CE"/>
          <bgColor rgb="FFFF0000"/>
        </patternFill>
      </fill>
    </dxf>
    <dxf>
      <font>
        <color theme="0"/>
      </font>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ont>
        <color theme="0"/>
      </font>
      <fill>
        <patternFill>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13</xdr:col>
      <xdr:colOff>95250</xdr:colOff>
      <xdr:row>20</xdr:row>
      <xdr:rowOff>76200</xdr:rowOff>
    </xdr:from>
    <xdr:ext cx="38100" cy="1714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432810" y="396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38</xdr:col>
      <xdr:colOff>918210</xdr:colOff>
      <xdr:row>78</xdr:row>
      <xdr:rowOff>30480</xdr:rowOff>
    </xdr:from>
    <xdr:ext cx="1070610" cy="266700"/>
    <xdr:sp macro="" textlink="">
      <xdr:nvSpPr>
        <xdr:cNvPr id="2" name="Shape 3">
          <a:extLst>
            <a:ext uri="{FF2B5EF4-FFF2-40B4-BE49-F238E27FC236}">
              <a16:creationId xmlns:a16="http://schemas.microsoft.com/office/drawing/2014/main" id="{00000000-0008-0000-0000-000002000000}"/>
            </a:ext>
          </a:extLst>
        </xdr:cNvPr>
        <xdr:cNvSpPr txBox="1"/>
      </xdr:nvSpPr>
      <xdr:spPr>
        <a:xfrm>
          <a:off x="9787890" y="3124200"/>
          <a:ext cx="1070610" cy="26670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4" name="Shape 3">
          <a:extLst>
            <a:ext uri="{FF2B5EF4-FFF2-40B4-BE49-F238E27FC236}">
              <a16:creationId xmlns:a16="http://schemas.microsoft.com/office/drawing/2014/main" id="{00000000-0008-0000-0000-000004000000}"/>
            </a:ext>
          </a:extLst>
        </xdr:cNvPr>
        <xdr:cNvSpPr txBox="1"/>
      </xdr:nvSpPr>
      <xdr:spPr>
        <a:xfrm>
          <a:off x="3432810" y="43586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5" name="Shape 3">
          <a:extLst>
            <a:ext uri="{FF2B5EF4-FFF2-40B4-BE49-F238E27FC236}">
              <a16:creationId xmlns:a16="http://schemas.microsoft.com/office/drawing/2014/main" id="{00000000-0008-0000-0000-000005000000}"/>
            </a:ext>
          </a:extLst>
        </xdr:cNvPr>
        <xdr:cNvSpPr txBox="1"/>
      </xdr:nvSpPr>
      <xdr:spPr>
        <a:xfrm>
          <a:off x="343281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6" name="Shape 3">
          <a:extLst>
            <a:ext uri="{FF2B5EF4-FFF2-40B4-BE49-F238E27FC236}">
              <a16:creationId xmlns:a16="http://schemas.microsoft.com/office/drawing/2014/main" id="{00000000-0008-0000-0000-000006000000}"/>
            </a:ext>
          </a:extLst>
        </xdr:cNvPr>
        <xdr:cNvSpPr txBox="1"/>
      </xdr:nvSpPr>
      <xdr:spPr>
        <a:xfrm>
          <a:off x="343281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7" name="Shape 3">
          <a:extLst>
            <a:ext uri="{FF2B5EF4-FFF2-40B4-BE49-F238E27FC236}">
              <a16:creationId xmlns:a16="http://schemas.microsoft.com/office/drawing/2014/main" id="{00000000-0008-0000-0000-000007000000}"/>
            </a:ext>
          </a:extLst>
        </xdr:cNvPr>
        <xdr:cNvSpPr txBox="1"/>
      </xdr:nvSpPr>
      <xdr:spPr>
        <a:xfrm>
          <a:off x="343281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8" name="Shape 3">
          <a:extLst>
            <a:ext uri="{FF2B5EF4-FFF2-40B4-BE49-F238E27FC236}">
              <a16:creationId xmlns:a16="http://schemas.microsoft.com/office/drawing/2014/main" id="{00000000-0008-0000-0000-000008000000}"/>
            </a:ext>
          </a:extLst>
        </xdr:cNvPr>
        <xdr:cNvSpPr txBox="1"/>
      </xdr:nvSpPr>
      <xdr:spPr>
        <a:xfrm>
          <a:off x="343281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9" name="Shape 3">
          <a:extLst>
            <a:ext uri="{FF2B5EF4-FFF2-40B4-BE49-F238E27FC236}">
              <a16:creationId xmlns:a16="http://schemas.microsoft.com/office/drawing/2014/main" id="{00000000-0008-0000-0000-000009000000}"/>
            </a:ext>
          </a:extLst>
        </xdr:cNvPr>
        <xdr:cNvSpPr txBox="1"/>
      </xdr:nvSpPr>
      <xdr:spPr>
        <a:xfrm>
          <a:off x="343281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10" name="Shape 3">
          <a:extLst>
            <a:ext uri="{FF2B5EF4-FFF2-40B4-BE49-F238E27FC236}">
              <a16:creationId xmlns:a16="http://schemas.microsoft.com/office/drawing/2014/main" id="{00000000-0008-0000-0000-00000A000000}"/>
            </a:ext>
          </a:extLst>
        </xdr:cNvPr>
        <xdr:cNvSpPr txBox="1"/>
      </xdr:nvSpPr>
      <xdr:spPr>
        <a:xfrm>
          <a:off x="343281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1" name="Shape 3">
          <a:extLst>
            <a:ext uri="{FF2B5EF4-FFF2-40B4-BE49-F238E27FC236}">
              <a16:creationId xmlns:a16="http://schemas.microsoft.com/office/drawing/2014/main" id="{00000000-0008-0000-0000-00000B000000}"/>
            </a:ext>
          </a:extLst>
        </xdr:cNvPr>
        <xdr:cNvSpPr txBox="1"/>
      </xdr:nvSpPr>
      <xdr:spPr>
        <a:xfrm>
          <a:off x="343281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2" name="Shape 3">
          <a:extLst>
            <a:ext uri="{FF2B5EF4-FFF2-40B4-BE49-F238E27FC236}">
              <a16:creationId xmlns:a16="http://schemas.microsoft.com/office/drawing/2014/main" id="{00000000-0008-0000-0000-00000C000000}"/>
            </a:ext>
          </a:extLst>
        </xdr:cNvPr>
        <xdr:cNvSpPr txBox="1"/>
      </xdr:nvSpPr>
      <xdr:spPr>
        <a:xfrm>
          <a:off x="343281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3" name="Shape 3">
          <a:extLst>
            <a:ext uri="{FF2B5EF4-FFF2-40B4-BE49-F238E27FC236}">
              <a16:creationId xmlns:a16="http://schemas.microsoft.com/office/drawing/2014/main" id="{00000000-0008-0000-0000-00000D000000}"/>
            </a:ext>
          </a:extLst>
        </xdr:cNvPr>
        <xdr:cNvSpPr txBox="1"/>
      </xdr:nvSpPr>
      <xdr:spPr>
        <a:xfrm>
          <a:off x="343281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4" name="Shape 3">
          <a:extLst>
            <a:ext uri="{FF2B5EF4-FFF2-40B4-BE49-F238E27FC236}">
              <a16:creationId xmlns:a16="http://schemas.microsoft.com/office/drawing/2014/main" id="{00000000-0008-0000-0000-00000E000000}"/>
            </a:ext>
          </a:extLst>
        </xdr:cNvPr>
        <xdr:cNvSpPr txBox="1"/>
      </xdr:nvSpPr>
      <xdr:spPr>
        <a:xfrm>
          <a:off x="343281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5" name="Shape 3">
          <a:extLst>
            <a:ext uri="{FF2B5EF4-FFF2-40B4-BE49-F238E27FC236}">
              <a16:creationId xmlns:a16="http://schemas.microsoft.com/office/drawing/2014/main" id="{00000000-0008-0000-0000-00000F000000}"/>
            </a:ext>
          </a:extLst>
        </xdr:cNvPr>
        <xdr:cNvSpPr txBox="1"/>
      </xdr:nvSpPr>
      <xdr:spPr>
        <a:xfrm>
          <a:off x="343281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6" name="Shape 3">
          <a:extLst>
            <a:ext uri="{FF2B5EF4-FFF2-40B4-BE49-F238E27FC236}">
              <a16:creationId xmlns:a16="http://schemas.microsoft.com/office/drawing/2014/main" id="{00000000-0008-0000-0000-000010000000}"/>
            </a:ext>
          </a:extLst>
        </xdr:cNvPr>
        <xdr:cNvSpPr txBox="1"/>
      </xdr:nvSpPr>
      <xdr:spPr>
        <a:xfrm>
          <a:off x="343281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7" name="Shape 3">
          <a:extLst>
            <a:ext uri="{FF2B5EF4-FFF2-40B4-BE49-F238E27FC236}">
              <a16:creationId xmlns:a16="http://schemas.microsoft.com/office/drawing/2014/main" id="{00000000-0008-0000-0000-000011000000}"/>
            </a:ext>
          </a:extLst>
        </xdr:cNvPr>
        <xdr:cNvSpPr txBox="1"/>
      </xdr:nvSpPr>
      <xdr:spPr>
        <a:xfrm>
          <a:off x="343281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8" name="Shape 3">
          <a:extLst>
            <a:ext uri="{FF2B5EF4-FFF2-40B4-BE49-F238E27FC236}">
              <a16:creationId xmlns:a16="http://schemas.microsoft.com/office/drawing/2014/main" id="{00000000-0008-0000-0000-000012000000}"/>
            </a:ext>
          </a:extLst>
        </xdr:cNvPr>
        <xdr:cNvSpPr txBox="1"/>
      </xdr:nvSpPr>
      <xdr:spPr>
        <a:xfrm>
          <a:off x="343281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19" name="Shape 3">
          <a:extLst>
            <a:ext uri="{FF2B5EF4-FFF2-40B4-BE49-F238E27FC236}">
              <a16:creationId xmlns:a16="http://schemas.microsoft.com/office/drawing/2014/main" id="{00000000-0008-0000-0000-000013000000}"/>
            </a:ext>
          </a:extLst>
        </xdr:cNvPr>
        <xdr:cNvSpPr txBox="1"/>
      </xdr:nvSpPr>
      <xdr:spPr>
        <a:xfrm>
          <a:off x="343281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20" name="Shape 3">
          <a:extLst>
            <a:ext uri="{FF2B5EF4-FFF2-40B4-BE49-F238E27FC236}">
              <a16:creationId xmlns:a16="http://schemas.microsoft.com/office/drawing/2014/main" id="{00000000-0008-0000-0000-000014000000}"/>
            </a:ext>
          </a:extLst>
        </xdr:cNvPr>
        <xdr:cNvSpPr txBox="1"/>
      </xdr:nvSpPr>
      <xdr:spPr>
        <a:xfrm>
          <a:off x="343281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21" name="Shape 3">
          <a:extLst>
            <a:ext uri="{FF2B5EF4-FFF2-40B4-BE49-F238E27FC236}">
              <a16:creationId xmlns:a16="http://schemas.microsoft.com/office/drawing/2014/main" id="{00000000-0008-0000-0000-000015000000}"/>
            </a:ext>
          </a:extLst>
        </xdr:cNvPr>
        <xdr:cNvSpPr txBox="1"/>
      </xdr:nvSpPr>
      <xdr:spPr>
        <a:xfrm>
          <a:off x="343281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22" name="Shape 3">
          <a:extLst>
            <a:ext uri="{FF2B5EF4-FFF2-40B4-BE49-F238E27FC236}">
              <a16:creationId xmlns:a16="http://schemas.microsoft.com/office/drawing/2014/main" id="{00000000-0008-0000-0000-000016000000}"/>
            </a:ext>
          </a:extLst>
        </xdr:cNvPr>
        <xdr:cNvSpPr txBox="1"/>
      </xdr:nvSpPr>
      <xdr:spPr>
        <a:xfrm>
          <a:off x="343281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23" name="Shape 3">
          <a:extLst>
            <a:ext uri="{FF2B5EF4-FFF2-40B4-BE49-F238E27FC236}">
              <a16:creationId xmlns:a16="http://schemas.microsoft.com/office/drawing/2014/main" id="{00000000-0008-0000-0000-000017000000}"/>
            </a:ext>
          </a:extLst>
        </xdr:cNvPr>
        <xdr:cNvSpPr txBox="1"/>
      </xdr:nvSpPr>
      <xdr:spPr>
        <a:xfrm>
          <a:off x="343281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24" name="Shape 3">
          <a:extLst>
            <a:ext uri="{FF2B5EF4-FFF2-40B4-BE49-F238E27FC236}">
              <a16:creationId xmlns:a16="http://schemas.microsoft.com/office/drawing/2014/main" id="{00000000-0008-0000-0000-000018000000}"/>
            </a:ext>
          </a:extLst>
        </xdr:cNvPr>
        <xdr:cNvSpPr txBox="1"/>
      </xdr:nvSpPr>
      <xdr:spPr>
        <a:xfrm>
          <a:off x="343281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25" name="Shape 3">
          <a:extLst>
            <a:ext uri="{FF2B5EF4-FFF2-40B4-BE49-F238E27FC236}">
              <a16:creationId xmlns:a16="http://schemas.microsoft.com/office/drawing/2014/main" id="{00000000-0008-0000-0000-000019000000}"/>
            </a:ext>
          </a:extLst>
        </xdr:cNvPr>
        <xdr:cNvSpPr txBox="1"/>
      </xdr:nvSpPr>
      <xdr:spPr>
        <a:xfrm>
          <a:off x="343281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26" name="Shape 3">
          <a:extLst>
            <a:ext uri="{FF2B5EF4-FFF2-40B4-BE49-F238E27FC236}">
              <a16:creationId xmlns:a16="http://schemas.microsoft.com/office/drawing/2014/main" id="{00000000-0008-0000-0000-00001A000000}"/>
            </a:ext>
          </a:extLst>
        </xdr:cNvPr>
        <xdr:cNvSpPr txBox="1"/>
      </xdr:nvSpPr>
      <xdr:spPr>
        <a:xfrm>
          <a:off x="343281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27" name="Shape 3">
          <a:extLst>
            <a:ext uri="{FF2B5EF4-FFF2-40B4-BE49-F238E27FC236}">
              <a16:creationId xmlns:a16="http://schemas.microsoft.com/office/drawing/2014/main" id="{00000000-0008-0000-0000-00001B000000}"/>
            </a:ext>
          </a:extLst>
        </xdr:cNvPr>
        <xdr:cNvSpPr txBox="1"/>
      </xdr:nvSpPr>
      <xdr:spPr>
        <a:xfrm>
          <a:off x="343281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28" name="Shape 3">
          <a:extLst>
            <a:ext uri="{FF2B5EF4-FFF2-40B4-BE49-F238E27FC236}">
              <a16:creationId xmlns:a16="http://schemas.microsoft.com/office/drawing/2014/main" id="{00000000-0008-0000-0000-00001C000000}"/>
            </a:ext>
          </a:extLst>
        </xdr:cNvPr>
        <xdr:cNvSpPr txBox="1"/>
      </xdr:nvSpPr>
      <xdr:spPr>
        <a:xfrm>
          <a:off x="343281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29" name="Shape 3">
          <a:extLst>
            <a:ext uri="{FF2B5EF4-FFF2-40B4-BE49-F238E27FC236}">
              <a16:creationId xmlns:a16="http://schemas.microsoft.com/office/drawing/2014/main" id="{00000000-0008-0000-0000-00001D000000}"/>
            </a:ext>
          </a:extLst>
        </xdr:cNvPr>
        <xdr:cNvSpPr txBox="1"/>
      </xdr:nvSpPr>
      <xdr:spPr>
        <a:xfrm>
          <a:off x="343281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30" name="Shape 3">
          <a:extLst>
            <a:ext uri="{FF2B5EF4-FFF2-40B4-BE49-F238E27FC236}">
              <a16:creationId xmlns:a16="http://schemas.microsoft.com/office/drawing/2014/main" id="{00000000-0008-0000-0000-00001E000000}"/>
            </a:ext>
          </a:extLst>
        </xdr:cNvPr>
        <xdr:cNvSpPr txBox="1"/>
      </xdr:nvSpPr>
      <xdr:spPr>
        <a:xfrm>
          <a:off x="343281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31" name="Shape 3">
          <a:extLst>
            <a:ext uri="{FF2B5EF4-FFF2-40B4-BE49-F238E27FC236}">
              <a16:creationId xmlns:a16="http://schemas.microsoft.com/office/drawing/2014/main" id="{00000000-0008-0000-0000-00001F000000}"/>
            </a:ext>
          </a:extLst>
        </xdr:cNvPr>
        <xdr:cNvSpPr txBox="1"/>
      </xdr:nvSpPr>
      <xdr:spPr>
        <a:xfrm>
          <a:off x="343281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32" name="Shape 3">
          <a:extLst>
            <a:ext uri="{FF2B5EF4-FFF2-40B4-BE49-F238E27FC236}">
              <a16:creationId xmlns:a16="http://schemas.microsoft.com/office/drawing/2014/main" id="{00000000-0008-0000-0000-000020000000}"/>
            </a:ext>
          </a:extLst>
        </xdr:cNvPr>
        <xdr:cNvSpPr txBox="1"/>
      </xdr:nvSpPr>
      <xdr:spPr>
        <a:xfrm>
          <a:off x="343281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33" name="Shape 3">
          <a:extLst>
            <a:ext uri="{FF2B5EF4-FFF2-40B4-BE49-F238E27FC236}">
              <a16:creationId xmlns:a16="http://schemas.microsoft.com/office/drawing/2014/main" id="{00000000-0008-0000-0000-000021000000}"/>
            </a:ext>
          </a:extLst>
        </xdr:cNvPr>
        <xdr:cNvSpPr txBox="1"/>
      </xdr:nvSpPr>
      <xdr:spPr>
        <a:xfrm>
          <a:off x="343281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34" name="Shape 3">
          <a:extLst>
            <a:ext uri="{FF2B5EF4-FFF2-40B4-BE49-F238E27FC236}">
              <a16:creationId xmlns:a16="http://schemas.microsoft.com/office/drawing/2014/main" id="{00000000-0008-0000-0000-000022000000}"/>
            </a:ext>
          </a:extLst>
        </xdr:cNvPr>
        <xdr:cNvSpPr txBox="1"/>
      </xdr:nvSpPr>
      <xdr:spPr>
        <a:xfrm>
          <a:off x="343281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35" name="Shape 3">
          <a:extLst>
            <a:ext uri="{FF2B5EF4-FFF2-40B4-BE49-F238E27FC236}">
              <a16:creationId xmlns:a16="http://schemas.microsoft.com/office/drawing/2014/main" id="{00000000-0008-0000-0000-000023000000}"/>
            </a:ext>
          </a:extLst>
        </xdr:cNvPr>
        <xdr:cNvSpPr txBox="1"/>
      </xdr:nvSpPr>
      <xdr:spPr>
        <a:xfrm>
          <a:off x="343281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36" name="Shape 3">
          <a:extLst>
            <a:ext uri="{FF2B5EF4-FFF2-40B4-BE49-F238E27FC236}">
              <a16:creationId xmlns:a16="http://schemas.microsoft.com/office/drawing/2014/main" id="{00000000-0008-0000-0000-000024000000}"/>
            </a:ext>
          </a:extLst>
        </xdr:cNvPr>
        <xdr:cNvSpPr txBox="1"/>
      </xdr:nvSpPr>
      <xdr:spPr>
        <a:xfrm>
          <a:off x="343281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37" name="Shape 3">
          <a:extLst>
            <a:ext uri="{FF2B5EF4-FFF2-40B4-BE49-F238E27FC236}">
              <a16:creationId xmlns:a16="http://schemas.microsoft.com/office/drawing/2014/main" id="{00000000-0008-0000-0000-000025000000}"/>
            </a:ext>
          </a:extLst>
        </xdr:cNvPr>
        <xdr:cNvSpPr txBox="1"/>
      </xdr:nvSpPr>
      <xdr:spPr>
        <a:xfrm>
          <a:off x="343281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38" name="Shape 3">
          <a:extLst>
            <a:ext uri="{FF2B5EF4-FFF2-40B4-BE49-F238E27FC236}">
              <a16:creationId xmlns:a16="http://schemas.microsoft.com/office/drawing/2014/main" id="{00000000-0008-0000-0000-000026000000}"/>
            </a:ext>
          </a:extLst>
        </xdr:cNvPr>
        <xdr:cNvSpPr txBox="1"/>
      </xdr:nvSpPr>
      <xdr:spPr>
        <a:xfrm>
          <a:off x="343281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39" name="Shape 3">
          <a:extLst>
            <a:ext uri="{FF2B5EF4-FFF2-40B4-BE49-F238E27FC236}">
              <a16:creationId xmlns:a16="http://schemas.microsoft.com/office/drawing/2014/main" id="{00000000-0008-0000-0000-000027000000}"/>
            </a:ext>
          </a:extLst>
        </xdr:cNvPr>
        <xdr:cNvSpPr txBox="1"/>
      </xdr:nvSpPr>
      <xdr:spPr>
        <a:xfrm>
          <a:off x="343281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40" name="Shape 3">
          <a:extLst>
            <a:ext uri="{FF2B5EF4-FFF2-40B4-BE49-F238E27FC236}">
              <a16:creationId xmlns:a16="http://schemas.microsoft.com/office/drawing/2014/main" id="{00000000-0008-0000-0000-000028000000}"/>
            </a:ext>
          </a:extLst>
        </xdr:cNvPr>
        <xdr:cNvSpPr txBox="1"/>
      </xdr:nvSpPr>
      <xdr:spPr>
        <a:xfrm>
          <a:off x="343281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41</xdr:row>
      <xdr:rowOff>76200</xdr:rowOff>
    </xdr:from>
    <xdr:ext cx="38100" cy="171450"/>
    <xdr:sp macro="" textlink="">
      <xdr:nvSpPr>
        <xdr:cNvPr id="41" name="Shape 3">
          <a:extLst>
            <a:ext uri="{FF2B5EF4-FFF2-40B4-BE49-F238E27FC236}">
              <a16:creationId xmlns:a16="http://schemas.microsoft.com/office/drawing/2014/main" id="{00000000-0008-0000-0000-000029000000}"/>
            </a:ext>
          </a:extLst>
        </xdr:cNvPr>
        <xdr:cNvSpPr txBox="1"/>
      </xdr:nvSpPr>
      <xdr:spPr>
        <a:xfrm>
          <a:off x="3432810" y="81229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14</xdr:row>
      <xdr:rowOff>76200</xdr:rowOff>
    </xdr:from>
    <xdr:ext cx="38100" cy="171450"/>
    <xdr:sp macro="" textlink="">
      <xdr:nvSpPr>
        <xdr:cNvPr id="42" name="Shape 3">
          <a:extLst>
            <a:ext uri="{FF2B5EF4-FFF2-40B4-BE49-F238E27FC236}">
              <a16:creationId xmlns:a16="http://schemas.microsoft.com/office/drawing/2014/main" id="{00000000-0008-0000-0000-00002A000000}"/>
            </a:ext>
          </a:extLst>
        </xdr:cNvPr>
        <xdr:cNvSpPr txBox="1"/>
      </xdr:nvSpPr>
      <xdr:spPr>
        <a:xfrm>
          <a:off x="6953250" y="2773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38</xdr:col>
      <xdr:colOff>476250</xdr:colOff>
      <xdr:row>72</xdr:row>
      <xdr:rowOff>160020</xdr:rowOff>
    </xdr:from>
    <xdr:ext cx="38100" cy="171450"/>
    <xdr:sp macro="" textlink="">
      <xdr:nvSpPr>
        <xdr:cNvPr id="43" name="Shape 3">
          <a:extLst>
            <a:ext uri="{FF2B5EF4-FFF2-40B4-BE49-F238E27FC236}">
              <a16:creationId xmlns:a16="http://schemas.microsoft.com/office/drawing/2014/main" id="{00000000-0008-0000-0000-00002B000000}"/>
            </a:ext>
          </a:extLst>
        </xdr:cNvPr>
        <xdr:cNvSpPr txBox="1"/>
      </xdr:nvSpPr>
      <xdr:spPr>
        <a:xfrm>
          <a:off x="9345930" y="21412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16</xdr:row>
      <xdr:rowOff>76200</xdr:rowOff>
    </xdr:from>
    <xdr:ext cx="38100" cy="171450"/>
    <xdr:sp macro="" textlink="">
      <xdr:nvSpPr>
        <xdr:cNvPr id="44" name="Shape 3">
          <a:extLst>
            <a:ext uri="{FF2B5EF4-FFF2-40B4-BE49-F238E27FC236}">
              <a16:creationId xmlns:a16="http://schemas.microsoft.com/office/drawing/2014/main" id="{00000000-0008-0000-0000-00002C000000}"/>
            </a:ext>
          </a:extLst>
        </xdr:cNvPr>
        <xdr:cNvSpPr txBox="1"/>
      </xdr:nvSpPr>
      <xdr:spPr>
        <a:xfrm>
          <a:off x="6953250" y="31699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45" name="Shape 3">
          <a:extLst>
            <a:ext uri="{FF2B5EF4-FFF2-40B4-BE49-F238E27FC236}">
              <a16:creationId xmlns:a16="http://schemas.microsoft.com/office/drawing/2014/main" id="{00000000-0008-0000-0000-00002D000000}"/>
            </a:ext>
          </a:extLst>
        </xdr:cNvPr>
        <xdr:cNvSpPr txBox="1"/>
      </xdr:nvSpPr>
      <xdr:spPr>
        <a:xfrm>
          <a:off x="6953250" y="33680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46" name="Shape 3">
          <a:extLst>
            <a:ext uri="{FF2B5EF4-FFF2-40B4-BE49-F238E27FC236}">
              <a16:creationId xmlns:a16="http://schemas.microsoft.com/office/drawing/2014/main" id="{00000000-0008-0000-0000-00002E000000}"/>
            </a:ext>
          </a:extLst>
        </xdr:cNvPr>
        <xdr:cNvSpPr txBox="1"/>
      </xdr:nvSpPr>
      <xdr:spPr>
        <a:xfrm>
          <a:off x="6953250" y="33680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47" name="Shape 3">
          <a:extLst>
            <a:ext uri="{FF2B5EF4-FFF2-40B4-BE49-F238E27FC236}">
              <a16:creationId xmlns:a16="http://schemas.microsoft.com/office/drawing/2014/main" id="{00000000-0008-0000-0000-00002F000000}"/>
            </a:ext>
          </a:extLst>
        </xdr:cNvPr>
        <xdr:cNvSpPr txBox="1"/>
      </xdr:nvSpPr>
      <xdr:spPr>
        <a:xfrm>
          <a:off x="6953250" y="35661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48" name="Shape 3">
          <a:extLst>
            <a:ext uri="{FF2B5EF4-FFF2-40B4-BE49-F238E27FC236}">
              <a16:creationId xmlns:a16="http://schemas.microsoft.com/office/drawing/2014/main" id="{00000000-0008-0000-0000-000030000000}"/>
            </a:ext>
          </a:extLst>
        </xdr:cNvPr>
        <xdr:cNvSpPr txBox="1"/>
      </xdr:nvSpPr>
      <xdr:spPr>
        <a:xfrm>
          <a:off x="6953250" y="35661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49" name="Shape 3">
          <a:extLst>
            <a:ext uri="{FF2B5EF4-FFF2-40B4-BE49-F238E27FC236}">
              <a16:creationId xmlns:a16="http://schemas.microsoft.com/office/drawing/2014/main" id="{00000000-0008-0000-0000-000031000000}"/>
            </a:ext>
          </a:extLst>
        </xdr:cNvPr>
        <xdr:cNvSpPr txBox="1"/>
      </xdr:nvSpPr>
      <xdr:spPr>
        <a:xfrm>
          <a:off x="6953250" y="37642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50" name="Shape 3">
          <a:extLst>
            <a:ext uri="{FF2B5EF4-FFF2-40B4-BE49-F238E27FC236}">
              <a16:creationId xmlns:a16="http://schemas.microsoft.com/office/drawing/2014/main" id="{00000000-0008-0000-0000-000032000000}"/>
            </a:ext>
          </a:extLst>
        </xdr:cNvPr>
        <xdr:cNvSpPr txBox="1"/>
      </xdr:nvSpPr>
      <xdr:spPr>
        <a:xfrm>
          <a:off x="6953250" y="37642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51" name="Shape 3">
          <a:extLst>
            <a:ext uri="{FF2B5EF4-FFF2-40B4-BE49-F238E27FC236}">
              <a16:creationId xmlns:a16="http://schemas.microsoft.com/office/drawing/2014/main" id="{00000000-0008-0000-0000-000033000000}"/>
            </a:ext>
          </a:extLst>
        </xdr:cNvPr>
        <xdr:cNvSpPr txBox="1"/>
      </xdr:nvSpPr>
      <xdr:spPr>
        <a:xfrm>
          <a:off x="6953250" y="396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52" name="Shape 3">
          <a:extLst>
            <a:ext uri="{FF2B5EF4-FFF2-40B4-BE49-F238E27FC236}">
              <a16:creationId xmlns:a16="http://schemas.microsoft.com/office/drawing/2014/main" id="{00000000-0008-0000-0000-000034000000}"/>
            </a:ext>
          </a:extLst>
        </xdr:cNvPr>
        <xdr:cNvSpPr txBox="1"/>
      </xdr:nvSpPr>
      <xdr:spPr>
        <a:xfrm>
          <a:off x="6953250" y="396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53" name="Shape 3">
          <a:extLst>
            <a:ext uri="{FF2B5EF4-FFF2-40B4-BE49-F238E27FC236}">
              <a16:creationId xmlns:a16="http://schemas.microsoft.com/office/drawing/2014/main" id="{00000000-0008-0000-0000-000035000000}"/>
            </a:ext>
          </a:extLst>
        </xdr:cNvPr>
        <xdr:cNvSpPr txBox="1"/>
      </xdr:nvSpPr>
      <xdr:spPr>
        <a:xfrm>
          <a:off x="6953250" y="41605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54" name="Shape 3">
          <a:extLst>
            <a:ext uri="{FF2B5EF4-FFF2-40B4-BE49-F238E27FC236}">
              <a16:creationId xmlns:a16="http://schemas.microsoft.com/office/drawing/2014/main" id="{00000000-0008-0000-0000-000036000000}"/>
            </a:ext>
          </a:extLst>
        </xdr:cNvPr>
        <xdr:cNvSpPr txBox="1"/>
      </xdr:nvSpPr>
      <xdr:spPr>
        <a:xfrm>
          <a:off x="6953250" y="41605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55" name="Shape 3">
          <a:extLst>
            <a:ext uri="{FF2B5EF4-FFF2-40B4-BE49-F238E27FC236}">
              <a16:creationId xmlns:a16="http://schemas.microsoft.com/office/drawing/2014/main" id="{00000000-0008-0000-0000-000037000000}"/>
            </a:ext>
          </a:extLst>
        </xdr:cNvPr>
        <xdr:cNvSpPr txBox="1"/>
      </xdr:nvSpPr>
      <xdr:spPr>
        <a:xfrm>
          <a:off x="6953250" y="43586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56" name="Shape 3">
          <a:extLst>
            <a:ext uri="{FF2B5EF4-FFF2-40B4-BE49-F238E27FC236}">
              <a16:creationId xmlns:a16="http://schemas.microsoft.com/office/drawing/2014/main" id="{00000000-0008-0000-0000-000038000000}"/>
            </a:ext>
          </a:extLst>
        </xdr:cNvPr>
        <xdr:cNvSpPr txBox="1"/>
      </xdr:nvSpPr>
      <xdr:spPr>
        <a:xfrm>
          <a:off x="6953250" y="43586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57" name="Shape 3">
          <a:extLst>
            <a:ext uri="{FF2B5EF4-FFF2-40B4-BE49-F238E27FC236}">
              <a16:creationId xmlns:a16="http://schemas.microsoft.com/office/drawing/2014/main" id="{00000000-0008-0000-0000-000039000000}"/>
            </a:ext>
          </a:extLst>
        </xdr:cNvPr>
        <xdr:cNvSpPr txBox="1"/>
      </xdr:nvSpPr>
      <xdr:spPr>
        <a:xfrm>
          <a:off x="695325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58" name="Shape 3">
          <a:extLst>
            <a:ext uri="{FF2B5EF4-FFF2-40B4-BE49-F238E27FC236}">
              <a16:creationId xmlns:a16="http://schemas.microsoft.com/office/drawing/2014/main" id="{00000000-0008-0000-0000-00003A000000}"/>
            </a:ext>
          </a:extLst>
        </xdr:cNvPr>
        <xdr:cNvSpPr txBox="1"/>
      </xdr:nvSpPr>
      <xdr:spPr>
        <a:xfrm>
          <a:off x="695325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59" name="Shape 3">
          <a:extLst>
            <a:ext uri="{FF2B5EF4-FFF2-40B4-BE49-F238E27FC236}">
              <a16:creationId xmlns:a16="http://schemas.microsoft.com/office/drawing/2014/main" id="{00000000-0008-0000-0000-00003B000000}"/>
            </a:ext>
          </a:extLst>
        </xdr:cNvPr>
        <xdr:cNvSpPr txBox="1"/>
      </xdr:nvSpPr>
      <xdr:spPr>
        <a:xfrm>
          <a:off x="695325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60" name="Shape 3">
          <a:extLst>
            <a:ext uri="{FF2B5EF4-FFF2-40B4-BE49-F238E27FC236}">
              <a16:creationId xmlns:a16="http://schemas.microsoft.com/office/drawing/2014/main" id="{00000000-0008-0000-0000-00003C000000}"/>
            </a:ext>
          </a:extLst>
        </xdr:cNvPr>
        <xdr:cNvSpPr txBox="1"/>
      </xdr:nvSpPr>
      <xdr:spPr>
        <a:xfrm>
          <a:off x="695325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61" name="Shape 3">
          <a:extLst>
            <a:ext uri="{FF2B5EF4-FFF2-40B4-BE49-F238E27FC236}">
              <a16:creationId xmlns:a16="http://schemas.microsoft.com/office/drawing/2014/main" id="{00000000-0008-0000-0000-00003D000000}"/>
            </a:ext>
          </a:extLst>
        </xdr:cNvPr>
        <xdr:cNvSpPr txBox="1"/>
      </xdr:nvSpPr>
      <xdr:spPr>
        <a:xfrm>
          <a:off x="695325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62" name="Shape 3">
          <a:extLst>
            <a:ext uri="{FF2B5EF4-FFF2-40B4-BE49-F238E27FC236}">
              <a16:creationId xmlns:a16="http://schemas.microsoft.com/office/drawing/2014/main" id="{00000000-0008-0000-0000-00003E000000}"/>
            </a:ext>
          </a:extLst>
        </xdr:cNvPr>
        <xdr:cNvSpPr txBox="1"/>
      </xdr:nvSpPr>
      <xdr:spPr>
        <a:xfrm>
          <a:off x="695325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63" name="Shape 3">
          <a:extLst>
            <a:ext uri="{FF2B5EF4-FFF2-40B4-BE49-F238E27FC236}">
              <a16:creationId xmlns:a16="http://schemas.microsoft.com/office/drawing/2014/main" id="{00000000-0008-0000-0000-00003F000000}"/>
            </a:ext>
          </a:extLst>
        </xdr:cNvPr>
        <xdr:cNvSpPr txBox="1"/>
      </xdr:nvSpPr>
      <xdr:spPr>
        <a:xfrm>
          <a:off x="695325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64" name="Shape 3">
          <a:extLst>
            <a:ext uri="{FF2B5EF4-FFF2-40B4-BE49-F238E27FC236}">
              <a16:creationId xmlns:a16="http://schemas.microsoft.com/office/drawing/2014/main" id="{00000000-0008-0000-0000-000040000000}"/>
            </a:ext>
          </a:extLst>
        </xdr:cNvPr>
        <xdr:cNvSpPr txBox="1"/>
      </xdr:nvSpPr>
      <xdr:spPr>
        <a:xfrm>
          <a:off x="695325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65" name="Shape 3">
          <a:extLst>
            <a:ext uri="{FF2B5EF4-FFF2-40B4-BE49-F238E27FC236}">
              <a16:creationId xmlns:a16="http://schemas.microsoft.com/office/drawing/2014/main" id="{00000000-0008-0000-0000-000041000000}"/>
            </a:ext>
          </a:extLst>
        </xdr:cNvPr>
        <xdr:cNvSpPr txBox="1"/>
      </xdr:nvSpPr>
      <xdr:spPr>
        <a:xfrm>
          <a:off x="695325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66" name="Shape 3">
          <a:extLst>
            <a:ext uri="{FF2B5EF4-FFF2-40B4-BE49-F238E27FC236}">
              <a16:creationId xmlns:a16="http://schemas.microsoft.com/office/drawing/2014/main" id="{00000000-0008-0000-0000-000042000000}"/>
            </a:ext>
          </a:extLst>
        </xdr:cNvPr>
        <xdr:cNvSpPr txBox="1"/>
      </xdr:nvSpPr>
      <xdr:spPr>
        <a:xfrm>
          <a:off x="695325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67" name="Shape 3">
          <a:extLst>
            <a:ext uri="{FF2B5EF4-FFF2-40B4-BE49-F238E27FC236}">
              <a16:creationId xmlns:a16="http://schemas.microsoft.com/office/drawing/2014/main" id="{00000000-0008-0000-0000-000043000000}"/>
            </a:ext>
          </a:extLst>
        </xdr:cNvPr>
        <xdr:cNvSpPr txBox="1"/>
      </xdr:nvSpPr>
      <xdr:spPr>
        <a:xfrm>
          <a:off x="695325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68" name="Shape 3">
          <a:extLst>
            <a:ext uri="{FF2B5EF4-FFF2-40B4-BE49-F238E27FC236}">
              <a16:creationId xmlns:a16="http://schemas.microsoft.com/office/drawing/2014/main" id="{00000000-0008-0000-0000-000044000000}"/>
            </a:ext>
          </a:extLst>
        </xdr:cNvPr>
        <xdr:cNvSpPr txBox="1"/>
      </xdr:nvSpPr>
      <xdr:spPr>
        <a:xfrm>
          <a:off x="695325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69" name="Shape 3">
          <a:extLst>
            <a:ext uri="{FF2B5EF4-FFF2-40B4-BE49-F238E27FC236}">
              <a16:creationId xmlns:a16="http://schemas.microsoft.com/office/drawing/2014/main" id="{00000000-0008-0000-0000-000045000000}"/>
            </a:ext>
          </a:extLst>
        </xdr:cNvPr>
        <xdr:cNvSpPr txBox="1"/>
      </xdr:nvSpPr>
      <xdr:spPr>
        <a:xfrm>
          <a:off x="695325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70" name="Shape 3">
          <a:extLst>
            <a:ext uri="{FF2B5EF4-FFF2-40B4-BE49-F238E27FC236}">
              <a16:creationId xmlns:a16="http://schemas.microsoft.com/office/drawing/2014/main" id="{00000000-0008-0000-0000-000046000000}"/>
            </a:ext>
          </a:extLst>
        </xdr:cNvPr>
        <xdr:cNvSpPr txBox="1"/>
      </xdr:nvSpPr>
      <xdr:spPr>
        <a:xfrm>
          <a:off x="695325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71" name="Shape 3">
          <a:extLst>
            <a:ext uri="{FF2B5EF4-FFF2-40B4-BE49-F238E27FC236}">
              <a16:creationId xmlns:a16="http://schemas.microsoft.com/office/drawing/2014/main" id="{00000000-0008-0000-0000-000047000000}"/>
            </a:ext>
          </a:extLst>
        </xdr:cNvPr>
        <xdr:cNvSpPr txBox="1"/>
      </xdr:nvSpPr>
      <xdr:spPr>
        <a:xfrm>
          <a:off x="695325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72" name="Shape 3">
          <a:extLst>
            <a:ext uri="{FF2B5EF4-FFF2-40B4-BE49-F238E27FC236}">
              <a16:creationId xmlns:a16="http://schemas.microsoft.com/office/drawing/2014/main" id="{00000000-0008-0000-0000-000048000000}"/>
            </a:ext>
          </a:extLst>
        </xdr:cNvPr>
        <xdr:cNvSpPr txBox="1"/>
      </xdr:nvSpPr>
      <xdr:spPr>
        <a:xfrm>
          <a:off x="695325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73" name="Shape 3">
          <a:extLst>
            <a:ext uri="{FF2B5EF4-FFF2-40B4-BE49-F238E27FC236}">
              <a16:creationId xmlns:a16="http://schemas.microsoft.com/office/drawing/2014/main" id="{00000000-0008-0000-0000-000049000000}"/>
            </a:ext>
          </a:extLst>
        </xdr:cNvPr>
        <xdr:cNvSpPr txBox="1"/>
      </xdr:nvSpPr>
      <xdr:spPr>
        <a:xfrm>
          <a:off x="695325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74" name="Shape 3">
          <a:extLst>
            <a:ext uri="{FF2B5EF4-FFF2-40B4-BE49-F238E27FC236}">
              <a16:creationId xmlns:a16="http://schemas.microsoft.com/office/drawing/2014/main" id="{00000000-0008-0000-0000-00004A000000}"/>
            </a:ext>
          </a:extLst>
        </xdr:cNvPr>
        <xdr:cNvSpPr txBox="1"/>
      </xdr:nvSpPr>
      <xdr:spPr>
        <a:xfrm>
          <a:off x="695325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75" name="Shape 3">
          <a:extLst>
            <a:ext uri="{FF2B5EF4-FFF2-40B4-BE49-F238E27FC236}">
              <a16:creationId xmlns:a16="http://schemas.microsoft.com/office/drawing/2014/main" id="{00000000-0008-0000-0000-00004B000000}"/>
            </a:ext>
          </a:extLst>
        </xdr:cNvPr>
        <xdr:cNvSpPr txBox="1"/>
      </xdr:nvSpPr>
      <xdr:spPr>
        <a:xfrm>
          <a:off x="695325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76" name="Shape 3">
          <a:extLst>
            <a:ext uri="{FF2B5EF4-FFF2-40B4-BE49-F238E27FC236}">
              <a16:creationId xmlns:a16="http://schemas.microsoft.com/office/drawing/2014/main" id="{00000000-0008-0000-0000-00004C000000}"/>
            </a:ext>
          </a:extLst>
        </xdr:cNvPr>
        <xdr:cNvSpPr txBox="1"/>
      </xdr:nvSpPr>
      <xdr:spPr>
        <a:xfrm>
          <a:off x="695325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77" name="Shape 3">
          <a:extLst>
            <a:ext uri="{FF2B5EF4-FFF2-40B4-BE49-F238E27FC236}">
              <a16:creationId xmlns:a16="http://schemas.microsoft.com/office/drawing/2014/main" id="{00000000-0008-0000-0000-00004D000000}"/>
            </a:ext>
          </a:extLst>
        </xdr:cNvPr>
        <xdr:cNvSpPr txBox="1"/>
      </xdr:nvSpPr>
      <xdr:spPr>
        <a:xfrm>
          <a:off x="695325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78" name="Shape 3">
          <a:extLst>
            <a:ext uri="{FF2B5EF4-FFF2-40B4-BE49-F238E27FC236}">
              <a16:creationId xmlns:a16="http://schemas.microsoft.com/office/drawing/2014/main" id="{00000000-0008-0000-0000-00004E000000}"/>
            </a:ext>
          </a:extLst>
        </xdr:cNvPr>
        <xdr:cNvSpPr txBox="1"/>
      </xdr:nvSpPr>
      <xdr:spPr>
        <a:xfrm>
          <a:off x="695325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79" name="Shape 3">
          <a:extLst>
            <a:ext uri="{FF2B5EF4-FFF2-40B4-BE49-F238E27FC236}">
              <a16:creationId xmlns:a16="http://schemas.microsoft.com/office/drawing/2014/main" id="{00000000-0008-0000-0000-00004F000000}"/>
            </a:ext>
          </a:extLst>
        </xdr:cNvPr>
        <xdr:cNvSpPr txBox="1"/>
      </xdr:nvSpPr>
      <xdr:spPr>
        <a:xfrm>
          <a:off x="695325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80" name="Shape 3">
          <a:extLst>
            <a:ext uri="{FF2B5EF4-FFF2-40B4-BE49-F238E27FC236}">
              <a16:creationId xmlns:a16="http://schemas.microsoft.com/office/drawing/2014/main" id="{00000000-0008-0000-0000-000050000000}"/>
            </a:ext>
          </a:extLst>
        </xdr:cNvPr>
        <xdr:cNvSpPr txBox="1"/>
      </xdr:nvSpPr>
      <xdr:spPr>
        <a:xfrm>
          <a:off x="695325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81" name="Shape 3">
          <a:extLst>
            <a:ext uri="{FF2B5EF4-FFF2-40B4-BE49-F238E27FC236}">
              <a16:creationId xmlns:a16="http://schemas.microsoft.com/office/drawing/2014/main" id="{00000000-0008-0000-0000-000051000000}"/>
            </a:ext>
          </a:extLst>
        </xdr:cNvPr>
        <xdr:cNvSpPr txBox="1"/>
      </xdr:nvSpPr>
      <xdr:spPr>
        <a:xfrm>
          <a:off x="695325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82" name="Shape 3">
          <a:extLst>
            <a:ext uri="{FF2B5EF4-FFF2-40B4-BE49-F238E27FC236}">
              <a16:creationId xmlns:a16="http://schemas.microsoft.com/office/drawing/2014/main" id="{00000000-0008-0000-0000-000052000000}"/>
            </a:ext>
          </a:extLst>
        </xdr:cNvPr>
        <xdr:cNvSpPr txBox="1"/>
      </xdr:nvSpPr>
      <xdr:spPr>
        <a:xfrm>
          <a:off x="695325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83" name="Shape 3">
          <a:extLst>
            <a:ext uri="{FF2B5EF4-FFF2-40B4-BE49-F238E27FC236}">
              <a16:creationId xmlns:a16="http://schemas.microsoft.com/office/drawing/2014/main" id="{00000000-0008-0000-0000-000053000000}"/>
            </a:ext>
          </a:extLst>
        </xdr:cNvPr>
        <xdr:cNvSpPr txBox="1"/>
      </xdr:nvSpPr>
      <xdr:spPr>
        <a:xfrm>
          <a:off x="695325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84" name="Shape 3">
          <a:extLst>
            <a:ext uri="{FF2B5EF4-FFF2-40B4-BE49-F238E27FC236}">
              <a16:creationId xmlns:a16="http://schemas.microsoft.com/office/drawing/2014/main" id="{00000000-0008-0000-0000-000054000000}"/>
            </a:ext>
          </a:extLst>
        </xdr:cNvPr>
        <xdr:cNvSpPr txBox="1"/>
      </xdr:nvSpPr>
      <xdr:spPr>
        <a:xfrm>
          <a:off x="695325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85" name="Shape 3">
          <a:extLst>
            <a:ext uri="{FF2B5EF4-FFF2-40B4-BE49-F238E27FC236}">
              <a16:creationId xmlns:a16="http://schemas.microsoft.com/office/drawing/2014/main" id="{00000000-0008-0000-0000-000055000000}"/>
            </a:ext>
          </a:extLst>
        </xdr:cNvPr>
        <xdr:cNvSpPr txBox="1"/>
      </xdr:nvSpPr>
      <xdr:spPr>
        <a:xfrm>
          <a:off x="695325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86" name="Shape 3">
          <a:extLst>
            <a:ext uri="{FF2B5EF4-FFF2-40B4-BE49-F238E27FC236}">
              <a16:creationId xmlns:a16="http://schemas.microsoft.com/office/drawing/2014/main" id="{00000000-0008-0000-0000-000056000000}"/>
            </a:ext>
          </a:extLst>
        </xdr:cNvPr>
        <xdr:cNvSpPr txBox="1"/>
      </xdr:nvSpPr>
      <xdr:spPr>
        <a:xfrm>
          <a:off x="695325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87" name="Shape 3">
          <a:extLst>
            <a:ext uri="{FF2B5EF4-FFF2-40B4-BE49-F238E27FC236}">
              <a16:creationId xmlns:a16="http://schemas.microsoft.com/office/drawing/2014/main" id="{00000000-0008-0000-0000-000057000000}"/>
            </a:ext>
          </a:extLst>
        </xdr:cNvPr>
        <xdr:cNvSpPr txBox="1"/>
      </xdr:nvSpPr>
      <xdr:spPr>
        <a:xfrm>
          <a:off x="695325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88" name="Shape 3">
          <a:extLst>
            <a:ext uri="{FF2B5EF4-FFF2-40B4-BE49-F238E27FC236}">
              <a16:creationId xmlns:a16="http://schemas.microsoft.com/office/drawing/2014/main" id="{00000000-0008-0000-0000-000058000000}"/>
            </a:ext>
          </a:extLst>
        </xdr:cNvPr>
        <xdr:cNvSpPr txBox="1"/>
      </xdr:nvSpPr>
      <xdr:spPr>
        <a:xfrm>
          <a:off x="695325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89" name="Shape 3">
          <a:extLst>
            <a:ext uri="{FF2B5EF4-FFF2-40B4-BE49-F238E27FC236}">
              <a16:creationId xmlns:a16="http://schemas.microsoft.com/office/drawing/2014/main" id="{00000000-0008-0000-0000-000059000000}"/>
            </a:ext>
          </a:extLst>
        </xdr:cNvPr>
        <xdr:cNvSpPr txBox="1"/>
      </xdr:nvSpPr>
      <xdr:spPr>
        <a:xfrm>
          <a:off x="695325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90" name="Shape 3">
          <a:extLst>
            <a:ext uri="{FF2B5EF4-FFF2-40B4-BE49-F238E27FC236}">
              <a16:creationId xmlns:a16="http://schemas.microsoft.com/office/drawing/2014/main" id="{00000000-0008-0000-0000-00005A000000}"/>
            </a:ext>
          </a:extLst>
        </xdr:cNvPr>
        <xdr:cNvSpPr txBox="1"/>
      </xdr:nvSpPr>
      <xdr:spPr>
        <a:xfrm>
          <a:off x="695325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91" name="Shape 3">
          <a:extLst>
            <a:ext uri="{FF2B5EF4-FFF2-40B4-BE49-F238E27FC236}">
              <a16:creationId xmlns:a16="http://schemas.microsoft.com/office/drawing/2014/main" id="{00000000-0008-0000-0000-00005B000000}"/>
            </a:ext>
          </a:extLst>
        </xdr:cNvPr>
        <xdr:cNvSpPr txBox="1"/>
      </xdr:nvSpPr>
      <xdr:spPr>
        <a:xfrm>
          <a:off x="695325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92" name="Shape 3">
          <a:extLst>
            <a:ext uri="{FF2B5EF4-FFF2-40B4-BE49-F238E27FC236}">
              <a16:creationId xmlns:a16="http://schemas.microsoft.com/office/drawing/2014/main" id="{00000000-0008-0000-0000-00005C000000}"/>
            </a:ext>
          </a:extLst>
        </xdr:cNvPr>
        <xdr:cNvSpPr txBox="1"/>
      </xdr:nvSpPr>
      <xdr:spPr>
        <a:xfrm>
          <a:off x="695325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41</xdr:row>
      <xdr:rowOff>76200</xdr:rowOff>
    </xdr:from>
    <xdr:ext cx="38100" cy="171450"/>
    <xdr:sp macro="" textlink="">
      <xdr:nvSpPr>
        <xdr:cNvPr id="93" name="Shape 3">
          <a:extLst>
            <a:ext uri="{FF2B5EF4-FFF2-40B4-BE49-F238E27FC236}">
              <a16:creationId xmlns:a16="http://schemas.microsoft.com/office/drawing/2014/main" id="{00000000-0008-0000-0000-00005D000000}"/>
            </a:ext>
          </a:extLst>
        </xdr:cNvPr>
        <xdr:cNvSpPr txBox="1"/>
      </xdr:nvSpPr>
      <xdr:spPr>
        <a:xfrm>
          <a:off x="6953250" y="81229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49530</xdr:colOff>
      <xdr:row>39</xdr:row>
      <xdr:rowOff>121920</xdr:rowOff>
    </xdr:from>
    <xdr:ext cx="38100" cy="171450"/>
    <xdr:sp macro="" textlink="">
      <xdr:nvSpPr>
        <xdr:cNvPr id="94" name="Shape 3">
          <a:extLst>
            <a:ext uri="{FF2B5EF4-FFF2-40B4-BE49-F238E27FC236}">
              <a16:creationId xmlns:a16="http://schemas.microsoft.com/office/drawing/2014/main" id="{00000000-0008-0000-0000-00005E000000}"/>
            </a:ext>
          </a:extLst>
        </xdr:cNvPr>
        <xdr:cNvSpPr txBox="1"/>
      </xdr:nvSpPr>
      <xdr:spPr>
        <a:xfrm>
          <a:off x="6907530" y="777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26</xdr:col>
      <xdr:colOff>87630</xdr:colOff>
      <xdr:row>16</xdr:row>
      <xdr:rowOff>91440</xdr:rowOff>
    </xdr:from>
    <xdr:ext cx="38100" cy="171450"/>
    <xdr:sp macro="" textlink="">
      <xdr:nvSpPr>
        <xdr:cNvPr id="95" name="Shape 3">
          <a:extLst>
            <a:ext uri="{FF2B5EF4-FFF2-40B4-BE49-F238E27FC236}">
              <a16:creationId xmlns:a16="http://schemas.microsoft.com/office/drawing/2014/main" id="{00000000-0008-0000-0000-00005F000000}"/>
            </a:ext>
          </a:extLst>
        </xdr:cNvPr>
        <xdr:cNvSpPr txBox="1"/>
      </xdr:nvSpPr>
      <xdr:spPr>
        <a:xfrm>
          <a:off x="6694170" y="31851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twoCellAnchor>
    <xdr:from>
      <xdr:col>20</xdr:col>
      <xdr:colOff>3717</xdr:colOff>
      <xdr:row>52</xdr:row>
      <xdr:rowOff>40888</xdr:rowOff>
    </xdr:from>
    <xdr:to>
      <xdr:col>29</xdr:col>
      <xdr:colOff>3717</xdr:colOff>
      <xdr:row>52</xdr:row>
      <xdr:rowOff>48322</xdr:rowOff>
    </xdr:to>
    <xdr:cxnSp macro="">
      <xdr:nvCxnSpPr>
        <xdr:cNvPr id="97" name="Connecteur droit 96">
          <a:extLst>
            <a:ext uri="{FF2B5EF4-FFF2-40B4-BE49-F238E27FC236}">
              <a16:creationId xmlns:a16="http://schemas.microsoft.com/office/drawing/2014/main" id="{AF464F71-E38F-318B-22D1-368522283C97}"/>
            </a:ext>
          </a:extLst>
        </xdr:cNvPr>
        <xdr:cNvCxnSpPr/>
      </xdr:nvCxnSpPr>
      <xdr:spPr>
        <a:xfrm flipH="1" flipV="1">
          <a:off x="5125844" y="9879981"/>
          <a:ext cx="2274849" cy="743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95250</xdr:colOff>
      <xdr:row>21</xdr:row>
      <xdr:rowOff>76200</xdr:rowOff>
    </xdr:from>
    <xdr:ext cx="38100" cy="171450"/>
    <xdr:sp macro="" textlink="">
      <xdr:nvSpPr>
        <xdr:cNvPr id="96" name="Shape 3">
          <a:extLst>
            <a:ext uri="{FF2B5EF4-FFF2-40B4-BE49-F238E27FC236}">
              <a16:creationId xmlns:a16="http://schemas.microsoft.com/office/drawing/2014/main" id="{FD0C004A-4F6D-4DE5-9E38-26D48168FFA2}"/>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98" name="Shape 3">
          <a:extLst>
            <a:ext uri="{FF2B5EF4-FFF2-40B4-BE49-F238E27FC236}">
              <a16:creationId xmlns:a16="http://schemas.microsoft.com/office/drawing/2014/main" id="{CF430FFC-37BA-4763-807E-A41A55B3ED1B}"/>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99" name="Shape 3">
          <a:extLst>
            <a:ext uri="{FF2B5EF4-FFF2-40B4-BE49-F238E27FC236}">
              <a16:creationId xmlns:a16="http://schemas.microsoft.com/office/drawing/2014/main" id="{076B068A-B15F-4259-AC3E-13B5897E7C91}"/>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100" name="Shape 3">
          <a:extLst>
            <a:ext uri="{FF2B5EF4-FFF2-40B4-BE49-F238E27FC236}">
              <a16:creationId xmlns:a16="http://schemas.microsoft.com/office/drawing/2014/main" id="{F7B45FBA-2900-420D-88CC-A5F66E97FC76}"/>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101" name="Shape 3">
          <a:extLst>
            <a:ext uri="{FF2B5EF4-FFF2-40B4-BE49-F238E27FC236}">
              <a16:creationId xmlns:a16="http://schemas.microsoft.com/office/drawing/2014/main" id="{27F88933-615C-48B5-9CE9-32C52A7E62DD}"/>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102" name="Shape 3">
          <a:extLst>
            <a:ext uri="{FF2B5EF4-FFF2-40B4-BE49-F238E27FC236}">
              <a16:creationId xmlns:a16="http://schemas.microsoft.com/office/drawing/2014/main" id="{32F4F1E0-3245-4AB2-BF08-2BE161CE65DB}"/>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103" name="Shape 3">
          <a:extLst>
            <a:ext uri="{FF2B5EF4-FFF2-40B4-BE49-F238E27FC236}">
              <a16:creationId xmlns:a16="http://schemas.microsoft.com/office/drawing/2014/main" id="{F5F0FFEF-0630-430C-8669-D3DD7FD70566}"/>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104" name="Shape 3">
          <a:extLst>
            <a:ext uri="{FF2B5EF4-FFF2-40B4-BE49-F238E27FC236}">
              <a16:creationId xmlns:a16="http://schemas.microsoft.com/office/drawing/2014/main" id="{0C1CD23C-07C4-425A-BF67-A4D02629AB53}"/>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05" name="Shape 3">
          <a:extLst>
            <a:ext uri="{FF2B5EF4-FFF2-40B4-BE49-F238E27FC236}">
              <a16:creationId xmlns:a16="http://schemas.microsoft.com/office/drawing/2014/main" id="{9EB14ED9-68AD-47F4-A673-23B90CAD740C}"/>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06" name="Shape 3">
          <a:extLst>
            <a:ext uri="{FF2B5EF4-FFF2-40B4-BE49-F238E27FC236}">
              <a16:creationId xmlns:a16="http://schemas.microsoft.com/office/drawing/2014/main" id="{41D19C66-FDE3-49EB-94F3-DB99645365F8}"/>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07" name="Shape 3">
          <a:extLst>
            <a:ext uri="{FF2B5EF4-FFF2-40B4-BE49-F238E27FC236}">
              <a16:creationId xmlns:a16="http://schemas.microsoft.com/office/drawing/2014/main" id="{B21A8984-BBCD-4F38-9547-302A42FB9AA5}"/>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08" name="Shape 3">
          <a:extLst>
            <a:ext uri="{FF2B5EF4-FFF2-40B4-BE49-F238E27FC236}">
              <a16:creationId xmlns:a16="http://schemas.microsoft.com/office/drawing/2014/main" id="{357E1605-9779-40BE-A4C8-CF29ABCA4CFD}"/>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09" name="Shape 3">
          <a:extLst>
            <a:ext uri="{FF2B5EF4-FFF2-40B4-BE49-F238E27FC236}">
              <a16:creationId xmlns:a16="http://schemas.microsoft.com/office/drawing/2014/main" id="{94517F97-2F68-4353-939B-B9EA14FD32BB}"/>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10" name="Shape 3">
          <a:extLst>
            <a:ext uri="{FF2B5EF4-FFF2-40B4-BE49-F238E27FC236}">
              <a16:creationId xmlns:a16="http://schemas.microsoft.com/office/drawing/2014/main" id="{1A362C8D-CCC1-475E-9CE4-882472841B87}"/>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11" name="Shape 3">
          <a:extLst>
            <a:ext uri="{FF2B5EF4-FFF2-40B4-BE49-F238E27FC236}">
              <a16:creationId xmlns:a16="http://schemas.microsoft.com/office/drawing/2014/main" id="{753FA772-C957-410D-BCCE-692367314184}"/>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12" name="Shape 3">
          <a:extLst>
            <a:ext uri="{FF2B5EF4-FFF2-40B4-BE49-F238E27FC236}">
              <a16:creationId xmlns:a16="http://schemas.microsoft.com/office/drawing/2014/main" id="{155EC6F9-C727-4488-9A31-AD462D183A37}"/>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113" name="Shape 3">
          <a:extLst>
            <a:ext uri="{FF2B5EF4-FFF2-40B4-BE49-F238E27FC236}">
              <a16:creationId xmlns:a16="http://schemas.microsoft.com/office/drawing/2014/main" id="{80807531-C11C-49E7-8642-A8E2B534346E}"/>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114" name="Shape 3">
          <a:extLst>
            <a:ext uri="{FF2B5EF4-FFF2-40B4-BE49-F238E27FC236}">
              <a16:creationId xmlns:a16="http://schemas.microsoft.com/office/drawing/2014/main" id="{AF9597CA-C673-4FD0-A30E-1D30689FC2F0}"/>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115" name="Shape 3">
          <a:extLst>
            <a:ext uri="{FF2B5EF4-FFF2-40B4-BE49-F238E27FC236}">
              <a16:creationId xmlns:a16="http://schemas.microsoft.com/office/drawing/2014/main" id="{A7F0B742-84F2-4782-B09E-102E98B03156}"/>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116" name="Shape 3">
          <a:extLst>
            <a:ext uri="{FF2B5EF4-FFF2-40B4-BE49-F238E27FC236}">
              <a16:creationId xmlns:a16="http://schemas.microsoft.com/office/drawing/2014/main" id="{FF15F1C7-0AF0-4129-9771-8B86182A5C9E}"/>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117" name="Shape 3">
          <a:extLst>
            <a:ext uri="{FF2B5EF4-FFF2-40B4-BE49-F238E27FC236}">
              <a16:creationId xmlns:a16="http://schemas.microsoft.com/office/drawing/2014/main" id="{C1687CCF-93B7-439D-B188-9C00635C9B58}"/>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118" name="Shape 3">
          <a:extLst>
            <a:ext uri="{FF2B5EF4-FFF2-40B4-BE49-F238E27FC236}">
              <a16:creationId xmlns:a16="http://schemas.microsoft.com/office/drawing/2014/main" id="{9C5524B0-EA3C-4E37-8D36-E9C0B39EB233}"/>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119" name="Shape 3">
          <a:extLst>
            <a:ext uri="{FF2B5EF4-FFF2-40B4-BE49-F238E27FC236}">
              <a16:creationId xmlns:a16="http://schemas.microsoft.com/office/drawing/2014/main" id="{F84EB055-9017-417E-8A19-16F2F663C0DF}"/>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120" name="Shape 3">
          <a:extLst>
            <a:ext uri="{FF2B5EF4-FFF2-40B4-BE49-F238E27FC236}">
              <a16:creationId xmlns:a16="http://schemas.microsoft.com/office/drawing/2014/main" id="{47B4731D-20B9-4BAE-B46F-E7F9B7B84ACA}"/>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121" name="Shape 3">
          <a:extLst>
            <a:ext uri="{FF2B5EF4-FFF2-40B4-BE49-F238E27FC236}">
              <a16:creationId xmlns:a16="http://schemas.microsoft.com/office/drawing/2014/main" id="{E9768C3B-15E9-41B3-9C4C-5BBF1732D47B}"/>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122" name="Shape 3">
          <a:extLst>
            <a:ext uri="{FF2B5EF4-FFF2-40B4-BE49-F238E27FC236}">
              <a16:creationId xmlns:a16="http://schemas.microsoft.com/office/drawing/2014/main" id="{CE0027F3-8A03-43E4-84C1-74A3DF76BF9D}"/>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123" name="Shape 3">
          <a:extLst>
            <a:ext uri="{FF2B5EF4-FFF2-40B4-BE49-F238E27FC236}">
              <a16:creationId xmlns:a16="http://schemas.microsoft.com/office/drawing/2014/main" id="{80B7360C-0B86-4C1C-A200-A2D56B09A6A0}"/>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124" name="Shape 3">
          <a:extLst>
            <a:ext uri="{FF2B5EF4-FFF2-40B4-BE49-F238E27FC236}">
              <a16:creationId xmlns:a16="http://schemas.microsoft.com/office/drawing/2014/main" id="{F4285138-F981-49F0-808C-0A71552577FD}"/>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125" name="Shape 3">
          <a:extLst>
            <a:ext uri="{FF2B5EF4-FFF2-40B4-BE49-F238E27FC236}">
              <a16:creationId xmlns:a16="http://schemas.microsoft.com/office/drawing/2014/main" id="{43E9D7FB-D41A-42EA-99FC-3A6600FD75E4}"/>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126" name="Shape 3">
          <a:extLst>
            <a:ext uri="{FF2B5EF4-FFF2-40B4-BE49-F238E27FC236}">
              <a16:creationId xmlns:a16="http://schemas.microsoft.com/office/drawing/2014/main" id="{1D8F45DC-F52B-4106-BBBB-3DA585A861E1}"/>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127" name="Shape 3">
          <a:extLst>
            <a:ext uri="{FF2B5EF4-FFF2-40B4-BE49-F238E27FC236}">
              <a16:creationId xmlns:a16="http://schemas.microsoft.com/office/drawing/2014/main" id="{76EE61B0-5FD2-4F0D-B094-21D65976C916}"/>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128" name="Shape 3">
          <a:extLst>
            <a:ext uri="{FF2B5EF4-FFF2-40B4-BE49-F238E27FC236}">
              <a16:creationId xmlns:a16="http://schemas.microsoft.com/office/drawing/2014/main" id="{7723F2EA-F872-400A-BC54-F09D76E9C93F}"/>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129" name="Shape 3">
          <a:extLst>
            <a:ext uri="{FF2B5EF4-FFF2-40B4-BE49-F238E27FC236}">
              <a16:creationId xmlns:a16="http://schemas.microsoft.com/office/drawing/2014/main" id="{5A5DA319-108D-44FC-AC37-A8B3EDEBE864}"/>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130" name="Shape 3">
          <a:extLst>
            <a:ext uri="{FF2B5EF4-FFF2-40B4-BE49-F238E27FC236}">
              <a16:creationId xmlns:a16="http://schemas.microsoft.com/office/drawing/2014/main" id="{AE3FB259-BCEB-4F54-9910-0E97E1361B1C}"/>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131" name="Shape 3">
          <a:extLst>
            <a:ext uri="{FF2B5EF4-FFF2-40B4-BE49-F238E27FC236}">
              <a16:creationId xmlns:a16="http://schemas.microsoft.com/office/drawing/2014/main" id="{A90361CA-66D6-4920-99BC-CFE0BAC432E7}"/>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132" name="Shape 3">
          <a:extLst>
            <a:ext uri="{FF2B5EF4-FFF2-40B4-BE49-F238E27FC236}">
              <a16:creationId xmlns:a16="http://schemas.microsoft.com/office/drawing/2014/main" id="{61666C7C-1006-4F2E-86C3-35F0DDE33919}"/>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133" name="Shape 3">
          <a:extLst>
            <a:ext uri="{FF2B5EF4-FFF2-40B4-BE49-F238E27FC236}">
              <a16:creationId xmlns:a16="http://schemas.microsoft.com/office/drawing/2014/main" id="{73DA5BEC-9CBB-424A-B72A-4AF83F07A26D}"/>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134" name="Shape 3">
          <a:extLst>
            <a:ext uri="{FF2B5EF4-FFF2-40B4-BE49-F238E27FC236}">
              <a16:creationId xmlns:a16="http://schemas.microsoft.com/office/drawing/2014/main" id="{37343FB9-7B9D-44E4-BB4C-5EA4C6496EDF}"/>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41</xdr:row>
      <xdr:rowOff>76200</xdr:rowOff>
    </xdr:from>
    <xdr:ext cx="38100" cy="171450"/>
    <xdr:sp macro="" textlink="">
      <xdr:nvSpPr>
        <xdr:cNvPr id="135" name="Shape 3">
          <a:extLst>
            <a:ext uri="{FF2B5EF4-FFF2-40B4-BE49-F238E27FC236}">
              <a16:creationId xmlns:a16="http://schemas.microsoft.com/office/drawing/2014/main" id="{035A057C-470E-4ED0-A78E-34F005E72ADC}"/>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15</xdr:row>
      <xdr:rowOff>76200</xdr:rowOff>
    </xdr:from>
    <xdr:ext cx="38100" cy="171450"/>
    <xdr:sp macro="" textlink="">
      <xdr:nvSpPr>
        <xdr:cNvPr id="136" name="Shape 3">
          <a:extLst>
            <a:ext uri="{FF2B5EF4-FFF2-40B4-BE49-F238E27FC236}">
              <a16:creationId xmlns:a16="http://schemas.microsoft.com/office/drawing/2014/main" id="{3582735A-5985-448D-909D-0E3389068AE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16</xdr:row>
      <xdr:rowOff>76200</xdr:rowOff>
    </xdr:from>
    <xdr:ext cx="38100" cy="171450"/>
    <xdr:sp macro="" textlink="">
      <xdr:nvSpPr>
        <xdr:cNvPr id="137" name="Shape 3">
          <a:extLst>
            <a:ext uri="{FF2B5EF4-FFF2-40B4-BE49-F238E27FC236}">
              <a16:creationId xmlns:a16="http://schemas.microsoft.com/office/drawing/2014/main" id="{9F1FA170-0738-4458-8265-C1A29CD861FA}"/>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138" name="Shape 3">
          <a:extLst>
            <a:ext uri="{FF2B5EF4-FFF2-40B4-BE49-F238E27FC236}">
              <a16:creationId xmlns:a16="http://schemas.microsoft.com/office/drawing/2014/main" id="{CA1C15C7-AAE8-40F0-A64C-DF0C1BC8E5E8}"/>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139" name="Shape 3">
          <a:extLst>
            <a:ext uri="{FF2B5EF4-FFF2-40B4-BE49-F238E27FC236}">
              <a16:creationId xmlns:a16="http://schemas.microsoft.com/office/drawing/2014/main" id="{459226C8-C6F2-4CB2-9F76-86DF3F835FE2}"/>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140" name="Shape 3">
          <a:extLst>
            <a:ext uri="{FF2B5EF4-FFF2-40B4-BE49-F238E27FC236}">
              <a16:creationId xmlns:a16="http://schemas.microsoft.com/office/drawing/2014/main" id="{DDCB069E-DE47-4789-BD5A-48F59BAE3E5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141" name="Shape 3">
          <a:extLst>
            <a:ext uri="{FF2B5EF4-FFF2-40B4-BE49-F238E27FC236}">
              <a16:creationId xmlns:a16="http://schemas.microsoft.com/office/drawing/2014/main" id="{E40AA94E-73C4-46CB-A946-C1246D4E588C}"/>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142" name="Shape 3">
          <a:extLst>
            <a:ext uri="{FF2B5EF4-FFF2-40B4-BE49-F238E27FC236}">
              <a16:creationId xmlns:a16="http://schemas.microsoft.com/office/drawing/2014/main" id="{FF534143-4B6F-4D0A-B95A-96522055F1AF}"/>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143" name="Shape 3">
          <a:extLst>
            <a:ext uri="{FF2B5EF4-FFF2-40B4-BE49-F238E27FC236}">
              <a16:creationId xmlns:a16="http://schemas.microsoft.com/office/drawing/2014/main" id="{8967F80D-624C-4305-BD8E-ED125D1B1F8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144" name="Shape 3">
          <a:extLst>
            <a:ext uri="{FF2B5EF4-FFF2-40B4-BE49-F238E27FC236}">
              <a16:creationId xmlns:a16="http://schemas.microsoft.com/office/drawing/2014/main" id="{2102D346-B9E9-407F-A9E3-DE0C9CE4D216}"/>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145" name="Shape 3">
          <a:extLst>
            <a:ext uri="{FF2B5EF4-FFF2-40B4-BE49-F238E27FC236}">
              <a16:creationId xmlns:a16="http://schemas.microsoft.com/office/drawing/2014/main" id="{5651BB04-D281-4EBA-AAC1-0ACD7D5554A4}"/>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146" name="Shape 3">
          <a:extLst>
            <a:ext uri="{FF2B5EF4-FFF2-40B4-BE49-F238E27FC236}">
              <a16:creationId xmlns:a16="http://schemas.microsoft.com/office/drawing/2014/main" id="{7756FB3F-22B6-414D-83C2-9F9C91B0271A}"/>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147" name="Shape 3">
          <a:extLst>
            <a:ext uri="{FF2B5EF4-FFF2-40B4-BE49-F238E27FC236}">
              <a16:creationId xmlns:a16="http://schemas.microsoft.com/office/drawing/2014/main" id="{65B486E3-17BD-4EAB-8675-C9F89A27E0AE}"/>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148" name="Shape 3">
          <a:extLst>
            <a:ext uri="{FF2B5EF4-FFF2-40B4-BE49-F238E27FC236}">
              <a16:creationId xmlns:a16="http://schemas.microsoft.com/office/drawing/2014/main" id="{32C02FEA-9DDB-4A54-AEDA-CFCDD182335C}"/>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149" name="Shape 3">
          <a:extLst>
            <a:ext uri="{FF2B5EF4-FFF2-40B4-BE49-F238E27FC236}">
              <a16:creationId xmlns:a16="http://schemas.microsoft.com/office/drawing/2014/main" id="{F3B5CD50-C641-43F6-9D57-5C0C1EB10F08}"/>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150" name="Shape 3">
          <a:extLst>
            <a:ext uri="{FF2B5EF4-FFF2-40B4-BE49-F238E27FC236}">
              <a16:creationId xmlns:a16="http://schemas.microsoft.com/office/drawing/2014/main" id="{EC6D31F2-19D4-46D9-B1E9-B3D4C310320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151" name="Shape 3">
          <a:extLst>
            <a:ext uri="{FF2B5EF4-FFF2-40B4-BE49-F238E27FC236}">
              <a16:creationId xmlns:a16="http://schemas.microsoft.com/office/drawing/2014/main" id="{96DE13D3-82CA-4B4E-AE8F-F573E72561D5}"/>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152" name="Shape 3">
          <a:extLst>
            <a:ext uri="{FF2B5EF4-FFF2-40B4-BE49-F238E27FC236}">
              <a16:creationId xmlns:a16="http://schemas.microsoft.com/office/drawing/2014/main" id="{FD1CA613-AA90-422B-8605-1DD203106090}"/>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153" name="Shape 3">
          <a:extLst>
            <a:ext uri="{FF2B5EF4-FFF2-40B4-BE49-F238E27FC236}">
              <a16:creationId xmlns:a16="http://schemas.microsoft.com/office/drawing/2014/main" id="{3CC64CCC-6918-423C-A66D-6A0263788FD6}"/>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154" name="Shape 3">
          <a:extLst>
            <a:ext uri="{FF2B5EF4-FFF2-40B4-BE49-F238E27FC236}">
              <a16:creationId xmlns:a16="http://schemas.microsoft.com/office/drawing/2014/main" id="{1149F5EE-E13A-4324-BA46-F438EFD59B15}"/>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155" name="Shape 3">
          <a:extLst>
            <a:ext uri="{FF2B5EF4-FFF2-40B4-BE49-F238E27FC236}">
              <a16:creationId xmlns:a16="http://schemas.microsoft.com/office/drawing/2014/main" id="{A936CFC8-0232-44ED-8367-B703B21DA05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156" name="Shape 3">
          <a:extLst>
            <a:ext uri="{FF2B5EF4-FFF2-40B4-BE49-F238E27FC236}">
              <a16:creationId xmlns:a16="http://schemas.microsoft.com/office/drawing/2014/main" id="{3DE4DA80-B34C-47B1-B376-AB51020779D7}"/>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157" name="Shape 3">
          <a:extLst>
            <a:ext uri="{FF2B5EF4-FFF2-40B4-BE49-F238E27FC236}">
              <a16:creationId xmlns:a16="http://schemas.microsoft.com/office/drawing/2014/main" id="{3DDD5604-5852-42CD-B1D6-208270B73C69}"/>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158" name="Shape 3">
          <a:extLst>
            <a:ext uri="{FF2B5EF4-FFF2-40B4-BE49-F238E27FC236}">
              <a16:creationId xmlns:a16="http://schemas.microsoft.com/office/drawing/2014/main" id="{2875DDBE-53D7-4C89-9302-9EF6EE51E020}"/>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159" name="Shape 3">
          <a:extLst>
            <a:ext uri="{FF2B5EF4-FFF2-40B4-BE49-F238E27FC236}">
              <a16:creationId xmlns:a16="http://schemas.microsoft.com/office/drawing/2014/main" id="{ED79D492-7E36-48C2-B3F9-B5E1C54ABF63}"/>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160" name="Shape 3">
          <a:extLst>
            <a:ext uri="{FF2B5EF4-FFF2-40B4-BE49-F238E27FC236}">
              <a16:creationId xmlns:a16="http://schemas.microsoft.com/office/drawing/2014/main" id="{7E76A985-50BA-49C0-9AD4-F06B0F64F853}"/>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161" name="Shape 3">
          <a:extLst>
            <a:ext uri="{FF2B5EF4-FFF2-40B4-BE49-F238E27FC236}">
              <a16:creationId xmlns:a16="http://schemas.microsoft.com/office/drawing/2014/main" id="{142DFA4B-B120-48A2-9A67-A8B79E070AB2}"/>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162" name="Shape 3">
          <a:extLst>
            <a:ext uri="{FF2B5EF4-FFF2-40B4-BE49-F238E27FC236}">
              <a16:creationId xmlns:a16="http://schemas.microsoft.com/office/drawing/2014/main" id="{C54FA588-789A-4143-9B4A-F14ED14B5A10}"/>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163" name="Shape 3">
          <a:extLst>
            <a:ext uri="{FF2B5EF4-FFF2-40B4-BE49-F238E27FC236}">
              <a16:creationId xmlns:a16="http://schemas.microsoft.com/office/drawing/2014/main" id="{FC5D22AA-793D-4B4B-B995-556B7CEB3834}"/>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164" name="Shape 3">
          <a:extLst>
            <a:ext uri="{FF2B5EF4-FFF2-40B4-BE49-F238E27FC236}">
              <a16:creationId xmlns:a16="http://schemas.microsoft.com/office/drawing/2014/main" id="{C17B250E-8BF0-4183-B144-E78DD43342B1}"/>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165" name="Shape 3">
          <a:extLst>
            <a:ext uri="{FF2B5EF4-FFF2-40B4-BE49-F238E27FC236}">
              <a16:creationId xmlns:a16="http://schemas.microsoft.com/office/drawing/2014/main" id="{85D33EA9-D102-4D35-B387-FD23A0A5CA56}"/>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166" name="Shape 3">
          <a:extLst>
            <a:ext uri="{FF2B5EF4-FFF2-40B4-BE49-F238E27FC236}">
              <a16:creationId xmlns:a16="http://schemas.microsoft.com/office/drawing/2014/main" id="{50AA95B1-41A6-4D5F-AC41-A107245B6675}"/>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167" name="Shape 3">
          <a:extLst>
            <a:ext uri="{FF2B5EF4-FFF2-40B4-BE49-F238E27FC236}">
              <a16:creationId xmlns:a16="http://schemas.microsoft.com/office/drawing/2014/main" id="{9267702D-DFFF-4229-B82B-76125E6C98F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168" name="Shape 3">
          <a:extLst>
            <a:ext uri="{FF2B5EF4-FFF2-40B4-BE49-F238E27FC236}">
              <a16:creationId xmlns:a16="http://schemas.microsoft.com/office/drawing/2014/main" id="{22B44FEF-E928-412D-8053-B399384C2C9B}"/>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169" name="Shape 3">
          <a:extLst>
            <a:ext uri="{FF2B5EF4-FFF2-40B4-BE49-F238E27FC236}">
              <a16:creationId xmlns:a16="http://schemas.microsoft.com/office/drawing/2014/main" id="{BD0BF0FA-E202-4888-A55E-FFE472E323F9}"/>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170" name="Shape 3">
          <a:extLst>
            <a:ext uri="{FF2B5EF4-FFF2-40B4-BE49-F238E27FC236}">
              <a16:creationId xmlns:a16="http://schemas.microsoft.com/office/drawing/2014/main" id="{D2D32413-5F2E-4842-8302-D13229A3E73C}"/>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171" name="Shape 3">
          <a:extLst>
            <a:ext uri="{FF2B5EF4-FFF2-40B4-BE49-F238E27FC236}">
              <a16:creationId xmlns:a16="http://schemas.microsoft.com/office/drawing/2014/main" id="{1060DA76-0F2F-4CAD-B3AD-017AD03A183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172" name="Shape 3">
          <a:extLst>
            <a:ext uri="{FF2B5EF4-FFF2-40B4-BE49-F238E27FC236}">
              <a16:creationId xmlns:a16="http://schemas.microsoft.com/office/drawing/2014/main" id="{E26070AB-89EA-4DFE-A2BF-B0BF134C4C9E}"/>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173" name="Shape 3">
          <a:extLst>
            <a:ext uri="{FF2B5EF4-FFF2-40B4-BE49-F238E27FC236}">
              <a16:creationId xmlns:a16="http://schemas.microsoft.com/office/drawing/2014/main" id="{46ADDE4F-9304-4426-BB18-89D4420AEED1}"/>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174" name="Shape 3">
          <a:extLst>
            <a:ext uri="{FF2B5EF4-FFF2-40B4-BE49-F238E27FC236}">
              <a16:creationId xmlns:a16="http://schemas.microsoft.com/office/drawing/2014/main" id="{48807F7B-1A44-4CB7-80F6-9DAD7CA3AE7C}"/>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175" name="Shape 3">
          <a:extLst>
            <a:ext uri="{FF2B5EF4-FFF2-40B4-BE49-F238E27FC236}">
              <a16:creationId xmlns:a16="http://schemas.microsoft.com/office/drawing/2014/main" id="{7B6C39DD-C492-4D2E-A3C0-83834DE4B20A}"/>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176" name="Shape 3">
          <a:extLst>
            <a:ext uri="{FF2B5EF4-FFF2-40B4-BE49-F238E27FC236}">
              <a16:creationId xmlns:a16="http://schemas.microsoft.com/office/drawing/2014/main" id="{35154101-5687-4933-85C3-063685D3DA3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177" name="Shape 3">
          <a:extLst>
            <a:ext uri="{FF2B5EF4-FFF2-40B4-BE49-F238E27FC236}">
              <a16:creationId xmlns:a16="http://schemas.microsoft.com/office/drawing/2014/main" id="{A3DBB724-BCF5-4CCD-BC33-DEC3E17E618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178" name="Shape 3">
          <a:extLst>
            <a:ext uri="{FF2B5EF4-FFF2-40B4-BE49-F238E27FC236}">
              <a16:creationId xmlns:a16="http://schemas.microsoft.com/office/drawing/2014/main" id="{CB251705-A18E-4695-8D47-D7EBABBE0061}"/>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179" name="Shape 3">
          <a:extLst>
            <a:ext uri="{FF2B5EF4-FFF2-40B4-BE49-F238E27FC236}">
              <a16:creationId xmlns:a16="http://schemas.microsoft.com/office/drawing/2014/main" id="{C923081A-94E3-4C06-BC59-E5504FB2FE7D}"/>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180" name="Shape 3">
          <a:extLst>
            <a:ext uri="{FF2B5EF4-FFF2-40B4-BE49-F238E27FC236}">
              <a16:creationId xmlns:a16="http://schemas.microsoft.com/office/drawing/2014/main" id="{0DC15CDE-8286-4A73-A4D2-14D650773DBA}"/>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181" name="Shape 3">
          <a:extLst>
            <a:ext uri="{FF2B5EF4-FFF2-40B4-BE49-F238E27FC236}">
              <a16:creationId xmlns:a16="http://schemas.microsoft.com/office/drawing/2014/main" id="{E012DDDE-FB4C-4FF7-AF1F-1BC28DDFBD1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182" name="Shape 3">
          <a:extLst>
            <a:ext uri="{FF2B5EF4-FFF2-40B4-BE49-F238E27FC236}">
              <a16:creationId xmlns:a16="http://schemas.microsoft.com/office/drawing/2014/main" id="{D94516F5-3298-4347-9FFE-590F4E3E35AB}"/>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183" name="Shape 3">
          <a:extLst>
            <a:ext uri="{FF2B5EF4-FFF2-40B4-BE49-F238E27FC236}">
              <a16:creationId xmlns:a16="http://schemas.microsoft.com/office/drawing/2014/main" id="{0D14C1CF-0858-41EA-8173-F184679B6DB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184" name="Shape 3">
          <a:extLst>
            <a:ext uri="{FF2B5EF4-FFF2-40B4-BE49-F238E27FC236}">
              <a16:creationId xmlns:a16="http://schemas.microsoft.com/office/drawing/2014/main" id="{5129C997-47FC-408D-8DD4-730208882FD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185" name="Shape 3">
          <a:extLst>
            <a:ext uri="{FF2B5EF4-FFF2-40B4-BE49-F238E27FC236}">
              <a16:creationId xmlns:a16="http://schemas.microsoft.com/office/drawing/2014/main" id="{FF208423-F04A-434C-BE8A-E5673F5CDB8C}"/>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41</xdr:row>
      <xdr:rowOff>76200</xdr:rowOff>
    </xdr:from>
    <xdr:ext cx="38100" cy="171450"/>
    <xdr:sp macro="" textlink="">
      <xdr:nvSpPr>
        <xdr:cNvPr id="186" name="Shape 3">
          <a:extLst>
            <a:ext uri="{FF2B5EF4-FFF2-40B4-BE49-F238E27FC236}">
              <a16:creationId xmlns:a16="http://schemas.microsoft.com/office/drawing/2014/main" id="{851B6969-A535-4FEB-A475-FFDB27FD45C8}"/>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20</xdr:row>
      <xdr:rowOff>76200</xdr:rowOff>
    </xdr:from>
    <xdr:ext cx="38100" cy="171450"/>
    <xdr:sp macro="" textlink="">
      <xdr:nvSpPr>
        <xdr:cNvPr id="187" name="Shape 3">
          <a:extLst>
            <a:ext uri="{FF2B5EF4-FFF2-40B4-BE49-F238E27FC236}">
              <a16:creationId xmlns:a16="http://schemas.microsoft.com/office/drawing/2014/main" id="{6384D371-85CE-4426-BC90-18B8B2129336}"/>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88" name="Shape 3">
          <a:extLst>
            <a:ext uri="{FF2B5EF4-FFF2-40B4-BE49-F238E27FC236}">
              <a16:creationId xmlns:a16="http://schemas.microsoft.com/office/drawing/2014/main" id="{DA6C4261-9ABC-40CC-B5CE-8C32E21D6756}"/>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89" name="Shape 3">
          <a:extLst>
            <a:ext uri="{FF2B5EF4-FFF2-40B4-BE49-F238E27FC236}">
              <a16:creationId xmlns:a16="http://schemas.microsoft.com/office/drawing/2014/main" id="{255F3426-33A9-4690-A8BF-B8C080285747}"/>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20</xdr:row>
      <xdr:rowOff>76200</xdr:rowOff>
    </xdr:from>
    <xdr:ext cx="38100" cy="171450"/>
    <xdr:sp macro="" textlink="">
      <xdr:nvSpPr>
        <xdr:cNvPr id="190" name="Shape 3">
          <a:extLst>
            <a:ext uri="{FF2B5EF4-FFF2-40B4-BE49-F238E27FC236}">
              <a16:creationId xmlns:a16="http://schemas.microsoft.com/office/drawing/2014/main" id="{C2C22652-BCFF-4CD7-BF14-E67DD3EC7669}"/>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1" name="Shape 3">
          <a:extLst>
            <a:ext uri="{FF2B5EF4-FFF2-40B4-BE49-F238E27FC236}">
              <a16:creationId xmlns:a16="http://schemas.microsoft.com/office/drawing/2014/main" id="{CE425F1F-CFE0-41CF-AE8E-C7C8A9FABC8E}"/>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2" name="Shape 3">
          <a:extLst>
            <a:ext uri="{FF2B5EF4-FFF2-40B4-BE49-F238E27FC236}">
              <a16:creationId xmlns:a16="http://schemas.microsoft.com/office/drawing/2014/main" id="{23FD0F2D-8430-40AC-A567-22535E61BE70}"/>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3" name="Shape 3">
          <a:extLst>
            <a:ext uri="{FF2B5EF4-FFF2-40B4-BE49-F238E27FC236}">
              <a16:creationId xmlns:a16="http://schemas.microsoft.com/office/drawing/2014/main" id="{035111CA-52D7-4696-BDAD-308E356DE03B}"/>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4" name="Shape 3">
          <a:extLst>
            <a:ext uri="{FF2B5EF4-FFF2-40B4-BE49-F238E27FC236}">
              <a16:creationId xmlns:a16="http://schemas.microsoft.com/office/drawing/2014/main" id="{051EE067-9CDF-4D71-8A8B-16A35D3A4B80}"/>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5" name="Shape 3">
          <a:extLst>
            <a:ext uri="{FF2B5EF4-FFF2-40B4-BE49-F238E27FC236}">
              <a16:creationId xmlns:a16="http://schemas.microsoft.com/office/drawing/2014/main" id="{E640210E-1096-42B9-A289-E1C5BF1820EE}"/>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6" name="Shape 3">
          <a:extLst>
            <a:ext uri="{FF2B5EF4-FFF2-40B4-BE49-F238E27FC236}">
              <a16:creationId xmlns:a16="http://schemas.microsoft.com/office/drawing/2014/main" id="{C5391FE0-0638-45BE-B5EB-73BB8F37E505}"/>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7" name="Shape 3">
          <a:extLst>
            <a:ext uri="{FF2B5EF4-FFF2-40B4-BE49-F238E27FC236}">
              <a16:creationId xmlns:a16="http://schemas.microsoft.com/office/drawing/2014/main" id="{897A922B-0BDD-4AAF-BAF8-B2CBAC87B974}"/>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8" name="Shape 3">
          <a:extLst>
            <a:ext uri="{FF2B5EF4-FFF2-40B4-BE49-F238E27FC236}">
              <a16:creationId xmlns:a16="http://schemas.microsoft.com/office/drawing/2014/main" id="{7B459E3C-6C08-406D-8E1C-55A85BDE2518}"/>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9" name="Shape 3">
          <a:extLst>
            <a:ext uri="{FF2B5EF4-FFF2-40B4-BE49-F238E27FC236}">
              <a16:creationId xmlns:a16="http://schemas.microsoft.com/office/drawing/2014/main" id="{DC588E10-33A3-4F29-A027-140243AA336B}"/>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200" name="Shape 3">
          <a:extLst>
            <a:ext uri="{FF2B5EF4-FFF2-40B4-BE49-F238E27FC236}">
              <a16:creationId xmlns:a16="http://schemas.microsoft.com/office/drawing/2014/main" id="{9895A26F-8BDC-4DD2-AD30-A4253BF35C98}"/>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01" name="Shape 3">
          <a:extLst>
            <a:ext uri="{FF2B5EF4-FFF2-40B4-BE49-F238E27FC236}">
              <a16:creationId xmlns:a16="http://schemas.microsoft.com/office/drawing/2014/main" id="{4A15DC6E-845B-4D57-9739-ADEF2846DF36}"/>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02" name="Shape 3">
          <a:extLst>
            <a:ext uri="{FF2B5EF4-FFF2-40B4-BE49-F238E27FC236}">
              <a16:creationId xmlns:a16="http://schemas.microsoft.com/office/drawing/2014/main" id="{A97F005E-F565-4B82-AB3D-2E07A6FC4376}"/>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203" name="Shape 3">
          <a:extLst>
            <a:ext uri="{FF2B5EF4-FFF2-40B4-BE49-F238E27FC236}">
              <a16:creationId xmlns:a16="http://schemas.microsoft.com/office/drawing/2014/main" id="{C0A9AAEB-20F0-4A95-AED9-116CE04FFE82}"/>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204" name="Shape 3">
          <a:extLst>
            <a:ext uri="{FF2B5EF4-FFF2-40B4-BE49-F238E27FC236}">
              <a16:creationId xmlns:a16="http://schemas.microsoft.com/office/drawing/2014/main" id="{B6072A82-A6E7-4A44-9836-F0B0072FCE3B}"/>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05" name="Shape 3">
          <a:extLst>
            <a:ext uri="{FF2B5EF4-FFF2-40B4-BE49-F238E27FC236}">
              <a16:creationId xmlns:a16="http://schemas.microsoft.com/office/drawing/2014/main" id="{6370F4E9-793B-4254-B988-0D8C779D9FF0}"/>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06" name="Shape 3">
          <a:extLst>
            <a:ext uri="{FF2B5EF4-FFF2-40B4-BE49-F238E27FC236}">
              <a16:creationId xmlns:a16="http://schemas.microsoft.com/office/drawing/2014/main" id="{DF0E45B6-5BF8-495A-8788-9C1DB9F2CD9E}"/>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07" name="Shape 3">
          <a:extLst>
            <a:ext uri="{FF2B5EF4-FFF2-40B4-BE49-F238E27FC236}">
              <a16:creationId xmlns:a16="http://schemas.microsoft.com/office/drawing/2014/main" id="{4B03E28C-E8FE-4320-9F65-103CD5D9D954}"/>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08" name="Shape 3">
          <a:extLst>
            <a:ext uri="{FF2B5EF4-FFF2-40B4-BE49-F238E27FC236}">
              <a16:creationId xmlns:a16="http://schemas.microsoft.com/office/drawing/2014/main" id="{147B1539-BBD6-4743-AF3D-BED92F98B1F9}"/>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09" name="Shape 3">
          <a:extLst>
            <a:ext uri="{FF2B5EF4-FFF2-40B4-BE49-F238E27FC236}">
              <a16:creationId xmlns:a16="http://schemas.microsoft.com/office/drawing/2014/main" id="{C9A075CD-C4A2-496A-842F-E6C70FE5C87F}"/>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10" name="Shape 3">
          <a:extLst>
            <a:ext uri="{FF2B5EF4-FFF2-40B4-BE49-F238E27FC236}">
              <a16:creationId xmlns:a16="http://schemas.microsoft.com/office/drawing/2014/main" id="{6FCDD8DC-7DD8-4478-9FB1-F23A9FF3369D}"/>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11" name="Shape 3">
          <a:extLst>
            <a:ext uri="{FF2B5EF4-FFF2-40B4-BE49-F238E27FC236}">
              <a16:creationId xmlns:a16="http://schemas.microsoft.com/office/drawing/2014/main" id="{240D3185-CF69-4E7B-AD44-C05EDB0AEDD5}"/>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212" name="Shape 3">
          <a:extLst>
            <a:ext uri="{FF2B5EF4-FFF2-40B4-BE49-F238E27FC236}">
              <a16:creationId xmlns:a16="http://schemas.microsoft.com/office/drawing/2014/main" id="{A68874FF-DE29-4BB5-A161-569FBDD4DBB3}"/>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13" name="Shape 3">
          <a:extLst>
            <a:ext uri="{FF2B5EF4-FFF2-40B4-BE49-F238E27FC236}">
              <a16:creationId xmlns:a16="http://schemas.microsoft.com/office/drawing/2014/main" id="{DD2788E2-1C32-4962-B90F-7E41A3D69781}"/>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14" name="Shape 3">
          <a:extLst>
            <a:ext uri="{FF2B5EF4-FFF2-40B4-BE49-F238E27FC236}">
              <a16:creationId xmlns:a16="http://schemas.microsoft.com/office/drawing/2014/main" id="{8CF27B45-8620-4435-8B1E-E70CDE68C565}"/>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15" name="Shape 3">
          <a:extLst>
            <a:ext uri="{FF2B5EF4-FFF2-40B4-BE49-F238E27FC236}">
              <a16:creationId xmlns:a16="http://schemas.microsoft.com/office/drawing/2014/main" id="{474FDE35-060B-44C1-9DF6-9CBD74DB3BCD}"/>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16" name="Shape 3">
          <a:extLst>
            <a:ext uri="{FF2B5EF4-FFF2-40B4-BE49-F238E27FC236}">
              <a16:creationId xmlns:a16="http://schemas.microsoft.com/office/drawing/2014/main" id="{1358A2C4-2004-4C1D-B2DC-52DAF40D7D8A}"/>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17" name="Shape 3">
          <a:extLst>
            <a:ext uri="{FF2B5EF4-FFF2-40B4-BE49-F238E27FC236}">
              <a16:creationId xmlns:a16="http://schemas.microsoft.com/office/drawing/2014/main" id="{F7FAAF71-301C-4E44-AB71-EA7555C5768D}"/>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18" name="Shape 3">
          <a:extLst>
            <a:ext uri="{FF2B5EF4-FFF2-40B4-BE49-F238E27FC236}">
              <a16:creationId xmlns:a16="http://schemas.microsoft.com/office/drawing/2014/main" id="{5F250E17-068D-44F6-A5BE-1A211AAC3637}"/>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19" name="Shape 3">
          <a:extLst>
            <a:ext uri="{FF2B5EF4-FFF2-40B4-BE49-F238E27FC236}">
              <a16:creationId xmlns:a16="http://schemas.microsoft.com/office/drawing/2014/main" id="{AA3EF56F-A2A0-44AB-8D9A-06DB26290C6B}"/>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220" name="Shape 3">
          <a:extLst>
            <a:ext uri="{FF2B5EF4-FFF2-40B4-BE49-F238E27FC236}">
              <a16:creationId xmlns:a16="http://schemas.microsoft.com/office/drawing/2014/main" id="{06ACEDD1-E3BF-4CD4-A50E-AC95C29512B5}"/>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21" name="Shape 3">
          <a:extLst>
            <a:ext uri="{FF2B5EF4-FFF2-40B4-BE49-F238E27FC236}">
              <a16:creationId xmlns:a16="http://schemas.microsoft.com/office/drawing/2014/main" id="{02BD2503-C726-4890-9298-3612DD5EFBF3}"/>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22" name="Shape 3">
          <a:extLst>
            <a:ext uri="{FF2B5EF4-FFF2-40B4-BE49-F238E27FC236}">
              <a16:creationId xmlns:a16="http://schemas.microsoft.com/office/drawing/2014/main" id="{01DC3303-5CFA-41E4-9E94-F147D38CA84C}"/>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23" name="Shape 3">
          <a:extLst>
            <a:ext uri="{FF2B5EF4-FFF2-40B4-BE49-F238E27FC236}">
              <a16:creationId xmlns:a16="http://schemas.microsoft.com/office/drawing/2014/main" id="{D7A617B7-D360-46D6-8A0F-01A922CD5AF0}"/>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24" name="Shape 3">
          <a:extLst>
            <a:ext uri="{FF2B5EF4-FFF2-40B4-BE49-F238E27FC236}">
              <a16:creationId xmlns:a16="http://schemas.microsoft.com/office/drawing/2014/main" id="{DE06FBD3-E133-4E46-B7DF-6E6B627A940E}"/>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225" name="Shape 3">
          <a:extLst>
            <a:ext uri="{FF2B5EF4-FFF2-40B4-BE49-F238E27FC236}">
              <a16:creationId xmlns:a16="http://schemas.microsoft.com/office/drawing/2014/main" id="{344C3377-7652-439F-ADE3-E342EFB44057}"/>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226" name="Shape 3">
          <a:extLst>
            <a:ext uri="{FF2B5EF4-FFF2-40B4-BE49-F238E27FC236}">
              <a16:creationId xmlns:a16="http://schemas.microsoft.com/office/drawing/2014/main" id="{B0214A96-FAA7-41DD-AFA2-CEE79C6EBDEC}"/>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27" name="Shape 3">
          <a:extLst>
            <a:ext uri="{FF2B5EF4-FFF2-40B4-BE49-F238E27FC236}">
              <a16:creationId xmlns:a16="http://schemas.microsoft.com/office/drawing/2014/main" id="{5DC520FB-BE88-4CD3-B017-224F18C13620}"/>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228" name="Shape 3">
          <a:extLst>
            <a:ext uri="{FF2B5EF4-FFF2-40B4-BE49-F238E27FC236}">
              <a16:creationId xmlns:a16="http://schemas.microsoft.com/office/drawing/2014/main" id="{7F7DBF4A-3C0A-4461-BE3E-1AF9570933AF}"/>
            </a:ext>
          </a:extLst>
        </xdr:cNvPr>
        <xdr:cNvSpPr txBox="1"/>
      </xdr:nvSpPr>
      <xdr:spPr>
        <a:xfrm>
          <a:off x="3436327" y="4982308"/>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229" name="Shape 3">
          <a:extLst>
            <a:ext uri="{FF2B5EF4-FFF2-40B4-BE49-F238E27FC236}">
              <a16:creationId xmlns:a16="http://schemas.microsoft.com/office/drawing/2014/main" id="{710DB60A-CD41-4762-B30C-733B8435D938}"/>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230" name="Shape 3">
          <a:extLst>
            <a:ext uri="{FF2B5EF4-FFF2-40B4-BE49-F238E27FC236}">
              <a16:creationId xmlns:a16="http://schemas.microsoft.com/office/drawing/2014/main" id="{A8ECD660-6C56-43E1-BE62-AF878FC8D793}"/>
            </a:ext>
          </a:extLst>
        </xdr:cNvPr>
        <xdr:cNvSpPr txBox="1"/>
      </xdr:nvSpPr>
      <xdr:spPr>
        <a:xfrm>
          <a:off x="3436327" y="5181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outlinePr showOutlineSymbols="0"/>
    <pageSetUpPr autoPageBreaks="0" fitToPage="1"/>
  </sheetPr>
  <dimension ref="A1:AP1048576"/>
  <sheetViews>
    <sheetView showGridLines="0" showZeros="0" tabSelected="1" showOutlineSymbols="0" topLeftCell="A113" zoomScale="130" zoomScaleNormal="130" zoomScaleSheetLayoutView="55" workbookViewId="0">
      <selection activeCell="E59" sqref="E59:H59"/>
    </sheetView>
  </sheetViews>
  <sheetFormatPr baseColWidth="10" defaultColWidth="11.1796875" defaultRowHeight="15" customHeight="1"/>
  <cols>
    <col min="1" max="2" width="3" style="4" customWidth="1"/>
    <col min="3" max="3" width="3.36328125" style="4" customWidth="1"/>
    <col min="4" max="4" width="3" style="4" customWidth="1"/>
    <col min="5" max="5" width="3.453125" style="4" customWidth="1"/>
    <col min="6" max="34" width="3" style="4" customWidth="1"/>
    <col min="35" max="35" width="9.54296875" style="4" bestFit="1" customWidth="1"/>
    <col min="36" max="36" width="5.7265625" style="4" customWidth="1"/>
    <col min="37" max="37" width="7.08984375" style="4" hidden="1" customWidth="1"/>
    <col min="38" max="41" width="11.1796875" style="4" hidden="1" customWidth="1"/>
    <col min="42" max="16384" width="11.1796875" style="4"/>
  </cols>
  <sheetData>
    <row r="1" spans="2:42" ht="15.75" customHeight="1" thickBot="1">
      <c r="B1" s="43"/>
      <c r="C1" s="120" t="s">
        <v>0</v>
      </c>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43"/>
      <c r="AE1" s="43"/>
    </row>
    <row r="2" spans="2:42" ht="15.75" customHeight="1" thickTop="1">
      <c r="B2" s="47"/>
      <c r="C2" s="104" t="s">
        <v>214</v>
      </c>
      <c r="D2" s="104"/>
      <c r="E2" s="104"/>
      <c r="F2" s="104"/>
      <c r="G2" s="121"/>
      <c r="H2" s="122"/>
      <c r="I2" s="122"/>
      <c r="J2" s="122"/>
      <c r="K2" s="122"/>
      <c r="L2" s="122"/>
      <c r="M2" s="122"/>
      <c r="N2" s="122"/>
      <c r="O2" s="122"/>
      <c r="P2" s="122"/>
      <c r="Q2" s="122"/>
      <c r="R2" s="122"/>
      <c r="S2" s="122"/>
      <c r="T2" s="122"/>
      <c r="U2" s="122"/>
      <c r="V2" s="122"/>
      <c r="W2" s="122"/>
      <c r="X2" s="122"/>
      <c r="Y2" s="122"/>
      <c r="Z2" s="122"/>
      <c r="AA2" s="122"/>
      <c r="AB2" s="48"/>
      <c r="AC2" s="48"/>
      <c r="AD2" s="49"/>
      <c r="AE2" s="43"/>
    </row>
    <row r="3" spans="2:42" ht="15.75" customHeight="1">
      <c r="B3" s="57"/>
      <c r="C3" s="107" t="s">
        <v>1</v>
      </c>
      <c r="D3" s="107"/>
      <c r="E3" s="107"/>
      <c r="F3" s="107"/>
      <c r="G3" s="107"/>
      <c r="H3" s="108"/>
      <c r="I3" s="108"/>
      <c r="J3" s="108"/>
      <c r="K3" s="108"/>
      <c r="L3" s="108"/>
      <c r="M3" s="108"/>
      <c r="N3" s="108"/>
      <c r="O3" s="108"/>
      <c r="P3" s="108"/>
      <c r="Q3" s="108"/>
      <c r="R3" s="73"/>
      <c r="S3" s="107" t="s">
        <v>2</v>
      </c>
      <c r="T3" s="101"/>
      <c r="U3" s="101"/>
      <c r="V3" s="101"/>
      <c r="W3" s="101"/>
      <c r="X3" s="101"/>
      <c r="Y3" s="101"/>
      <c r="Z3" s="101"/>
      <c r="AA3" s="123"/>
      <c r="AB3" s="101"/>
      <c r="AC3" s="101"/>
      <c r="AD3" s="58"/>
      <c r="AE3" s="43"/>
    </row>
    <row r="4" spans="2:42" ht="15.75" customHeight="1">
      <c r="B4" s="57"/>
      <c r="C4" s="107" t="s">
        <v>127</v>
      </c>
      <c r="D4" s="107"/>
      <c r="E4" s="107"/>
      <c r="F4" s="107"/>
      <c r="G4" s="107"/>
      <c r="H4" s="107"/>
      <c r="I4" s="107"/>
      <c r="J4" s="107"/>
      <c r="K4" s="109"/>
      <c r="L4" s="109"/>
      <c r="M4" s="109"/>
      <c r="N4" s="109"/>
      <c r="O4" s="109"/>
      <c r="P4" s="109"/>
      <c r="Q4" s="109"/>
      <c r="R4" s="109"/>
      <c r="S4" s="109"/>
      <c r="T4" s="95" t="s">
        <v>650</v>
      </c>
      <c r="U4" s="96"/>
      <c r="V4" s="97"/>
      <c r="W4" s="97"/>
      <c r="X4" s="97"/>
      <c r="Y4" s="97"/>
      <c r="Z4" s="97"/>
      <c r="AA4" s="97"/>
      <c r="AB4" s="97"/>
      <c r="AC4" s="98"/>
      <c r="AD4" s="58"/>
      <c r="AE4" s="43"/>
      <c r="AP4" s="72">
        <v>0</v>
      </c>
    </row>
    <row r="5" spans="2:42" ht="15.75" customHeight="1">
      <c r="B5" s="57"/>
      <c r="C5" s="71" t="s">
        <v>130</v>
      </c>
      <c r="D5" s="69"/>
      <c r="E5" s="69"/>
      <c r="F5" s="69"/>
      <c r="G5" s="69"/>
      <c r="H5" s="69"/>
      <c r="I5" s="69"/>
      <c r="J5" s="69"/>
      <c r="K5" s="69"/>
      <c r="L5" s="69"/>
      <c r="M5" s="69"/>
      <c r="N5" s="69"/>
      <c r="O5" s="69"/>
      <c r="P5" s="69"/>
      <c r="Q5" s="69"/>
      <c r="R5" s="69"/>
      <c r="S5" s="69"/>
      <c r="T5" s="69"/>
      <c r="U5" s="69"/>
      <c r="V5" s="69"/>
      <c r="W5" s="69"/>
      <c r="X5" s="69"/>
      <c r="Y5" s="69"/>
      <c r="Z5" s="69"/>
      <c r="AA5" s="69"/>
      <c r="AB5" s="69"/>
      <c r="AC5" s="69"/>
      <c r="AD5" s="58"/>
      <c r="AE5" s="43"/>
    </row>
    <row r="6" spans="2:42" ht="15.75" customHeight="1">
      <c r="B6" s="57"/>
      <c r="C6" s="70" t="s">
        <v>3</v>
      </c>
      <c r="D6" s="124"/>
      <c r="E6" s="124"/>
      <c r="F6" s="124"/>
      <c r="G6" s="124"/>
      <c r="H6" s="124"/>
      <c r="I6" s="124"/>
      <c r="J6" s="124"/>
      <c r="K6" s="124"/>
      <c r="L6" s="124"/>
      <c r="M6" s="69"/>
      <c r="N6" s="125" t="s">
        <v>4</v>
      </c>
      <c r="O6" s="101"/>
      <c r="P6" s="101"/>
      <c r="Q6" s="101"/>
      <c r="R6" s="101"/>
      <c r="S6" s="124"/>
      <c r="T6" s="124"/>
      <c r="U6" s="124"/>
      <c r="V6" s="124"/>
      <c r="W6" s="124"/>
      <c r="X6" s="124"/>
      <c r="Y6" s="124"/>
      <c r="Z6" s="124"/>
      <c r="AA6" s="124"/>
      <c r="AB6" s="124"/>
      <c r="AC6" s="124"/>
      <c r="AD6" s="58"/>
      <c r="AE6" s="43"/>
    </row>
    <row r="7" spans="2:42" ht="15.75" customHeight="1">
      <c r="B7" s="57"/>
      <c r="C7" s="70" t="s">
        <v>3</v>
      </c>
      <c r="D7" s="126"/>
      <c r="E7" s="126"/>
      <c r="F7" s="126"/>
      <c r="G7" s="126"/>
      <c r="H7" s="126"/>
      <c r="I7" s="126"/>
      <c r="J7" s="126"/>
      <c r="K7" s="126"/>
      <c r="L7" s="126"/>
      <c r="M7" s="69"/>
      <c r="N7" s="125" t="s">
        <v>4</v>
      </c>
      <c r="O7" s="101"/>
      <c r="P7" s="101"/>
      <c r="Q7" s="101"/>
      <c r="R7" s="101"/>
      <c r="S7" s="126"/>
      <c r="T7" s="126"/>
      <c r="U7" s="126"/>
      <c r="V7" s="126"/>
      <c r="W7" s="126"/>
      <c r="X7" s="126"/>
      <c r="Y7" s="126"/>
      <c r="Z7" s="126"/>
      <c r="AA7" s="126"/>
      <c r="AB7" s="126"/>
      <c r="AC7" s="126"/>
      <c r="AD7" s="58"/>
      <c r="AE7" s="43"/>
    </row>
    <row r="8" spans="2:42" ht="15.75" customHeight="1">
      <c r="B8" s="57"/>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58"/>
      <c r="AE8" s="43"/>
    </row>
    <row r="9" spans="2:42" ht="15.75" customHeight="1">
      <c r="B9" s="57"/>
      <c r="C9" s="127" t="s">
        <v>5</v>
      </c>
      <c r="D9" s="101"/>
      <c r="E9" s="101"/>
      <c r="F9" s="101"/>
      <c r="G9" s="128"/>
      <c r="H9" s="128"/>
      <c r="I9" s="128"/>
      <c r="J9" s="128"/>
      <c r="K9" s="128"/>
      <c r="L9" s="128"/>
      <c r="M9" s="128"/>
      <c r="N9" s="128"/>
      <c r="O9" s="128"/>
      <c r="P9" s="128"/>
      <c r="Q9" s="128"/>
      <c r="R9" s="128"/>
      <c r="S9" s="128"/>
      <c r="T9" s="128"/>
      <c r="U9" s="128"/>
      <c r="V9" s="128"/>
      <c r="W9" s="128"/>
      <c r="X9" s="128"/>
      <c r="Y9" s="128"/>
      <c r="Z9" s="128"/>
      <c r="AA9" s="128"/>
      <c r="AB9" s="128"/>
      <c r="AC9" s="128"/>
      <c r="AD9" s="58"/>
      <c r="AE9" s="43"/>
    </row>
    <row r="10" spans="2:42" ht="15.75" customHeight="1">
      <c r="B10" s="57"/>
      <c r="C10" s="43"/>
      <c r="D10" s="43"/>
      <c r="E10" s="43"/>
      <c r="F10" s="43"/>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58"/>
      <c r="AE10" s="43"/>
    </row>
    <row r="11" spans="2:42" ht="15.75" customHeight="1">
      <c r="B11" s="57"/>
      <c r="C11" s="43"/>
      <c r="D11" s="43"/>
      <c r="E11" s="43"/>
      <c r="F11" s="43"/>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58"/>
      <c r="AE11" s="43"/>
    </row>
    <row r="12" spans="2:42" ht="15.6" customHeight="1" thickBot="1">
      <c r="B12" s="18"/>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20"/>
      <c r="AE12" s="43"/>
    </row>
    <row r="13" spans="2:42" ht="9.75" customHeight="1" thickTop="1" thickBot="1">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row>
    <row r="14" spans="2:42" ht="15.75" customHeight="1" thickTop="1">
      <c r="B14" s="47"/>
      <c r="C14" s="130" t="s">
        <v>128</v>
      </c>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49"/>
      <c r="AE14" s="43"/>
    </row>
    <row r="15" spans="2:42" ht="15.75" customHeight="1">
      <c r="B15" s="57"/>
      <c r="C15" s="110"/>
      <c r="D15" s="110"/>
      <c r="E15" s="110"/>
      <c r="F15" s="110"/>
      <c r="G15" s="110"/>
      <c r="H15" s="110"/>
      <c r="I15" s="110"/>
      <c r="J15" s="110"/>
      <c r="K15" s="110"/>
      <c r="L15" s="111"/>
      <c r="M15" s="102" t="s">
        <v>6</v>
      </c>
      <c r="N15" s="103"/>
      <c r="O15" s="83"/>
      <c r="P15" s="43"/>
      <c r="Q15" s="102" t="s">
        <v>7</v>
      </c>
      <c r="R15" s="112"/>
      <c r="S15" s="112"/>
      <c r="T15" s="112"/>
      <c r="U15" s="112"/>
      <c r="V15" s="112"/>
      <c r="W15" s="113"/>
      <c r="X15" s="102" t="s">
        <v>8</v>
      </c>
      <c r="Y15" s="103"/>
      <c r="Z15" s="83"/>
      <c r="AA15" s="102" t="s">
        <v>6</v>
      </c>
      <c r="AB15" s="103"/>
      <c r="AC15" s="83"/>
      <c r="AD15" s="58"/>
      <c r="AE15" s="43"/>
    </row>
    <row r="16" spans="2:42" ht="15.75" customHeight="1">
      <c r="B16" s="57"/>
      <c r="C16" s="102" t="s">
        <v>9</v>
      </c>
      <c r="D16" s="112"/>
      <c r="E16" s="112"/>
      <c r="F16" s="112"/>
      <c r="G16" s="112"/>
      <c r="H16" s="112"/>
      <c r="I16" s="112"/>
      <c r="J16" s="112"/>
      <c r="K16" s="112"/>
      <c r="L16" s="113"/>
      <c r="M16" s="87" t="e">
        <f>VLOOKUP(F51,Données!C3:D32,2,FALSE)</f>
        <v>#N/A</v>
      </c>
      <c r="N16" s="88"/>
      <c r="O16" s="85"/>
      <c r="P16" s="43"/>
      <c r="Q16" s="90"/>
      <c r="R16" s="91"/>
      <c r="S16" s="91"/>
      <c r="T16" s="91"/>
      <c r="U16" s="91"/>
      <c r="V16" s="91"/>
      <c r="W16" s="92"/>
      <c r="X16" s="89"/>
      <c r="Y16" s="88"/>
      <c r="Z16" s="85"/>
      <c r="AA16" s="87">
        <f>IF(ISERROR(VLOOKUP(Q16,Données!$A$3:$B$12,2,FALSE)),,VLOOKUP(Q16,Données!$A$3:$B$12,2,FALSE))</f>
        <v>0</v>
      </c>
      <c r="AB16" s="88"/>
      <c r="AC16" s="85"/>
      <c r="AD16" s="58"/>
      <c r="AE16" s="43"/>
    </row>
    <row r="17" spans="2:31" ht="15.75" customHeight="1">
      <c r="B17" s="57"/>
      <c r="C17" s="90"/>
      <c r="D17" s="114"/>
      <c r="E17" s="114"/>
      <c r="F17" s="114"/>
      <c r="G17" s="114"/>
      <c r="H17" s="114"/>
      <c r="I17" s="114"/>
      <c r="J17" s="114"/>
      <c r="K17" s="114"/>
      <c r="L17" s="115"/>
      <c r="M17" s="87"/>
      <c r="N17" s="88"/>
      <c r="O17" s="85"/>
      <c r="P17" s="43"/>
      <c r="Q17" s="90"/>
      <c r="R17" s="91"/>
      <c r="S17" s="91"/>
      <c r="T17" s="91"/>
      <c r="U17" s="91"/>
      <c r="V17" s="91"/>
      <c r="W17" s="92"/>
      <c r="X17" s="89"/>
      <c r="Y17" s="88"/>
      <c r="Z17" s="85"/>
      <c r="AA17" s="87">
        <f>IF(ISERROR(VLOOKUP(Q17,Données!$A$3:$B$12,2,FALSE)),,VLOOKUP(Q17,Données!$A$3:$B$12,2,FALSE))</f>
        <v>0</v>
      </c>
      <c r="AB17" s="88"/>
      <c r="AC17" s="85"/>
      <c r="AD17" s="58"/>
      <c r="AE17" s="43"/>
    </row>
    <row r="18" spans="2:31" ht="15.75" customHeight="1">
      <c r="B18" s="57"/>
      <c r="C18" s="90"/>
      <c r="D18" s="114"/>
      <c r="E18" s="114"/>
      <c r="F18" s="114"/>
      <c r="G18" s="114"/>
      <c r="H18" s="114"/>
      <c r="I18" s="114"/>
      <c r="J18" s="114"/>
      <c r="K18" s="114"/>
      <c r="L18" s="115"/>
      <c r="M18" s="87"/>
      <c r="N18" s="88"/>
      <c r="O18" s="85"/>
      <c r="P18" s="43"/>
      <c r="Q18" s="90"/>
      <c r="R18" s="91"/>
      <c r="S18" s="91"/>
      <c r="T18" s="91"/>
      <c r="U18" s="91"/>
      <c r="V18" s="91"/>
      <c r="W18" s="92"/>
      <c r="X18" s="89"/>
      <c r="Y18" s="88"/>
      <c r="Z18" s="85"/>
      <c r="AA18" s="87">
        <f>IF(ISERROR(VLOOKUP(Q18,Données!$A$3:$B$12,2,FALSE)),,VLOOKUP(Q18,Données!$A$3:$B$12,2,FALSE))</f>
        <v>0</v>
      </c>
      <c r="AB18" s="88"/>
      <c r="AC18" s="85"/>
      <c r="AD18" s="58"/>
      <c r="AE18" s="43"/>
    </row>
    <row r="19" spans="2:31" ht="15.75" customHeight="1">
      <c r="B19" s="57"/>
      <c r="C19" s="105"/>
      <c r="D19" s="105"/>
      <c r="E19" s="105"/>
      <c r="F19" s="105"/>
      <c r="G19" s="105"/>
      <c r="H19" s="105"/>
      <c r="I19" s="105"/>
      <c r="J19" s="105"/>
      <c r="K19" s="105"/>
      <c r="L19" s="106"/>
      <c r="M19" s="102" t="e">
        <f>SUM(M16:O18)</f>
        <v>#N/A</v>
      </c>
      <c r="N19" s="103"/>
      <c r="O19" s="83"/>
      <c r="P19" s="43"/>
      <c r="Q19" s="90"/>
      <c r="R19" s="91"/>
      <c r="S19" s="91"/>
      <c r="T19" s="91"/>
      <c r="U19" s="91"/>
      <c r="V19" s="91"/>
      <c r="W19" s="92"/>
      <c r="X19" s="89"/>
      <c r="Y19" s="88"/>
      <c r="Z19" s="85"/>
      <c r="AA19" s="87">
        <f>IF(ISERROR(VLOOKUP(Q19,Données!$A$3:$B$12,2,FALSE)),,VLOOKUP(Q19,Données!$A$3:$B$12,2,FALSE))</f>
        <v>0</v>
      </c>
      <c r="AB19" s="88"/>
      <c r="AC19" s="85"/>
      <c r="AD19" s="58"/>
      <c r="AE19" s="43"/>
    </row>
    <row r="20" spans="2:31" ht="15.75" customHeight="1">
      <c r="B20" s="57"/>
      <c r="C20" s="99"/>
      <c r="D20" s="99"/>
      <c r="E20" s="99"/>
      <c r="F20" s="99"/>
      <c r="G20" s="99"/>
      <c r="H20" s="99"/>
      <c r="I20" s="99"/>
      <c r="J20" s="99"/>
      <c r="K20" s="99"/>
      <c r="L20" s="99"/>
      <c r="M20" s="100"/>
      <c r="N20" s="101"/>
      <c r="O20" s="101"/>
      <c r="P20" s="43"/>
      <c r="Q20" s="90"/>
      <c r="R20" s="91"/>
      <c r="S20" s="91"/>
      <c r="T20" s="91"/>
      <c r="U20" s="91"/>
      <c r="V20" s="91"/>
      <c r="W20" s="92"/>
      <c r="X20" s="89"/>
      <c r="Y20" s="88"/>
      <c r="Z20" s="85"/>
      <c r="AA20" s="87">
        <f>IF(ISERROR(VLOOKUP(Q20,Données!$A$3:$B$12,2,FALSE)),,VLOOKUP(Q20,Données!$A$3:$B$12,2,FALSE))</f>
        <v>0</v>
      </c>
      <c r="AB20" s="88"/>
      <c r="AC20" s="85"/>
      <c r="AD20" s="58"/>
      <c r="AE20" s="43"/>
    </row>
    <row r="21" spans="2:31" ht="15.75" customHeight="1">
      <c r="B21" s="57"/>
      <c r="C21" s="102" t="s">
        <v>7</v>
      </c>
      <c r="D21" s="103"/>
      <c r="E21" s="103"/>
      <c r="F21" s="103"/>
      <c r="G21" s="103"/>
      <c r="H21" s="103"/>
      <c r="I21" s="83"/>
      <c r="J21" s="102" t="s">
        <v>8</v>
      </c>
      <c r="K21" s="103"/>
      <c r="L21" s="83"/>
      <c r="M21" s="102" t="s">
        <v>6</v>
      </c>
      <c r="N21" s="103"/>
      <c r="O21" s="83"/>
      <c r="P21" s="43"/>
      <c r="Q21" s="90"/>
      <c r="R21" s="91"/>
      <c r="S21" s="91"/>
      <c r="T21" s="91"/>
      <c r="U21" s="91"/>
      <c r="V21" s="91"/>
      <c r="W21" s="92"/>
      <c r="X21" s="89"/>
      <c r="Y21" s="88"/>
      <c r="Z21" s="85"/>
      <c r="AA21" s="87">
        <f>IF(ISERROR(VLOOKUP(Q21,Données!$A$3:$B$12,2,FALSE)),,VLOOKUP(Q21,Données!$A$3:$B$12,2,FALSE))</f>
        <v>0</v>
      </c>
      <c r="AB21" s="88"/>
      <c r="AC21" s="85"/>
      <c r="AD21" s="58"/>
      <c r="AE21" s="43"/>
    </row>
    <row r="22" spans="2:31" ht="15.75" customHeight="1">
      <c r="B22" s="57"/>
      <c r="C22" s="90"/>
      <c r="D22" s="91"/>
      <c r="E22" s="91"/>
      <c r="F22" s="91"/>
      <c r="G22" s="91"/>
      <c r="H22" s="91"/>
      <c r="I22" s="92"/>
      <c r="J22" s="89"/>
      <c r="K22" s="88"/>
      <c r="L22" s="85"/>
      <c r="M22" s="87">
        <f>IF(ISERROR(VLOOKUP(C22,Données!$A$3:$B$12,2,FALSE)),,VLOOKUP(C22,Données!$A$3:$B$12,2,FALSE))</f>
        <v>0</v>
      </c>
      <c r="N22" s="88"/>
      <c r="O22" s="85"/>
      <c r="P22" s="43"/>
      <c r="Q22" s="90"/>
      <c r="R22" s="91"/>
      <c r="S22" s="91"/>
      <c r="T22" s="91"/>
      <c r="U22" s="91"/>
      <c r="V22" s="91"/>
      <c r="W22" s="92"/>
      <c r="X22" s="89"/>
      <c r="Y22" s="88"/>
      <c r="Z22" s="85"/>
      <c r="AA22" s="87">
        <f>IF(ISERROR(VLOOKUP(Q22,Données!$A$3:$B$12,2,FALSE)),,VLOOKUP(Q22,Données!$A$3:$B$12,2,FALSE))</f>
        <v>0</v>
      </c>
      <c r="AB22" s="88"/>
      <c r="AC22" s="85"/>
      <c r="AD22" s="58"/>
      <c r="AE22" s="43"/>
    </row>
    <row r="23" spans="2:31" ht="15.75" customHeight="1">
      <c r="B23" s="57"/>
      <c r="C23" s="90"/>
      <c r="D23" s="91"/>
      <c r="E23" s="91"/>
      <c r="F23" s="91"/>
      <c r="G23" s="91"/>
      <c r="H23" s="91"/>
      <c r="I23" s="92"/>
      <c r="J23" s="89"/>
      <c r="K23" s="88"/>
      <c r="L23" s="85"/>
      <c r="M23" s="87">
        <f>IF(ISERROR(VLOOKUP(C23,Données!$A$3:$B$12,2,FALSE)),,VLOOKUP(C23,Données!$A$3:$B$12,2,FALSE))</f>
        <v>0</v>
      </c>
      <c r="N23" s="88"/>
      <c r="O23" s="85"/>
      <c r="P23" s="43"/>
      <c r="Q23" s="90"/>
      <c r="R23" s="91"/>
      <c r="S23" s="91"/>
      <c r="T23" s="91"/>
      <c r="U23" s="91"/>
      <c r="V23" s="91"/>
      <c r="W23" s="92"/>
      <c r="X23" s="89"/>
      <c r="Y23" s="88"/>
      <c r="Z23" s="85"/>
      <c r="AA23" s="87">
        <f>IF(ISERROR(VLOOKUP(Q23,Données!$A$3:$B$12,2,FALSE)),,VLOOKUP(Q23,Données!$A$3:$B$12,2,FALSE))</f>
        <v>0</v>
      </c>
      <c r="AB23" s="88"/>
      <c r="AC23" s="85"/>
      <c r="AD23" s="58"/>
      <c r="AE23" s="43"/>
    </row>
    <row r="24" spans="2:31" ht="15.75" customHeight="1">
      <c r="B24" s="57"/>
      <c r="C24" s="90"/>
      <c r="D24" s="91"/>
      <c r="E24" s="91"/>
      <c r="F24" s="91"/>
      <c r="G24" s="91"/>
      <c r="H24" s="91"/>
      <c r="I24" s="92"/>
      <c r="J24" s="89"/>
      <c r="K24" s="88"/>
      <c r="L24" s="85"/>
      <c r="M24" s="87">
        <f>IF(ISERROR(VLOOKUP(C24,Données!$A$3:$B$12,2,FALSE)),,VLOOKUP(C24,Données!$A$3:$B$12,2,FALSE))</f>
        <v>0</v>
      </c>
      <c r="N24" s="88"/>
      <c r="O24" s="85"/>
      <c r="P24" s="43"/>
      <c r="Q24" s="90"/>
      <c r="R24" s="91"/>
      <c r="S24" s="91"/>
      <c r="T24" s="91"/>
      <c r="U24" s="91"/>
      <c r="V24" s="91"/>
      <c r="W24" s="92"/>
      <c r="X24" s="89"/>
      <c r="Y24" s="88"/>
      <c r="Z24" s="85"/>
      <c r="AA24" s="87">
        <f>IF(ISERROR(VLOOKUP(Q24,Données!$A$3:$B$12,2,FALSE)),,VLOOKUP(Q24,Données!$A$3:$B$12,2,FALSE))</f>
        <v>0</v>
      </c>
      <c r="AB24" s="88"/>
      <c r="AC24" s="85"/>
      <c r="AD24" s="58"/>
      <c r="AE24" s="43"/>
    </row>
    <row r="25" spans="2:31" ht="15.75" customHeight="1">
      <c r="B25" s="57"/>
      <c r="C25" s="90"/>
      <c r="D25" s="91"/>
      <c r="E25" s="91"/>
      <c r="F25" s="91"/>
      <c r="G25" s="91"/>
      <c r="H25" s="91"/>
      <c r="I25" s="92"/>
      <c r="J25" s="89"/>
      <c r="K25" s="88"/>
      <c r="L25" s="85"/>
      <c r="M25" s="87">
        <f>IF(ISERROR(VLOOKUP(C25,Données!$A$3:$B$12,2,FALSE)),,VLOOKUP(C25,Données!$A$3:$B$12,2,FALSE))</f>
        <v>0</v>
      </c>
      <c r="N25" s="88"/>
      <c r="O25" s="85"/>
      <c r="P25" s="43"/>
      <c r="Q25" s="90"/>
      <c r="R25" s="91"/>
      <c r="S25" s="91"/>
      <c r="T25" s="91"/>
      <c r="U25" s="91"/>
      <c r="V25" s="91"/>
      <c r="W25" s="92"/>
      <c r="X25" s="89"/>
      <c r="Y25" s="88"/>
      <c r="Z25" s="85"/>
      <c r="AA25" s="87">
        <f>IF(ISERROR(VLOOKUP(Q25,Données!$A$3:$B$12,2,FALSE)),,VLOOKUP(Q25,Données!$A$3:$B$12,2,FALSE))</f>
        <v>0</v>
      </c>
      <c r="AB25" s="88"/>
      <c r="AC25" s="85"/>
      <c r="AD25" s="58"/>
      <c r="AE25" s="43"/>
    </row>
    <row r="26" spans="2:31" ht="15.75" customHeight="1">
      <c r="B26" s="57"/>
      <c r="C26" s="90"/>
      <c r="D26" s="91"/>
      <c r="E26" s="91"/>
      <c r="F26" s="91"/>
      <c r="G26" s="91"/>
      <c r="H26" s="91"/>
      <c r="I26" s="92"/>
      <c r="J26" s="89"/>
      <c r="K26" s="88"/>
      <c r="L26" s="85"/>
      <c r="M26" s="87">
        <f>IF(ISERROR(VLOOKUP(C26,Données!$A$3:$B$12,2,FALSE)),,VLOOKUP(C26,Données!$A$3:$B$12,2,FALSE))</f>
        <v>0</v>
      </c>
      <c r="N26" s="88"/>
      <c r="O26" s="85"/>
      <c r="P26" s="43"/>
      <c r="Q26" s="90"/>
      <c r="R26" s="91"/>
      <c r="S26" s="91"/>
      <c r="T26" s="91"/>
      <c r="U26" s="91"/>
      <c r="V26" s="91"/>
      <c r="W26" s="92"/>
      <c r="X26" s="89"/>
      <c r="Y26" s="88"/>
      <c r="Z26" s="85"/>
      <c r="AA26" s="87">
        <f>IF(ISERROR(VLOOKUP(Q26,Données!$A$3:$B$12,2,FALSE)),,VLOOKUP(Q26,Données!$A$3:$B$12,2,FALSE))</f>
        <v>0</v>
      </c>
      <c r="AB26" s="88"/>
      <c r="AC26" s="85"/>
      <c r="AD26" s="58"/>
      <c r="AE26" s="43"/>
    </row>
    <row r="27" spans="2:31" ht="15.75" customHeight="1">
      <c r="B27" s="57"/>
      <c r="C27" s="90"/>
      <c r="D27" s="91"/>
      <c r="E27" s="91"/>
      <c r="F27" s="91"/>
      <c r="G27" s="91"/>
      <c r="H27" s="91"/>
      <c r="I27" s="92"/>
      <c r="J27" s="89"/>
      <c r="K27" s="88"/>
      <c r="L27" s="85"/>
      <c r="M27" s="87">
        <f>IF(ISERROR(VLOOKUP(C27,Données!$A$3:$B$12,2,FALSE)),,VLOOKUP(C27,Données!$A$3:$B$12,2,FALSE))</f>
        <v>0</v>
      </c>
      <c r="N27" s="88"/>
      <c r="O27" s="85"/>
      <c r="P27" s="43"/>
      <c r="Q27" s="90"/>
      <c r="R27" s="91"/>
      <c r="S27" s="91"/>
      <c r="T27" s="91"/>
      <c r="U27" s="91"/>
      <c r="V27" s="91"/>
      <c r="W27" s="92"/>
      <c r="X27" s="89"/>
      <c r="Y27" s="88"/>
      <c r="Z27" s="85"/>
      <c r="AA27" s="87">
        <f>IF(ISERROR(VLOOKUP(Q27,Données!$A$3:$B$12,2,FALSE)),,VLOOKUP(Q27,Données!$A$3:$B$12,2,FALSE))</f>
        <v>0</v>
      </c>
      <c r="AB27" s="88"/>
      <c r="AC27" s="85"/>
      <c r="AD27" s="58"/>
      <c r="AE27" s="43"/>
    </row>
    <row r="28" spans="2:31" ht="15.75" customHeight="1">
      <c r="B28" s="57"/>
      <c r="C28" s="90"/>
      <c r="D28" s="91"/>
      <c r="E28" s="91"/>
      <c r="F28" s="91"/>
      <c r="G28" s="91"/>
      <c r="H28" s="91"/>
      <c r="I28" s="92"/>
      <c r="J28" s="89"/>
      <c r="K28" s="88"/>
      <c r="L28" s="85"/>
      <c r="M28" s="87">
        <f>IF(ISERROR(VLOOKUP(C28,Données!$A$3:$B$12,2,FALSE)),,VLOOKUP(C28,Données!$A$3:$B$12,2,FALSE))</f>
        <v>0</v>
      </c>
      <c r="N28" s="88"/>
      <c r="O28" s="85"/>
      <c r="P28" s="43"/>
      <c r="Q28" s="90"/>
      <c r="R28" s="91"/>
      <c r="S28" s="91"/>
      <c r="T28" s="91"/>
      <c r="U28" s="91"/>
      <c r="V28" s="91"/>
      <c r="W28" s="92"/>
      <c r="X28" s="89"/>
      <c r="Y28" s="88"/>
      <c r="Z28" s="85"/>
      <c r="AA28" s="87">
        <f>IF(ISERROR(VLOOKUP(Q28,Données!$A$3:$B$12,2,FALSE)),,VLOOKUP(Q28,Données!$A$3:$B$12,2,FALSE))</f>
        <v>0</v>
      </c>
      <c r="AB28" s="88"/>
      <c r="AC28" s="85"/>
      <c r="AD28" s="58"/>
      <c r="AE28" s="43"/>
    </row>
    <row r="29" spans="2:31" ht="15.75" customHeight="1">
      <c r="B29" s="57"/>
      <c r="C29" s="90"/>
      <c r="D29" s="91"/>
      <c r="E29" s="91"/>
      <c r="F29" s="91"/>
      <c r="G29" s="91"/>
      <c r="H29" s="91"/>
      <c r="I29" s="92"/>
      <c r="J29" s="89"/>
      <c r="K29" s="88"/>
      <c r="L29" s="85"/>
      <c r="M29" s="87">
        <f>IF(ISERROR(VLOOKUP(C29,Données!$A$3:$B$12,2,FALSE)),,VLOOKUP(C29,Données!$A$3:$B$12,2,FALSE))</f>
        <v>0</v>
      </c>
      <c r="N29" s="88"/>
      <c r="O29" s="85"/>
      <c r="P29" s="43"/>
      <c r="Q29" s="90"/>
      <c r="R29" s="91"/>
      <c r="S29" s="91"/>
      <c r="T29" s="91"/>
      <c r="U29" s="91"/>
      <c r="V29" s="91"/>
      <c r="W29" s="92"/>
      <c r="X29" s="89"/>
      <c r="Y29" s="88"/>
      <c r="Z29" s="85"/>
      <c r="AA29" s="87">
        <f>IF(ISERROR(VLOOKUP(Q29,Données!$A$3:$B$12,2,FALSE)),,VLOOKUP(Q29,Données!$A$3:$B$12,2,FALSE))</f>
        <v>0</v>
      </c>
      <c r="AB29" s="88"/>
      <c r="AC29" s="85"/>
      <c r="AD29" s="58"/>
      <c r="AE29" s="43"/>
    </row>
    <row r="30" spans="2:31" ht="15.75" customHeight="1">
      <c r="B30" s="57"/>
      <c r="C30" s="90"/>
      <c r="D30" s="91"/>
      <c r="E30" s="91"/>
      <c r="F30" s="91"/>
      <c r="G30" s="91"/>
      <c r="H30" s="91"/>
      <c r="I30" s="92"/>
      <c r="J30" s="89"/>
      <c r="K30" s="88"/>
      <c r="L30" s="85"/>
      <c r="M30" s="87">
        <f>IF(ISERROR(VLOOKUP(C30,Données!$A$3:$B$12,2,FALSE)),,VLOOKUP(C30,Données!$A$3:$B$12,2,FALSE))</f>
        <v>0</v>
      </c>
      <c r="N30" s="88"/>
      <c r="O30" s="85"/>
      <c r="P30" s="43"/>
      <c r="Q30" s="90"/>
      <c r="R30" s="91"/>
      <c r="S30" s="91"/>
      <c r="T30" s="91"/>
      <c r="U30" s="91"/>
      <c r="V30" s="91"/>
      <c r="W30" s="92"/>
      <c r="X30" s="89"/>
      <c r="Y30" s="88"/>
      <c r="Z30" s="85"/>
      <c r="AA30" s="87">
        <f>IF(ISERROR(VLOOKUP(Q30,Données!$A$3:$B$12,2,FALSE)),,VLOOKUP(Q30,Données!$A$3:$B$12,2,FALSE))</f>
        <v>0</v>
      </c>
      <c r="AB30" s="88"/>
      <c r="AC30" s="85"/>
      <c r="AD30" s="58"/>
      <c r="AE30" s="43"/>
    </row>
    <row r="31" spans="2:31" ht="15.75" customHeight="1">
      <c r="B31" s="57"/>
      <c r="C31" s="90"/>
      <c r="D31" s="91"/>
      <c r="E31" s="91"/>
      <c r="F31" s="91"/>
      <c r="G31" s="91"/>
      <c r="H31" s="91"/>
      <c r="I31" s="92"/>
      <c r="J31" s="89"/>
      <c r="K31" s="88"/>
      <c r="L31" s="85"/>
      <c r="M31" s="87">
        <f>IF(ISERROR(VLOOKUP(C31,Données!$A$3:$B$12,2,FALSE)),,VLOOKUP(C31,Données!$A$3:$B$12,2,FALSE))</f>
        <v>0</v>
      </c>
      <c r="N31" s="88"/>
      <c r="O31" s="85"/>
      <c r="P31" s="43"/>
      <c r="Q31" s="90"/>
      <c r="R31" s="91"/>
      <c r="S31" s="91"/>
      <c r="T31" s="91"/>
      <c r="U31" s="91"/>
      <c r="V31" s="91"/>
      <c r="W31" s="92"/>
      <c r="X31" s="89"/>
      <c r="Y31" s="88"/>
      <c r="Z31" s="85"/>
      <c r="AA31" s="87">
        <f>IF(ISERROR(VLOOKUP(Q31,Données!$A$3:$B$12,2,FALSE)),,VLOOKUP(Q31,Données!$A$3:$B$12,2,FALSE))</f>
        <v>0</v>
      </c>
      <c r="AB31" s="88"/>
      <c r="AC31" s="85"/>
      <c r="AD31" s="58"/>
      <c r="AE31" s="43"/>
    </row>
    <row r="32" spans="2:31" ht="15.75" customHeight="1">
      <c r="B32" s="57"/>
      <c r="C32" s="90"/>
      <c r="D32" s="91"/>
      <c r="E32" s="91"/>
      <c r="F32" s="91"/>
      <c r="G32" s="91"/>
      <c r="H32" s="91"/>
      <c r="I32" s="92"/>
      <c r="J32" s="89"/>
      <c r="K32" s="88"/>
      <c r="L32" s="85"/>
      <c r="M32" s="87">
        <f>IF(ISERROR(VLOOKUP(C32,Données!$A$3:$B$12,2,FALSE)),,VLOOKUP(C32,Données!$A$3:$B$12,2,FALSE))</f>
        <v>0</v>
      </c>
      <c r="N32" s="88"/>
      <c r="O32" s="85"/>
      <c r="P32" s="43"/>
      <c r="Q32" s="90"/>
      <c r="R32" s="91"/>
      <c r="S32" s="91"/>
      <c r="T32" s="91"/>
      <c r="U32" s="91"/>
      <c r="V32" s="91"/>
      <c r="W32" s="92"/>
      <c r="X32" s="89"/>
      <c r="Y32" s="88"/>
      <c r="Z32" s="85"/>
      <c r="AA32" s="87">
        <f>IF(ISERROR(VLOOKUP(Q32,Données!$A$3:$B$12,2,FALSE)),,VLOOKUP(Q32,Données!$A$3:$B$12,2,FALSE))</f>
        <v>0</v>
      </c>
      <c r="AB32" s="88"/>
      <c r="AC32" s="85"/>
      <c r="AD32" s="58"/>
      <c r="AE32" s="43"/>
    </row>
    <row r="33" spans="2:37" ht="15.75" customHeight="1">
      <c r="B33" s="57"/>
      <c r="C33" s="90"/>
      <c r="D33" s="91"/>
      <c r="E33" s="91"/>
      <c r="F33" s="91"/>
      <c r="G33" s="91"/>
      <c r="H33" s="91"/>
      <c r="I33" s="92"/>
      <c r="J33" s="89"/>
      <c r="K33" s="88"/>
      <c r="L33" s="85"/>
      <c r="M33" s="87">
        <f>IF(ISERROR(VLOOKUP(C33,Données!$A$3:$B$12,2,FALSE)),,VLOOKUP(C33,Données!$A$3:$B$12,2,FALSE))</f>
        <v>0</v>
      </c>
      <c r="N33" s="88"/>
      <c r="O33" s="85"/>
      <c r="P33" s="43"/>
      <c r="Q33" s="90"/>
      <c r="R33" s="91"/>
      <c r="S33" s="91"/>
      <c r="T33" s="91"/>
      <c r="U33" s="91"/>
      <c r="V33" s="91"/>
      <c r="W33" s="92"/>
      <c r="X33" s="89"/>
      <c r="Y33" s="88"/>
      <c r="Z33" s="85"/>
      <c r="AA33" s="87">
        <f>IF(ISERROR(VLOOKUP(Q33,Données!$A$3:$B$12,2,FALSE)),,VLOOKUP(Q33,Données!$A$3:$B$12,2,FALSE))</f>
        <v>0</v>
      </c>
      <c r="AB33" s="88"/>
      <c r="AC33" s="85"/>
      <c r="AD33" s="58"/>
      <c r="AE33" s="43"/>
    </row>
    <row r="34" spans="2:37" ht="15.75" customHeight="1">
      <c r="B34" s="57"/>
      <c r="C34" s="90"/>
      <c r="D34" s="91"/>
      <c r="E34" s="91"/>
      <c r="F34" s="91"/>
      <c r="G34" s="91"/>
      <c r="H34" s="91"/>
      <c r="I34" s="92"/>
      <c r="J34" s="89"/>
      <c r="K34" s="88"/>
      <c r="L34" s="85"/>
      <c r="M34" s="87">
        <f>IF(ISERROR(VLOOKUP(C34,Données!$A$3:$B$12,2,FALSE)),,VLOOKUP(C34,Données!$A$3:$B$12,2,FALSE))</f>
        <v>0</v>
      </c>
      <c r="N34" s="88"/>
      <c r="O34" s="85"/>
      <c r="P34" s="43"/>
      <c r="Q34" s="90"/>
      <c r="R34" s="91"/>
      <c r="S34" s="91"/>
      <c r="T34" s="91"/>
      <c r="U34" s="91"/>
      <c r="V34" s="91"/>
      <c r="W34" s="92"/>
      <c r="X34" s="89"/>
      <c r="Y34" s="88"/>
      <c r="Z34" s="85"/>
      <c r="AA34" s="87">
        <f>IF(ISERROR(VLOOKUP(Q34,Données!$A$3:$B$12,2,FALSE)),,VLOOKUP(Q34,Données!$A$3:$B$12,2,FALSE))</f>
        <v>0</v>
      </c>
      <c r="AB34" s="88"/>
      <c r="AC34" s="85"/>
      <c r="AD34" s="58"/>
      <c r="AE34" s="43"/>
    </row>
    <row r="35" spans="2:37" ht="15.75" customHeight="1">
      <c r="B35" s="57"/>
      <c r="C35" s="90"/>
      <c r="D35" s="91"/>
      <c r="E35" s="91"/>
      <c r="F35" s="91"/>
      <c r="G35" s="91"/>
      <c r="H35" s="91"/>
      <c r="I35" s="92"/>
      <c r="J35" s="89"/>
      <c r="K35" s="88"/>
      <c r="L35" s="85"/>
      <c r="M35" s="87">
        <f>IF(ISERROR(VLOOKUP(C35,Données!$A$3:$B$12,2,FALSE)),,VLOOKUP(C35,Données!$A$3:$B$12,2,FALSE))</f>
        <v>0</v>
      </c>
      <c r="N35" s="88"/>
      <c r="O35" s="85"/>
      <c r="P35" s="43"/>
      <c r="Q35" s="90"/>
      <c r="R35" s="91"/>
      <c r="S35" s="91"/>
      <c r="T35" s="91"/>
      <c r="U35" s="91"/>
      <c r="V35" s="91"/>
      <c r="W35" s="92"/>
      <c r="X35" s="89"/>
      <c r="Y35" s="88"/>
      <c r="Z35" s="85"/>
      <c r="AA35" s="87">
        <f>IF(ISERROR(VLOOKUP(Q35,Données!$A$3:$B$12,2,FALSE)),,VLOOKUP(Q35,Données!$A$3:$B$12,2,FALSE))</f>
        <v>0</v>
      </c>
      <c r="AB35" s="88"/>
      <c r="AC35" s="85"/>
      <c r="AD35" s="58"/>
      <c r="AE35" s="43"/>
    </row>
    <row r="36" spans="2:37" ht="15.75" customHeight="1">
      <c r="B36" s="57"/>
      <c r="C36" s="90"/>
      <c r="D36" s="91"/>
      <c r="E36" s="91"/>
      <c r="F36" s="91"/>
      <c r="G36" s="91"/>
      <c r="H36" s="91"/>
      <c r="I36" s="92"/>
      <c r="J36" s="89"/>
      <c r="K36" s="88"/>
      <c r="L36" s="85"/>
      <c r="M36" s="87">
        <f>IF(ISERROR(VLOOKUP(C36,Données!$A$3:$B$12,2,FALSE)),,VLOOKUP(C36,Données!$A$3:$B$12,2,FALSE))</f>
        <v>0</v>
      </c>
      <c r="N36" s="88"/>
      <c r="O36" s="85"/>
      <c r="P36" s="43"/>
      <c r="Q36" s="90"/>
      <c r="R36" s="91"/>
      <c r="S36" s="91"/>
      <c r="T36" s="91"/>
      <c r="U36" s="91"/>
      <c r="V36" s="91"/>
      <c r="W36" s="92"/>
      <c r="X36" s="89"/>
      <c r="Y36" s="88"/>
      <c r="Z36" s="85"/>
      <c r="AA36" s="87">
        <f>IF(ISERROR(VLOOKUP(Q36,Données!$A$3:$B$12,2,FALSE)),,VLOOKUP(Q36,Données!$A$3:$B$12,2,FALSE))</f>
        <v>0</v>
      </c>
      <c r="AB36" s="88"/>
      <c r="AC36" s="85"/>
      <c r="AD36" s="58"/>
      <c r="AE36" s="43"/>
    </row>
    <row r="37" spans="2:37" ht="15.75" customHeight="1">
      <c r="B37" s="57"/>
      <c r="C37" s="90"/>
      <c r="D37" s="91"/>
      <c r="E37" s="91"/>
      <c r="F37" s="91"/>
      <c r="G37" s="91"/>
      <c r="H37" s="91"/>
      <c r="I37" s="92"/>
      <c r="J37" s="89"/>
      <c r="K37" s="88"/>
      <c r="L37" s="85"/>
      <c r="M37" s="87">
        <f>IF(ISERROR(VLOOKUP(C37,Données!$A$3:$B$12,2,FALSE)),,VLOOKUP(C37,Données!$A$3:$B$12,2,FALSE))</f>
        <v>0</v>
      </c>
      <c r="N37" s="88"/>
      <c r="O37" s="85"/>
      <c r="P37" s="43"/>
      <c r="Q37" s="90"/>
      <c r="R37" s="91"/>
      <c r="S37" s="91"/>
      <c r="T37" s="91"/>
      <c r="U37" s="91"/>
      <c r="V37" s="91"/>
      <c r="W37" s="92"/>
      <c r="X37" s="89"/>
      <c r="Y37" s="88"/>
      <c r="Z37" s="85"/>
      <c r="AA37" s="87">
        <f>IF(ISERROR(VLOOKUP(Q37,Données!$A$3:$B$12,2,FALSE)),,VLOOKUP(Q37,Données!$A$3:$B$12,2,FALSE))</f>
        <v>0</v>
      </c>
      <c r="AB37" s="88"/>
      <c r="AC37" s="85"/>
      <c r="AD37" s="58"/>
      <c r="AE37" s="43"/>
    </row>
    <row r="38" spans="2:37" ht="15.75" customHeight="1">
      <c r="B38" s="57"/>
      <c r="C38" s="90"/>
      <c r="D38" s="91"/>
      <c r="E38" s="91"/>
      <c r="F38" s="91"/>
      <c r="G38" s="91"/>
      <c r="H38" s="91"/>
      <c r="I38" s="92"/>
      <c r="J38" s="89"/>
      <c r="K38" s="88"/>
      <c r="L38" s="85"/>
      <c r="M38" s="87">
        <f>IF(ISERROR(VLOOKUP(C38,Données!$A$3:$B$12,2,FALSE)),,VLOOKUP(C38,Données!$A$3:$B$12,2,FALSE))</f>
        <v>0</v>
      </c>
      <c r="N38" s="88"/>
      <c r="O38" s="85"/>
      <c r="P38" s="43"/>
      <c r="Q38" s="90"/>
      <c r="R38" s="91"/>
      <c r="S38" s="91"/>
      <c r="T38" s="91"/>
      <c r="U38" s="91"/>
      <c r="V38" s="91"/>
      <c r="W38" s="92"/>
      <c r="X38" s="89"/>
      <c r="Y38" s="88"/>
      <c r="Z38" s="85"/>
      <c r="AA38" s="87">
        <f>IF(ISERROR(VLOOKUP(Q38,Données!$A$3:$B$12,2,FALSE)),,VLOOKUP(Q38,Données!$A$3:$B$12,2,FALSE))</f>
        <v>0</v>
      </c>
      <c r="AB38" s="88"/>
      <c r="AC38" s="85"/>
      <c r="AD38" s="58"/>
      <c r="AE38" s="43"/>
    </row>
    <row r="39" spans="2:37" ht="15.75" customHeight="1">
      <c r="B39" s="57"/>
      <c r="C39" s="90"/>
      <c r="D39" s="91"/>
      <c r="E39" s="91"/>
      <c r="F39" s="91"/>
      <c r="G39" s="91"/>
      <c r="H39" s="91"/>
      <c r="I39" s="92"/>
      <c r="J39" s="89"/>
      <c r="K39" s="88"/>
      <c r="L39" s="85"/>
      <c r="M39" s="87">
        <f>IF(ISERROR(VLOOKUP(C39,Données!$A$3:$B$12,2,FALSE)),,VLOOKUP(C39,Données!$A$3:$B$12,2,FALSE))</f>
        <v>0</v>
      </c>
      <c r="N39" s="88"/>
      <c r="O39" s="85"/>
      <c r="P39" s="43"/>
      <c r="Q39" s="90"/>
      <c r="R39" s="91"/>
      <c r="S39" s="91"/>
      <c r="T39" s="91"/>
      <c r="U39" s="91"/>
      <c r="V39" s="91"/>
      <c r="W39" s="92"/>
      <c r="X39" s="89"/>
      <c r="Y39" s="88"/>
      <c r="Z39" s="85"/>
      <c r="AA39" s="87">
        <f>IF(ISERROR(VLOOKUP(Q39,Données!$A$3:$B$12,2,FALSE)),,VLOOKUP(Q39,Données!$A$3:$B$12,2,FALSE))</f>
        <v>0</v>
      </c>
      <c r="AB39" s="88"/>
      <c r="AC39" s="85"/>
      <c r="AD39" s="58"/>
      <c r="AE39" s="43"/>
    </row>
    <row r="40" spans="2:37" ht="15.75" customHeight="1">
      <c r="B40" s="57"/>
      <c r="C40" s="90"/>
      <c r="D40" s="91"/>
      <c r="E40" s="91"/>
      <c r="F40" s="91"/>
      <c r="G40" s="91"/>
      <c r="H40" s="91"/>
      <c r="I40" s="92"/>
      <c r="J40" s="89"/>
      <c r="K40" s="88"/>
      <c r="L40" s="85"/>
      <c r="M40" s="87">
        <f>IF(ISERROR(VLOOKUP(C40,Données!$A$3:$B$12,2,FALSE)),,VLOOKUP(C40,Données!$A$3:$B$12,2,FALSE))</f>
        <v>0</v>
      </c>
      <c r="N40" s="88"/>
      <c r="O40" s="85"/>
      <c r="P40" s="43"/>
      <c r="Q40" s="90"/>
      <c r="R40" s="91"/>
      <c r="S40" s="91"/>
      <c r="T40" s="91"/>
      <c r="U40" s="91"/>
      <c r="V40" s="91"/>
      <c r="W40" s="92"/>
      <c r="X40" s="89"/>
      <c r="Y40" s="88"/>
      <c r="Z40" s="85"/>
      <c r="AA40" s="87">
        <f>IF(ISERROR(VLOOKUP(Q40,Données!$A$3:$B$12,2,FALSE)),,VLOOKUP(Q40,Données!$A$3:$B$12,2,FALSE))</f>
        <v>0</v>
      </c>
      <c r="AB40" s="88"/>
      <c r="AC40" s="85"/>
      <c r="AD40" s="58"/>
      <c r="AE40" s="43"/>
    </row>
    <row r="41" spans="2:37" ht="15.75" customHeight="1">
      <c r="B41" s="57"/>
      <c r="C41" s="90"/>
      <c r="D41" s="91"/>
      <c r="E41" s="91"/>
      <c r="F41" s="91"/>
      <c r="G41" s="91"/>
      <c r="H41" s="91"/>
      <c r="I41" s="92"/>
      <c r="J41" s="89"/>
      <c r="K41" s="88"/>
      <c r="L41" s="85"/>
      <c r="M41" s="87">
        <f>IF(ISERROR(VLOOKUP(C41,Données!$A$3:$B$12,2,FALSE)),,VLOOKUP(C41,Données!$A$3:$B$12,2,FALSE))</f>
        <v>0</v>
      </c>
      <c r="N41" s="88"/>
      <c r="O41" s="85"/>
      <c r="P41" s="43"/>
      <c r="Q41" s="90"/>
      <c r="R41" s="91"/>
      <c r="S41" s="91"/>
      <c r="T41" s="91"/>
      <c r="U41" s="91"/>
      <c r="V41" s="91"/>
      <c r="W41" s="92"/>
      <c r="X41" s="89"/>
      <c r="Y41" s="88"/>
      <c r="Z41" s="85"/>
      <c r="AA41" s="87">
        <f>IF(ISERROR(VLOOKUP(Q41,Données!$A$3:$B$12,2,FALSE)),,VLOOKUP(Q41,Données!$A$3:$B$12,2,FALSE))</f>
        <v>0</v>
      </c>
      <c r="AB41" s="88"/>
      <c r="AC41" s="85"/>
      <c r="AD41" s="58"/>
      <c r="AE41" s="43"/>
    </row>
    <row r="42" spans="2:37" ht="15.75" customHeight="1">
      <c r="B42" s="57"/>
      <c r="C42" s="90"/>
      <c r="D42" s="91"/>
      <c r="E42" s="91"/>
      <c r="F42" s="91"/>
      <c r="G42" s="91"/>
      <c r="H42" s="91"/>
      <c r="I42" s="92"/>
      <c r="J42" s="89"/>
      <c r="K42" s="88"/>
      <c r="L42" s="85"/>
      <c r="M42" s="87">
        <f>IF(ISERROR(VLOOKUP(C42,Données!$A$3:$B$12,2,FALSE)),,VLOOKUP(C42,Données!$A$3:$B$12,2,FALSE))</f>
        <v>0</v>
      </c>
      <c r="N42" s="88"/>
      <c r="O42" s="85"/>
      <c r="P42" s="43"/>
      <c r="Q42" s="90"/>
      <c r="R42" s="91"/>
      <c r="S42" s="91"/>
      <c r="T42" s="91"/>
      <c r="U42" s="91"/>
      <c r="V42" s="91"/>
      <c r="W42" s="92"/>
      <c r="X42" s="89"/>
      <c r="Y42" s="88"/>
      <c r="Z42" s="85"/>
      <c r="AA42" s="87">
        <f>IF(ISERROR(VLOOKUP(Q42,Données!$A$3:$B$12,2,FALSE)),,VLOOKUP(Q42,Données!$A$3:$B$12,2,FALSE))</f>
        <v>0</v>
      </c>
      <c r="AB42" s="88"/>
      <c r="AC42" s="85"/>
      <c r="AD42" s="58"/>
      <c r="AE42" s="43"/>
    </row>
    <row r="43" spans="2:37" ht="9.75" customHeight="1">
      <c r="B43" s="57"/>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58"/>
      <c r="AE43" s="43"/>
    </row>
    <row r="44" spans="2:37" ht="15.75" customHeight="1">
      <c r="B44" s="57"/>
      <c r="C44" s="43"/>
      <c r="D44" s="43"/>
      <c r="E44" s="43"/>
      <c r="F44" s="43"/>
      <c r="G44" s="43"/>
      <c r="H44" s="43"/>
      <c r="I44" s="43"/>
      <c r="J44" s="43"/>
      <c r="K44" s="43"/>
      <c r="L44" s="43"/>
      <c r="M44" s="43"/>
      <c r="N44" s="43"/>
      <c r="O44" s="43"/>
      <c r="P44" s="43"/>
      <c r="Q44" s="43"/>
      <c r="R44" s="43"/>
      <c r="S44" s="43"/>
      <c r="T44" s="43"/>
      <c r="U44" s="139" t="s">
        <v>10</v>
      </c>
      <c r="V44" s="140"/>
      <c r="W44" s="140"/>
      <c r="X44" s="140"/>
      <c r="Y44" s="140"/>
      <c r="Z44" s="141"/>
      <c r="AA44" s="142" t="e">
        <f>MIN(150+M19,SUM(M22:O42)+M19+SUM(AA16:AC42))</f>
        <v>#N/A</v>
      </c>
      <c r="AB44" s="103"/>
      <c r="AC44" s="83"/>
      <c r="AD44" s="58"/>
      <c r="AE44" s="43"/>
    </row>
    <row r="45" spans="2:37" ht="9.75" customHeight="1" thickBot="1">
      <c r="B45" s="18"/>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20"/>
      <c r="AE45" s="43"/>
    </row>
    <row r="46" spans="2:37" ht="15.75" customHeight="1" thickTop="1">
      <c r="AK46" s="68"/>
    </row>
    <row r="47" spans="2:37" ht="18.75" customHeight="1" thickBot="1">
      <c r="B47" s="43"/>
      <c r="C47" s="143" t="s">
        <v>11</v>
      </c>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43"/>
    </row>
    <row r="48" spans="2:37" ht="12" customHeight="1" thickTop="1">
      <c r="B48" s="54"/>
      <c r="C48" s="67" t="s">
        <v>12</v>
      </c>
      <c r="D48" s="67"/>
      <c r="E48" s="67"/>
      <c r="F48" s="67"/>
      <c r="G48" s="67"/>
      <c r="H48" s="148"/>
      <c r="I48" s="148"/>
      <c r="J48" s="148"/>
      <c r="K48" s="148"/>
      <c r="L48" s="148"/>
      <c r="M48" s="148"/>
      <c r="N48" s="148"/>
      <c r="O48" s="148"/>
      <c r="P48" s="148"/>
      <c r="Q48" s="148"/>
      <c r="R48" s="148"/>
      <c r="S48" s="148"/>
      <c r="T48" s="148"/>
      <c r="U48" s="148"/>
      <c r="V48" s="148"/>
      <c r="W48" s="148"/>
      <c r="X48" s="148"/>
      <c r="Y48" s="148"/>
      <c r="Z48" s="148"/>
      <c r="AA48" s="148"/>
      <c r="AB48" s="148"/>
      <c r="AC48" s="148"/>
      <c r="AD48" s="56"/>
    </row>
    <row r="49" spans="1:37" ht="12" customHeight="1">
      <c r="B49" s="24"/>
      <c r="C49" s="66" t="s">
        <v>133</v>
      </c>
      <c r="D49" s="66"/>
      <c r="E49" s="66"/>
      <c r="F49" s="66"/>
      <c r="G49" s="66"/>
      <c r="H49" s="147">
        <v>3</v>
      </c>
      <c r="I49" s="147"/>
      <c r="J49" s="147"/>
      <c r="K49" s="147"/>
      <c r="L49" s="147"/>
      <c r="M49" s="147"/>
      <c r="N49" s="64"/>
      <c r="O49" s="144" t="s">
        <v>13</v>
      </c>
      <c r="P49" s="144"/>
      <c r="Q49" s="144"/>
      <c r="R49" s="144"/>
      <c r="S49" s="144"/>
      <c r="T49" s="144"/>
      <c r="U49" s="144"/>
      <c r="V49" s="144"/>
      <c r="W49" s="144"/>
      <c r="X49" s="144"/>
      <c r="Y49" s="144"/>
      <c r="Z49" s="144"/>
      <c r="AA49" s="145" t="str">
        <f>+_xlfn.CONCAT(C22,  ,J22)</f>
        <v/>
      </c>
      <c r="AB49" s="146"/>
      <c r="AC49" s="146"/>
      <c r="AD49" s="21"/>
    </row>
    <row r="50" spans="1:37" ht="12" customHeight="1">
      <c r="B50" s="24"/>
      <c r="C50" s="64"/>
      <c r="D50" s="64"/>
      <c r="E50" s="64"/>
      <c r="F50" s="64"/>
      <c r="G50" s="64"/>
      <c r="H50" s="64"/>
      <c r="I50" s="64"/>
      <c r="J50" s="64"/>
      <c r="K50" s="64"/>
      <c r="L50" s="64"/>
      <c r="M50" s="64"/>
      <c r="N50" s="64"/>
      <c r="O50" s="64"/>
      <c r="P50" s="64"/>
      <c r="Q50" s="64"/>
      <c r="R50" s="64"/>
      <c r="S50" s="64"/>
      <c r="T50" s="64"/>
      <c r="U50" s="64"/>
      <c r="V50" s="64"/>
      <c r="W50" s="64"/>
      <c r="X50" s="64"/>
      <c r="Y50" s="64"/>
      <c r="Z50" s="65"/>
      <c r="AA50" s="64"/>
      <c r="AB50" s="64"/>
      <c r="AC50" s="64"/>
      <c r="AD50" s="21"/>
    </row>
    <row r="51" spans="1:37" ht="12" customHeight="1">
      <c r="B51" s="24"/>
      <c r="C51" s="163" t="s">
        <v>14</v>
      </c>
      <c r="D51" s="137"/>
      <c r="E51" s="137"/>
      <c r="F51" s="131"/>
      <c r="G51" s="131"/>
      <c r="H51" s="131"/>
      <c r="I51" s="131"/>
      <c r="J51" s="131"/>
      <c r="K51" s="131"/>
      <c r="L51" s="131"/>
      <c r="M51" s="131"/>
      <c r="N51" s="131"/>
      <c r="O51" s="131"/>
      <c r="P51" s="64"/>
      <c r="Q51" s="163" t="s">
        <v>15</v>
      </c>
      <c r="R51" s="137"/>
      <c r="S51" s="137"/>
      <c r="T51" s="137"/>
      <c r="U51" s="131"/>
      <c r="V51" s="131"/>
      <c r="W51" s="131"/>
      <c r="X51" s="131"/>
      <c r="Y51" s="131"/>
      <c r="Z51" s="131"/>
      <c r="AA51" s="131"/>
      <c r="AB51" s="131"/>
      <c r="AC51" s="131"/>
      <c r="AD51" s="21"/>
      <c r="AH51" s="36"/>
    </row>
    <row r="52" spans="1:37" ht="12" customHeight="1">
      <c r="B52" s="24"/>
      <c r="C52" s="136" t="s">
        <v>129</v>
      </c>
      <c r="D52" s="137"/>
      <c r="E52" s="137"/>
      <c r="F52" s="132" t="e">
        <f>Faiblesses!AB3</f>
        <v>#N/A</v>
      </c>
      <c r="G52" s="132"/>
      <c r="H52" s="132"/>
      <c r="I52" s="132"/>
      <c r="J52" s="132"/>
      <c r="K52" s="132"/>
      <c r="L52" s="132"/>
      <c r="M52" s="132"/>
      <c r="N52" s="132"/>
      <c r="O52" s="132"/>
      <c r="P52" s="25"/>
      <c r="Q52" s="136" t="s">
        <v>16</v>
      </c>
      <c r="R52" s="137"/>
      <c r="S52" s="137"/>
      <c r="T52" s="137"/>
      <c r="U52" s="167" t="str">
        <f ca="1">Immunités!T2</f>
        <v/>
      </c>
      <c r="V52" s="167"/>
      <c r="W52" s="167"/>
      <c r="X52" s="167"/>
      <c r="Y52" s="167"/>
      <c r="Z52" s="167"/>
      <c r="AA52" s="167"/>
      <c r="AB52" s="167"/>
      <c r="AC52" s="167"/>
      <c r="AD52" s="21"/>
    </row>
    <row r="53" spans="1:37" ht="12" customHeight="1">
      <c r="B53" s="24"/>
      <c r="C53" s="25"/>
      <c r="D53" s="25"/>
      <c r="E53" s="25"/>
      <c r="F53" s="138"/>
      <c r="G53" s="138"/>
      <c r="H53" s="138"/>
      <c r="I53" s="138"/>
      <c r="J53" s="138"/>
      <c r="K53" s="138"/>
      <c r="L53" s="138"/>
      <c r="M53" s="138"/>
      <c r="N53" s="138"/>
      <c r="O53" s="138"/>
      <c r="P53" s="25"/>
      <c r="Q53" s="93"/>
      <c r="R53" s="101"/>
      <c r="S53" s="101"/>
      <c r="T53" s="101"/>
      <c r="U53" s="168"/>
      <c r="V53" s="168"/>
      <c r="W53" s="168"/>
      <c r="X53" s="168"/>
      <c r="Y53" s="168"/>
      <c r="Z53" s="168"/>
      <c r="AA53" s="168"/>
      <c r="AB53" s="168"/>
      <c r="AC53" s="168"/>
      <c r="AD53" s="21"/>
    </row>
    <row r="54" spans="1:37" ht="12" customHeight="1">
      <c r="B54" s="24"/>
      <c r="C54" s="136" t="s">
        <v>17</v>
      </c>
      <c r="D54" s="137"/>
      <c r="E54" s="137"/>
      <c r="F54" s="132"/>
      <c r="G54" s="132"/>
      <c r="H54" s="132"/>
      <c r="I54" s="132"/>
      <c r="J54" s="132"/>
      <c r="K54" s="132"/>
      <c r="L54" s="132"/>
      <c r="M54" s="132"/>
      <c r="N54" s="132"/>
      <c r="O54" s="132"/>
      <c r="P54" s="25"/>
      <c r="Q54" s="25"/>
      <c r="R54" s="25"/>
      <c r="S54" s="25"/>
      <c r="T54" s="25"/>
      <c r="U54" s="169"/>
      <c r="V54" s="169"/>
      <c r="W54" s="169"/>
      <c r="X54" s="169"/>
      <c r="Y54" s="169"/>
      <c r="Z54" s="169"/>
      <c r="AA54" s="169"/>
      <c r="AB54" s="169"/>
      <c r="AC54" s="169"/>
      <c r="AD54" s="21"/>
    </row>
    <row r="55" spans="1:37" ht="12" customHeight="1">
      <c r="B55" s="24"/>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1"/>
    </row>
    <row r="56" spans="1:37" ht="12" customHeight="1">
      <c r="B56" s="24"/>
      <c r="C56" s="133" t="s">
        <v>19</v>
      </c>
      <c r="D56" s="133"/>
      <c r="E56" s="133"/>
      <c r="F56" s="133"/>
      <c r="G56" s="133"/>
      <c r="H56" s="165"/>
      <c r="I56" s="165"/>
      <c r="J56" s="165"/>
      <c r="K56" s="165"/>
      <c r="L56" s="165"/>
      <c r="M56" s="165"/>
      <c r="N56" s="165"/>
      <c r="O56" s="165"/>
      <c r="P56" s="165"/>
      <c r="Q56" s="165"/>
      <c r="R56" s="165"/>
      <c r="S56" s="31"/>
      <c r="T56" s="93" t="s">
        <v>20</v>
      </c>
      <c r="U56" s="101"/>
      <c r="V56" s="101"/>
      <c r="W56" s="62" t="s">
        <v>21</v>
      </c>
      <c r="X56" s="62"/>
      <c r="Y56" s="63">
        <f ca="1">IF(COUNTIF(C66:AC85,"Noblesse"),"X",)</f>
        <v>0</v>
      </c>
      <c r="Z56" s="25"/>
      <c r="AA56" s="62" t="s">
        <v>22</v>
      </c>
      <c r="AB56" s="62"/>
      <c r="AC56" s="63" t="str">
        <f ca="1">IF(Y56="X",,"X")</f>
        <v>X</v>
      </c>
      <c r="AD56" s="21"/>
    </row>
    <row r="57" spans="1:37" ht="12" customHeight="1">
      <c r="B57" s="24"/>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1"/>
    </row>
    <row r="58" spans="1:37" ht="12" customHeight="1">
      <c r="B58" s="24"/>
      <c r="C58" s="26" t="s">
        <v>23</v>
      </c>
      <c r="D58" s="27"/>
      <c r="E58" s="27"/>
      <c r="F58" s="27"/>
      <c r="G58" s="27"/>
      <c r="H58" s="27"/>
      <c r="I58" s="27"/>
      <c r="J58" s="28" t="e">
        <f ca="1">VLOOKUP(F51,Données!C3:F32,3,FALSE)+COUNTIF(C66:AC85,Compétences!M18)+COUNTIF(C66:AC85,Compétences!B11)+COUNTIF(C66:AC85,Compétences!H808)-COUNTIF(C66:AC85,Compétences!B65)</f>
        <v>#N/A</v>
      </c>
      <c r="K58" s="29" t="s">
        <v>456</v>
      </c>
      <c r="L58" s="28" t="e">
        <f ca="1">+VLOOKUP(F51,Données!C3:F32,4,FALSE)+COUNTIF(C66:AC85,Compétences!M18)+COUNTIF(C66:AC85,Compétences!B11)+COUNTIF(C66:AC85,Compétences!H808)-COUNTIF(C66:AC85,Compétences!B65)</f>
        <v>#N/A</v>
      </c>
      <c r="M58" s="30" t="s">
        <v>457</v>
      </c>
      <c r="N58" s="27"/>
      <c r="O58" s="27"/>
      <c r="P58" s="27"/>
      <c r="Q58" s="27"/>
      <c r="R58" s="27"/>
      <c r="S58" s="135"/>
      <c r="T58" s="135"/>
      <c r="U58" s="135"/>
      <c r="V58" s="135"/>
      <c r="W58" s="31"/>
      <c r="X58" s="93" t="s">
        <v>24</v>
      </c>
      <c r="Y58" s="149"/>
      <c r="Z58" s="149"/>
      <c r="AA58" s="149"/>
      <c r="AB58" s="149"/>
      <c r="AC58" s="33" t="e">
        <f ca="1">VLOOKUP(U51,Données!P3:Q30,2,FALSE)+(COUNTIF(C66:AC85,Compétences!B55)*3)+(COUNTIF(C66:AC85,Compétences!B50)*5)</f>
        <v>#N/A</v>
      </c>
      <c r="AD58" s="21"/>
      <c r="AJ58" s="34"/>
    </row>
    <row r="59" spans="1:37" ht="12" customHeight="1">
      <c r="A59" s="23"/>
      <c r="B59" s="24"/>
      <c r="D59" s="32"/>
      <c r="E59" s="133"/>
      <c r="F59" s="133"/>
      <c r="G59" s="133"/>
      <c r="H59" s="133"/>
      <c r="I59" s="32"/>
      <c r="J59" s="32"/>
      <c r="K59" s="25"/>
      <c r="L59" s="31"/>
      <c r="M59" s="166" t="s">
        <v>316</v>
      </c>
      <c r="N59" s="166"/>
      <c r="O59" s="166"/>
      <c r="P59" s="166"/>
      <c r="Q59" s="134" t="e">
        <f>VLOOKUP(U51,Données!H3:J30,3,FALSE)</f>
        <v>#N/A</v>
      </c>
      <c r="R59" s="134"/>
      <c r="S59" s="134"/>
      <c r="T59" s="134"/>
      <c r="U59" s="134"/>
      <c r="V59" s="134"/>
      <c r="W59" s="134"/>
      <c r="X59" s="93" t="s">
        <v>670</v>
      </c>
      <c r="Y59" s="94"/>
      <c r="Z59" s="94"/>
      <c r="AA59" s="94"/>
      <c r="AB59" s="94"/>
      <c r="AC59" s="33" t="e">
        <f ca="1">MIN(VLOOKUP(U51,Données!P3:S30,4,FALSE)+(COUNTIF(C66:AC85,Compétences!B54)),10)</f>
        <v>#N/A</v>
      </c>
      <c r="AD59" s="21"/>
    </row>
    <row r="60" spans="1:37" ht="12" customHeight="1">
      <c r="B60" s="24"/>
      <c r="C60" s="31"/>
      <c r="D60" s="133" t="s">
        <v>131</v>
      </c>
      <c r="E60" s="133"/>
      <c r="F60" s="164"/>
      <c r="G60" s="164"/>
      <c r="H60" s="164"/>
      <c r="I60" s="164"/>
      <c r="J60" s="164"/>
      <c r="K60" s="164"/>
      <c r="L60" s="31"/>
      <c r="M60" s="166" t="s">
        <v>317</v>
      </c>
      <c r="N60" s="166"/>
      <c r="O60" s="166"/>
      <c r="P60" s="166"/>
      <c r="Q60" s="166"/>
      <c r="R60" s="166"/>
      <c r="S60" s="28" t="e">
        <f ca="1">MIN(10-J58,IF(COUNTIF(C66:AC85,"Mulet de bataille"),VLOOKUP(U51,Données!H3:I30,2,FALSE)+1,VLOOKUP(U51,Données!H3:I30,2,FALSE)))</f>
        <v>#N/A</v>
      </c>
      <c r="T60" s="29" t="s">
        <v>456</v>
      </c>
      <c r="U60" s="28" t="e">
        <f ca="1">MIN(10-L58,IF(COUNTIF(C66:AC85,"Mulet de bataille"),VLOOKUP(U51,Données!H3:I30,2,FALSE)+1,VLOOKUP(U51,Données!H3:I30,2,FALSE)))</f>
        <v>#N/A</v>
      </c>
      <c r="V60" s="30" t="s">
        <v>457</v>
      </c>
      <c r="W60" s="35"/>
      <c r="X60" s="25"/>
      <c r="Y60" s="25"/>
      <c r="Z60" s="25"/>
      <c r="AA60" s="25"/>
      <c r="AB60" s="25"/>
      <c r="AC60" s="25"/>
      <c r="AD60" s="21"/>
      <c r="AI60" s="36"/>
      <c r="AJ60" s="36"/>
      <c r="AK60" s="36"/>
    </row>
    <row r="61" spans="1:37" ht="6.75" customHeight="1" thickBot="1">
      <c r="B61" s="37"/>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9"/>
    </row>
    <row r="62" spans="1:37" ht="12" customHeight="1" thickTop="1">
      <c r="A62" s="40"/>
      <c r="B62" s="41"/>
      <c r="C62" s="153" t="s">
        <v>25</v>
      </c>
      <c r="D62" s="153"/>
      <c r="E62" s="153"/>
      <c r="F62" s="153"/>
      <c r="G62" s="153"/>
      <c r="H62" s="153"/>
      <c r="I62" s="153"/>
      <c r="J62" s="153"/>
      <c r="K62" s="153"/>
      <c r="L62" s="153"/>
      <c r="M62" s="153"/>
      <c r="N62" s="153"/>
      <c r="O62" s="153"/>
      <c r="P62" s="153"/>
      <c r="Q62" s="154">
        <f ca="1">SUMIF($M$66:$O$85,"&lt;&gt;#N/A",$M$66:$O$85)+SUMIF($AA$66:$AC$85,"&lt;&gt;#N/A",$AA$66:$AC$85)+SUMIF($N$91:$O$109,"&lt;&gt;#N/A",$N$91:$O$109)+SUMIF($AB$91:$AC$109,"&lt;&gt;#N/A",$AB$91:$AC$109)</f>
        <v>0</v>
      </c>
      <c r="R62" s="155"/>
      <c r="S62" s="155"/>
      <c r="T62" s="42" t="s">
        <v>26</v>
      </c>
      <c r="U62" s="152" t="e">
        <f>AA44</f>
        <v>#N/A</v>
      </c>
      <c r="V62" s="152"/>
      <c r="W62" s="152"/>
      <c r="X62" s="41"/>
      <c r="Y62" s="41"/>
      <c r="Z62" s="41"/>
      <c r="AA62" s="41"/>
      <c r="AB62" s="41"/>
      <c r="AC62" s="41"/>
      <c r="AD62" s="41"/>
      <c r="AE62" s="40"/>
      <c r="AF62" s="40"/>
      <c r="AG62" s="40"/>
      <c r="AH62" s="40"/>
      <c r="AI62" s="40"/>
      <c r="AJ62" s="40"/>
      <c r="AK62" s="40"/>
    </row>
    <row r="63" spans="1:37" ht="6.75" customHeight="1" thickBot="1">
      <c r="B63" s="43"/>
      <c r="C63" s="44"/>
      <c r="D63" s="44"/>
      <c r="E63" s="44"/>
      <c r="F63" s="44"/>
      <c r="G63" s="44"/>
      <c r="H63" s="44"/>
      <c r="I63" s="44"/>
      <c r="J63" s="44"/>
      <c r="K63" s="44"/>
      <c r="L63" s="44"/>
      <c r="M63" s="44"/>
      <c r="N63" s="44"/>
      <c r="O63" s="44"/>
      <c r="P63" s="44"/>
      <c r="Q63" s="45"/>
      <c r="R63" s="45"/>
      <c r="S63" s="45"/>
      <c r="T63" s="46"/>
      <c r="U63" s="45"/>
      <c r="V63" s="45"/>
      <c r="W63" s="45"/>
      <c r="X63" s="43"/>
      <c r="Y63" s="43"/>
      <c r="Z63" s="43"/>
      <c r="AA63" s="43"/>
      <c r="AB63" s="43"/>
      <c r="AC63" s="43"/>
      <c r="AD63" s="43"/>
    </row>
    <row r="64" spans="1:37" ht="6.75" customHeight="1" thickTop="1">
      <c r="B64" s="47"/>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9"/>
    </row>
    <row r="65" spans="1:41" ht="12" customHeight="1">
      <c r="A65" s="22"/>
      <c r="B65" s="24"/>
      <c r="C65" s="82" t="s">
        <v>27</v>
      </c>
      <c r="D65" s="78"/>
      <c r="E65" s="78"/>
      <c r="F65" s="78"/>
      <c r="G65" s="78"/>
      <c r="H65" s="78"/>
      <c r="I65" s="78"/>
      <c r="J65" s="78"/>
      <c r="K65" s="78"/>
      <c r="L65" s="79"/>
      <c r="M65" s="82" t="s">
        <v>6</v>
      </c>
      <c r="N65" s="103"/>
      <c r="O65" s="83"/>
      <c r="P65" s="23"/>
      <c r="Q65" s="82" t="s">
        <v>27</v>
      </c>
      <c r="R65" s="78"/>
      <c r="S65" s="78"/>
      <c r="T65" s="78"/>
      <c r="U65" s="78"/>
      <c r="V65" s="78"/>
      <c r="W65" s="78"/>
      <c r="X65" s="78"/>
      <c r="Y65" s="78"/>
      <c r="Z65" s="79"/>
      <c r="AA65" s="82" t="s">
        <v>6</v>
      </c>
      <c r="AB65" s="103"/>
      <c r="AC65" s="83"/>
      <c r="AD65" s="21"/>
      <c r="AE65" s="22"/>
      <c r="AF65" s="22"/>
      <c r="AG65" s="22"/>
      <c r="AH65" s="22"/>
      <c r="AI65" s="22"/>
      <c r="AM65" s="4" t="s">
        <v>651</v>
      </c>
    </row>
    <row r="66" spans="1:41" ht="12" customHeight="1">
      <c r="A66" s="22"/>
      <c r="B66" s="24"/>
      <c r="C66" s="116"/>
      <c r="D66" s="117"/>
      <c r="E66" s="117"/>
      <c r="F66" s="117"/>
      <c r="G66" s="117"/>
      <c r="H66" s="117"/>
      <c r="I66" s="117"/>
      <c r="J66" s="117"/>
      <c r="K66" s="117"/>
      <c r="L66" s="118"/>
      <c r="M66" s="119" t="e">
        <f ca="1">IF($F$51="Humain",VLOOKUP(C66,Compétences!$M$3:$P$1048576,2,FALSE),VLOOKUP(C66,Compétences!$M$3:$P$1048576,3,FALSE))+'Compétences raciales'!M3</f>
        <v>#N/A</v>
      </c>
      <c r="N66" s="150"/>
      <c r="O66" s="151"/>
      <c r="P66" s="23"/>
      <c r="Q66" s="116"/>
      <c r="R66" s="117"/>
      <c r="S66" s="117"/>
      <c r="T66" s="117"/>
      <c r="U66" s="117"/>
      <c r="V66" s="117"/>
      <c r="W66" s="117"/>
      <c r="X66" s="117"/>
      <c r="Y66" s="117"/>
      <c r="Z66" s="118"/>
      <c r="AA66" s="119" t="e">
        <f ca="1">IF($F$51="Humain",VLOOKUP(Q66,Compétences!$M$3:$P$1048576,2,FALSE),VLOOKUP(Q66,Compétences!$M$3:$P$1048576,3,FALSE))+'Compétences raciales'!Z3</f>
        <v>#N/A</v>
      </c>
      <c r="AB66" s="88"/>
      <c r="AC66" s="85"/>
      <c r="AD66" s="21"/>
      <c r="AE66" s="22"/>
      <c r="AF66" s="22"/>
      <c r="AG66" s="22"/>
      <c r="AH66" s="22"/>
      <c r="AI66" s="22"/>
      <c r="AK66" s="50" t="s">
        <v>669</v>
      </c>
      <c r="AL66" s="50"/>
      <c r="AM66" s="51" t="s">
        <v>686</v>
      </c>
      <c r="AN66" s="51"/>
      <c r="AO66" s="51"/>
    </row>
    <row r="67" spans="1:41" ht="12" customHeight="1">
      <c r="A67" s="22"/>
      <c r="B67" s="24"/>
      <c r="C67" s="116"/>
      <c r="D67" s="117"/>
      <c r="E67" s="117"/>
      <c r="F67" s="117"/>
      <c r="G67" s="117"/>
      <c r="H67" s="117"/>
      <c r="I67" s="117"/>
      <c r="J67" s="117"/>
      <c r="K67" s="117"/>
      <c r="L67" s="118"/>
      <c r="M67" s="119" t="e">
        <f ca="1">IF($F$51="Humain",VLOOKUP(C67,Compétences!$M$3:$P$1048576,2,FALSE),VLOOKUP(C67,Compétences!$M$3:$P$1048576,3,FALSE))+'Compétences raciales'!M4</f>
        <v>#N/A</v>
      </c>
      <c r="N67" s="150"/>
      <c r="O67" s="151"/>
      <c r="P67" s="23"/>
      <c r="Q67" s="116"/>
      <c r="R67" s="117"/>
      <c r="S67" s="117"/>
      <c r="T67" s="117"/>
      <c r="U67" s="117"/>
      <c r="V67" s="117"/>
      <c r="W67" s="117"/>
      <c r="X67" s="117"/>
      <c r="Y67" s="117"/>
      <c r="Z67" s="118"/>
      <c r="AA67" s="119" t="e">
        <f ca="1">IF($F$51="Humain",VLOOKUP(Q67,Compétences!$M$3:$P$1048576,2,FALSE),VLOOKUP(Q67,Compétences!$M$3:$P$1048576,3,FALSE))+'Compétences raciales'!Z4</f>
        <v>#N/A</v>
      </c>
      <c r="AB67" s="88"/>
      <c r="AC67" s="85"/>
      <c r="AD67" s="21"/>
      <c r="AE67" s="22"/>
      <c r="AF67" s="22"/>
      <c r="AG67" s="22"/>
      <c r="AH67" s="22"/>
      <c r="AI67" s="53"/>
      <c r="AK67" s="50" t="s">
        <v>669</v>
      </c>
      <c r="AL67" s="51"/>
      <c r="AM67" s="51" t="s">
        <v>734</v>
      </c>
      <c r="AN67" s="51"/>
    </row>
    <row r="68" spans="1:41" ht="12" customHeight="1">
      <c r="A68" s="22"/>
      <c r="B68" s="24"/>
      <c r="C68" s="116"/>
      <c r="D68" s="117"/>
      <c r="E68" s="117"/>
      <c r="F68" s="117"/>
      <c r="G68" s="117"/>
      <c r="H68" s="117"/>
      <c r="I68" s="117"/>
      <c r="J68" s="117"/>
      <c r="K68" s="117"/>
      <c r="L68" s="118"/>
      <c r="M68" s="119" t="e">
        <f ca="1">IF($F$51="Humain",VLOOKUP(C68,Compétences!$M$3:$P$1048576,2,FALSE),VLOOKUP(C68,Compétences!$M$3:$P$1048576,3,FALSE))+'Compétences raciales'!M5</f>
        <v>#N/A</v>
      </c>
      <c r="N68" s="150"/>
      <c r="O68" s="151"/>
      <c r="P68" s="23"/>
      <c r="Q68" s="116"/>
      <c r="R68" s="117"/>
      <c r="S68" s="117"/>
      <c r="T68" s="117"/>
      <c r="U68" s="117"/>
      <c r="V68" s="117"/>
      <c r="W68" s="117"/>
      <c r="X68" s="117"/>
      <c r="Y68" s="117"/>
      <c r="Z68" s="118"/>
      <c r="AA68" s="119" t="e">
        <f ca="1">IF($F$51="Humain",VLOOKUP(Q68,Compétences!$M$3:$P$1048576,2,FALSE),VLOOKUP(Q68,Compétences!$M$3:$P$1048576,3,FALSE))+'Compétences raciales'!Z5</f>
        <v>#N/A</v>
      </c>
      <c r="AB68" s="88"/>
      <c r="AC68" s="85"/>
      <c r="AD68" s="21"/>
      <c r="AE68" s="22"/>
      <c r="AF68" s="22"/>
      <c r="AG68" s="22"/>
      <c r="AH68" s="22"/>
      <c r="AI68" s="22"/>
      <c r="AM68" s="52"/>
    </row>
    <row r="69" spans="1:41" ht="12" customHeight="1">
      <c r="A69" s="22"/>
      <c r="B69" s="24"/>
      <c r="C69" s="116"/>
      <c r="D69" s="117"/>
      <c r="E69" s="117"/>
      <c r="F69" s="117"/>
      <c r="G69" s="117"/>
      <c r="H69" s="117"/>
      <c r="I69" s="117"/>
      <c r="J69" s="117"/>
      <c r="K69" s="117"/>
      <c r="L69" s="118"/>
      <c r="M69" s="119" t="e">
        <f ca="1">IF($F$51="Humain",VLOOKUP(C69,Compétences!$M$3:$P$1048576,2,FALSE),VLOOKUP(C69,Compétences!$M$3:$P$1048576,3,FALSE))+'Compétences raciales'!M6</f>
        <v>#N/A</v>
      </c>
      <c r="N69" s="150"/>
      <c r="O69" s="151"/>
      <c r="P69" s="23"/>
      <c r="Q69" s="116"/>
      <c r="R69" s="117"/>
      <c r="S69" s="117"/>
      <c r="T69" s="117"/>
      <c r="U69" s="117"/>
      <c r="V69" s="117"/>
      <c r="W69" s="117"/>
      <c r="X69" s="117"/>
      <c r="Y69" s="117"/>
      <c r="Z69" s="118"/>
      <c r="AA69" s="119" t="e">
        <f ca="1">IF($F$51="Humain",VLOOKUP(Q69,Compétences!$M$3:$P$1048576,2,FALSE),VLOOKUP(Q69,Compétences!$M$3:$P$1048576,3,FALSE))+'Compétences raciales'!Z6</f>
        <v>#N/A</v>
      </c>
      <c r="AB69" s="88"/>
      <c r="AC69" s="85"/>
      <c r="AD69" s="21"/>
      <c r="AE69" s="22"/>
      <c r="AF69" s="22"/>
      <c r="AG69" s="22"/>
      <c r="AH69" s="22"/>
      <c r="AI69" s="22"/>
      <c r="AK69" s="4" t="s">
        <v>756</v>
      </c>
      <c r="AM69" s="4" t="s">
        <v>934</v>
      </c>
    </row>
    <row r="70" spans="1:41" ht="12" customHeight="1">
      <c r="A70" s="22"/>
      <c r="B70" s="24"/>
      <c r="C70" s="116"/>
      <c r="D70" s="117"/>
      <c r="E70" s="117"/>
      <c r="F70" s="117"/>
      <c r="G70" s="117"/>
      <c r="H70" s="117"/>
      <c r="I70" s="117"/>
      <c r="J70" s="117"/>
      <c r="K70" s="117"/>
      <c r="L70" s="118"/>
      <c r="M70" s="119" t="e">
        <f ca="1">IF($F$51="Humain",VLOOKUP(C70,Compétences!$M$3:$P$1048576,2,FALSE),VLOOKUP(C70,Compétences!$M$3:$P$1048576,3,FALSE))+'Compétences raciales'!M7</f>
        <v>#N/A</v>
      </c>
      <c r="N70" s="150"/>
      <c r="O70" s="151"/>
      <c r="P70" s="23"/>
      <c r="Q70" s="116"/>
      <c r="R70" s="117"/>
      <c r="S70" s="117"/>
      <c r="T70" s="117"/>
      <c r="U70" s="117"/>
      <c r="V70" s="117"/>
      <c r="W70" s="117"/>
      <c r="X70" s="117"/>
      <c r="Y70" s="117"/>
      <c r="Z70" s="118"/>
      <c r="AA70" s="119" t="e">
        <f ca="1">IF($F$51="Humain",VLOOKUP(Q70,Compétences!$M$3:$P$1048576,2,FALSE),VLOOKUP(Q70,Compétences!$M$3:$P$1048576,3,FALSE))+'Compétences raciales'!Z7</f>
        <v>#N/A</v>
      </c>
      <c r="AB70" s="88"/>
      <c r="AC70" s="85"/>
      <c r="AD70" s="21"/>
      <c r="AE70" s="22"/>
      <c r="AF70" s="22"/>
      <c r="AG70" s="22"/>
      <c r="AH70" s="22"/>
      <c r="AI70" s="22"/>
      <c r="AK70" s="4" t="s">
        <v>756</v>
      </c>
      <c r="AM70" s="4" t="s">
        <v>949</v>
      </c>
    </row>
    <row r="71" spans="1:41" ht="12" customHeight="1">
      <c r="A71" s="22"/>
      <c r="B71" s="24"/>
      <c r="C71" s="116"/>
      <c r="D71" s="117"/>
      <c r="E71" s="117"/>
      <c r="F71" s="117"/>
      <c r="G71" s="117"/>
      <c r="H71" s="117"/>
      <c r="I71" s="117"/>
      <c r="J71" s="117"/>
      <c r="K71" s="117"/>
      <c r="L71" s="118"/>
      <c r="M71" s="119" t="e">
        <f ca="1">IF($F$51="Humain",VLOOKUP(C71,Compétences!$M$3:$P$1048576,2,FALSE),VLOOKUP(C71,Compétences!$M$3:$P$1048576,3,FALSE))+'Compétences raciales'!M8</f>
        <v>#N/A</v>
      </c>
      <c r="N71" s="150"/>
      <c r="O71" s="151"/>
      <c r="P71" s="23"/>
      <c r="Q71" s="116"/>
      <c r="R71" s="117"/>
      <c r="S71" s="117"/>
      <c r="T71" s="117"/>
      <c r="U71" s="117"/>
      <c r="V71" s="117"/>
      <c r="W71" s="117"/>
      <c r="X71" s="117"/>
      <c r="Y71" s="117"/>
      <c r="Z71" s="118"/>
      <c r="AA71" s="119" t="e">
        <f ca="1">IF($F$51="Humain",VLOOKUP(Q71,Compétences!$M$3:$P$1048576,2,FALSE),VLOOKUP(Q71,Compétences!$M$3:$P$1048576,3,FALSE))+'Compétences raciales'!Z8</f>
        <v>#N/A</v>
      </c>
      <c r="AB71" s="88"/>
      <c r="AC71" s="85"/>
      <c r="AD71" s="21"/>
      <c r="AE71" s="22"/>
      <c r="AF71" s="22"/>
      <c r="AG71" s="22"/>
      <c r="AH71" s="22"/>
      <c r="AI71" s="22"/>
      <c r="AK71" s="4" t="s">
        <v>687</v>
      </c>
      <c r="AM71" s="4" t="s">
        <v>757</v>
      </c>
    </row>
    <row r="72" spans="1:41" ht="12" customHeight="1">
      <c r="A72" s="22"/>
      <c r="B72" s="24"/>
      <c r="C72" s="116"/>
      <c r="D72" s="117"/>
      <c r="E72" s="117"/>
      <c r="F72" s="117"/>
      <c r="G72" s="117"/>
      <c r="H72" s="117"/>
      <c r="I72" s="117"/>
      <c r="J72" s="117"/>
      <c r="K72" s="117"/>
      <c r="L72" s="118"/>
      <c r="M72" s="119" t="e">
        <f ca="1">IF($F$51="Humain",VLOOKUP(C72,Compétences!$M$3:$P$1048576,2,FALSE),VLOOKUP(C72,Compétences!$M$3:$P$1048576,3,FALSE))+'Compétences raciales'!M9</f>
        <v>#N/A</v>
      </c>
      <c r="N72" s="150"/>
      <c r="O72" s="151"/>
      <c r="P72" s="23"/>
      <c r="Q72" s="116"/>
      <c r="R72" s="117"/>
      <c r="S72" s="117"/>
      <c r="T72" s="117"/>
      <c r="U72" s="117"/>
      <c r="V72" s="117"/>
      <c r="W72" s="117"/>
      <c r="X72" s="117"/>
      <c r="Y72" s="117"/>
      <c r="Z72" s="118"/>
      <c r="AA72" s="119" t="e">
        <f ca="1">IF($F$51="Humain",VLOOKUP(Q72,Compétences!$M$3:$P$1048576,2,FALSE),VLOOKUP(Q72,Compétences!$M$3:$P$1048576,3,FALSE))+'Compétences raciales'!Z9</f>
        <v>#N/A</v>
      </c>
      <c r="AB72" s="88"/>
      <c r="AC72" s="85"/>
      <c r="AD72" s="21"/>
      <c r="AE72" s="22"/>
      <c r="AF72" s="22"/>
      <c r="AG72" s="22"/>
      <c r="AH72" s="22"/>
      <c r="AI72" s="22"/>
    </row>
    <row r="73" spans="1:41" ht="12" customHeight="1">
      <c r="A73" s="22"/>
      <c r="B73" s="24"/>
      <c r="C73" s="116"/>
      <c r="D73" s="117"/>
      <c r="E73" s="117"/>
      <c r="F73" s="117"/>
      <c r="G73" s="117"/>
      <c r="H73" s="117"/>
      <c r="I73" s="117"/>
      <c r="J73" s="117"/>
      <c r="K73" s="117"/>
      <c r="L73" s="118"/>
      <c r="M73" s="119" t="e">
        <f ca="1">IF($F$51="Humain",VLOOKUP(C73,Compétences!$M$3:$P$1048576,2,FALSE),VLOOKUP(C73,Compétences!$M$3:$P$1048576,3,FALSE))+'Compétences raciales'!M10</f>
        <v>#N/A</v>
      </c>
      <c r="N73" s="150"/>
      <c r="O73" s="151"/>
      <c r="P73" s="23"/>
      <c r="Q73" s="116"/>
      <c r="R73" s="117"/>
      <c r="S73" s="117"/>
      <c r="T73" s="117"/>
      <c r="U73" s="117"/>
      <c r="V73" s="117"/>
      <c r="W73" s="117"/>
      <c r="X73" s="117"/>
      <c r="Y73" s="117"/>
      <c r="Z73" s="118"/>
      <c r="AA73" s="119" t="e">
        <f ca="1">IF($F$51="Humain",VLOOKUP(Q73,Compétences!$M$3:$P$1048576,2,FALSE),VLOOKUP(Q73,Compétences!$M$3:$P$1048576,3,FALSE))+'Compétences raciales'!Z10</f>
        <v>#N/A</v>
      </c>
      <c r="AB73" s="88"/>
      <c r="AC73" s="85"/>
      <c r="AD73" s="21"/>
      <c r="AE73" s="22"/>
      <c r="AF73" s="22"/>
      <c r="AG73" s="22"/>
      <c r="AH73" s="22"/>
      <c r="AI73" s="22"/>
    </row>
    <row r="74" spans="1:41" ht="12" customHeight="1">
      <c r="A74" s="22"/>
      <c r="B74" s="24"/>
      <c r="C74" s="116"/>
      <c r="D74" s="117"/>
      <c r="E74" s="117"/>
      <c r="F74" s="117"/>
      <c r="G74" s="117"/>
      <c r="H74" s="117"/>
      <c r="I74" s="117"/>
      <c r="J74" s="117"/>
      <c r="K74" s="117"/>
      <c r="L74" s="118"/>
      <c r="M74" s="119" t="e">
        <f ca="1">IF($F$51="Humain",VLOOKUP(C74,Compétences!$M$3:$P$1048576,2,FALSE),VLOOKUP(C74,Compétences!$M$3:$P$1048576,3,FALSE))+'Compétences raciales'!M11</f>
        <v>#N/A</v>
      </c>
      <c r="N74" s="150"/>
      <c r="O74" s="151"/>
      <c r="P74" s="23"/>
      <c r="Q74" s="116"/>
      <c r="R74" s="117"/>
      <c r="S74" s="117"/>
      <c r="T74" s="117"/>
      <c r="U74" s="117"/>
      <c r="V74" s="117"/>
      <c r="W74" s="117"/>
      <c r="X74" s="117"/>
      <c r="Y74" s="117"/>
      <c r="Z74" s="118"/>
      <c r="AA74" s="119" t="e">
        <f ca="1">IF($F$51="Humain",VLOOKUP(Q74,Compétences!$M$3:$P$1048576,2,FALSE),VLOOKUP(Q74,Compétences!$M$3:$P$1048576,3,FALSE))+'Compétences raciales'!Z11</f>
        <v>#N/A</v>
      </c>
      <c r="AB74" s="88"/>
      <c r="AC74" s="85"/>
      <c r="AD74" s="21"/>
      <c r="AE74" s="22"/>
      <c r="AF74" s="22"/>
      <c r="AG74" s="22"/>
      <c r="AH74" s="22"/>
      <c r="AI74" s="22"/>
    </row>
    <row r="75" spans="1:41" ht="12" customHeight="1">
      <c r="A75" s="22"/>
      <c r="B75" s="24"/>
      <c r="C75" s="116"/>
      <c r="D75" s="117"/>
      <c r="E75" s="117"/>
      <c r="F75" s="117"/>
      <c r="G75" s="117"/>
      <c r="H75" s="117"/>
      <c r="I75" s="117"/>
      <c r="J75" s="117"/>
      <c r="K75" s="117"/>
      <c r="L75" s="118"/>
      <c r="M75" s="119" t="e">
        <f ca="1">IF($F$51="Humain",VLOOKUP(C75,Compétences!$M$3:$P$1048576,2,FALSE),VLOOKUP(C75,Compétences!$M$3:$P$1048576,3,FALSE))+'Compétences raciales'!M12</f>
        <v>#N/A</v>
      </c>
      <c r="N75" s="150"/>
      <c r="O75" s="151"/>
      <c r="P75" s="23"/>
      <c r="Q75" s="116"/>
      <c r="R75" s="117"/>
      <c r="S75" s="117"/>
      <c r="T75" s="117"/>
      <c r="U75" s="117"/>
      <c r="V75" s="117"/>
      <c r="W75" s="117"/>
      <c r="X75" s="117"/>
      <c r="Y75" s="117"/>
      <c r="Z75" s="118"/>
      <c r="AA75" s="119" t="e">
        <f ca="1">IF($F$51="Humain",VLOOKUP(Q75,Compétences!$M$3:$P$1048576,2,FALSE),VLOOKUP(Q75,Compétences!$M$3:$P$1048576,3,FALSE))+'Compétences raciales'!Z12</f>
        <v>#N/A</v>
      </c>
      <c r="AB75" s="88"/>
      <c r="AC75" s="85"/>
      <c r="AD75" s="21"/>
      <c r="AE75" s="22"/>
      <c r="AF75" s="22"/>
      <c r="AG75" s="22"/>
      <c r="AH75" s="22"/>
      <c r="AI75" s="22"/>
    </row>
    <row r="76" spans="1:41" ht="12" customHeight="1">
      <c r="A76" s="22"/>
      <c r="B76" s="24"/>
      <c r="C76" s="116"/>
      <c r="D76" s="117"/>
      <c r="E76" s="117"/>
      <c r="F76" s="117"/>
      <c r="G76" s="117"/>
      <c r="H76" s="117"/>
      <c r="I76" s="117"/>
      <c r="J76" s="117"/>
      <c r="K76" s="117"/>
      <c r="L76" s="118"/>
      <c r="M76" s="119" t="e">
        <f ca="1">IF($F$51="Humain",VLOOKUP(C76,Compétences!$M$3:$P$1048576,2,FALSE),VLOOKUP(C76,Compétences!$M$3:$P$1048576,3,FALSE))+'Compétences raciales'!M13</f>
        <v>#N/A</v>
      </c>
      <c r="N76" s="150"/>
      <c r="O76" s="151"/>
      <c r="P76" s="23"/>
      <c r="Q76" s="116"/>
      <c r="R76" s="117"/>
      <c r="S76" s="117"/>
      <c r="T76" s="117"/>
      <c r="U76" s="117"/>
      <c r="V76" s="117"/>
      <c r="W76" s="117"/>
      <c r="X76" s="117"/>
      <c r="Y76" s="117"/>
      <c r="Z76" s="118"/>
      <c r="AA76" s="119" t="e">
        <f ca="1">IF($F$51="Humain",VLOOKUP(Q76,Compétences!$M$3:$P$1048576,2,FALSE),VLOOKUP(Q76,Compétences!$M$3:$P$1048576,3,FALSE))+'Compétences raciales'!Z13</f>
        <v>#N/A</v>
      </c>
      <c r="AB76" s="88"/>
      <c r="AC76" s="85"/>
      <c r="AD76" s="21"/>
      <c r="AE76" s="22"/>
      <c r="AF76" s="22"/>
      <c r="AG76" s="22"/>
      <c r="AH76" s="22"/>
      <c r="AI76" s="22"/>
    </row>
    <row r="77" spans="1:41" ht="12" customHeight="1">
      <c r="A77" s="22"/>
      <c r="B77" s="24"/>
      <c r="C77" s="116"/>
      <c r="D77" s="117"/>
      <c r="E77" s="117"/>
      <c r="F77" s="117"/>
      <c r="G77" s="117"/>
      <c r="H77" s="117"/>
      <c r="I77" s="117"/>
      <c r="J77" s="117"/>
      <c r="K77" s="117"/>
      <c r="L77" s="118"/>
      <c r="M77" s="119" t="e">
        <f ca="1">IF($F$51="Humain",VLOOKUP(C77,Compétences!$M$3:$P$1048576,2,FALSE),VLOOKUP(C77,Compétences!$M$3:$P$1048576,3,FALSE))+'Compétences raciales'!M14</f>
        <v>#N/A</v>
      </c>
      <c r="N77" s="150"/>
      <c r="O77" s="151"/>
      <c r="P77" s="23"/>
      <c r="Q77" s="116"/>
      <c r="R77" s="117"/>
      <c r="S77" s="117"/>
      <c r="T77" s="117"/>
      <c r="U77" s="117"/>
      <c r="V77" s="117"/>
      <c r="W77" s="117"/>
      <c r="X77" s="117"/>
      <c r="Y77" s="117"/>
      <c r="Z77" s="118"/>
      <c r="AA77" s="119" t="e">
        <f ca="1">IF($F$51="Humain",VLOOKUP(Q77,Compétences!$M$3:$P$1048576,2,FALSE),VLOOKUP(Q77,Compétences!$M$3:$P$1048576,3,FALSE))+'Compétences raciales'!Z14</f>
        <v>#N/A</v>
      </c>
      <c r="AB77" s="88"/>
      <c r="AC77" s="85"/>
      <c r="AD77" s="21"/>
      <c r="AE77" s="22"/>
      <c r="AF77" s="22"/>
      <c r="AG77" s="22"/>
      <c r="AH77" s="22"/>
      <c r="AI77" s="22"/>
    </row>
    <row r="78" spans="1:41" ht="12" customHeight="1">
      <c r="A78" s="22"/>
      <c r="B78" s="24"/>
      <c r="C78" s="116"/>
      <c r="D78" s="117"/>
      <c r="E78" s="117"/>
      <c r="F78" s="117"/>
      <c r="G78" s="117"/>
      <c r="H78" s="117"/>
      <c r="I78" s="117"/>
      <c r="J78" s="117"/>
      <c r="K78" s="117"/>
      <c r="L78" s="118"/>
      <c r="M78" s="119" t="e">
        <f ca="1">IF($F$51="Humain",VLOOKUP(C78,Compétences!$M$3:$P$1048576,2,FALSE),VLOOKUP(C78,Compétences!$M$3:$P$1048576,3,FALSE))+'Compétences raciales'!M15</f>
        <v>#N/A</v>
      </c>
      <c r="N78" s="150"/>
      <c r="O78" s="151"/>
      <c r="P78" s="23"/>
      <c r="Q78" s="116"/>
      <c r="R78" s="117"/>
      <c r="S78" s="117"/>
      <c r="T78" s="117"/>
      <c r="U78" s="117"/>
      <c r="V78" s="117"/>
      <c r="W78" s="117"/>
      <c r="X78" s="117"/>
      <c r="Y78" s="117"/>
      <c r="Z78" s="118"/>
      <c r="AA78" s="119" t="e">
        <f ca="1">IF($F$51="Humain",VLOOKUP(Q78,Compétences!$M$3:$P$1048576,2,FALSE),VLOOKUP(Q78,Compétences!$M$3:$P$1048576,3,FALSE))+'Compétences raciales'!Z15</f>
        <v>#N/A</v>
      </c>
      <c r="AB78" s="88"/>
      <c r="AC78" s="85"/>
      <c r="AD78" s="21"/>
      <c r="AE78" s="22"/>
      <c r="AF78" s="22"/>
      <c r="AG78" s="22"/>
      <c r="AH78" s="22"/>
      <c r="AI78" s="22"/>
      <c r="AK78" s="2"/>
    </row>
    <row r="79" spans="1:41" ht="12" customHeight="1">
      <c r="A79" s="22"/>
      <c r="B79" s="24"/>
      <c r="C79" s="116"/>
      <c r="D79" s="117"/>
      <c r="E79" s="117"/>
      <c r="F79" s="117"/>
      <c r="G79" s="117"/>
      <c r="H79" s="117"/>
      <c r="I79" s="117"/>
      <c r="J79" s="117"/>
      <c r="K79" s="117"/>
      <c r="L79" s="118"/>
      <c r="M79" s="119" t="e">
        <f ca="1">IF($F$51="Humain",VLOOKUP(C79,Compétences!$M$3:$P$1048576,2,FALSE),VLOOKUP(C79,Compétences!$M$3:$P$1048576,3,FALSE))+'Compétences raciales'!M16</f>
        <v>#N/A</v>
      </c>
      <c r="N79" s="150"/>
      <c r="O79" s="151"/>
      <c r="P79" s="23"/>
      <c r="Q79" s="116"/>
      <c r="R79" s="117"/>
      <c r="S79" s="117"/>
      <c r="T79" s="117"/>
      <c r="U79" s="117"/>
      <c r="V79" s="117"/>
      <c r="W79" s="117"/>
      <c r="X79" s="117"/>
      <c r="Y79" s="117"/>
      <c r="Z79" s="118"/>
      <c r="AA79" s="119" t="e">
        <f ca="1">IF($F$51="Humain",VLOOKUP(Q79,Compétences!$M$3:$P$1048576,2,FALSE),VLOOKUP(Q79,Compétences!$M$3:$P$1048576,3,FALSE))+'Compétences raciales'!Z16</f>
        <v>#N/A</v>
      </c>
      <c r="AB79" s="88"/>
      <c r="AC79" s="85"/>
      <c r="AD79" s="21"/>
      <c r="AE79" s="22"/>
      <c r="AF79" s="22"/>
      <c r="AG79" s="22"/>
      <c r="AH79" s="22"/>
      <c r="AI79" s="22"/>
    </row>
    <row r="80" spans="1:41" ht="12" customHeight="1">
      <c r="A80" s="22"/>
      <c r="B80" s="24"/>
      <c r="C80" s="116"/>
      <c r="D80" s="117"/>
      <c r="E80" s="117"/>
      <c r="F80" s="117"/>
      <c r="G80" s="117"/>
      <c r="H80" s="117"/>
      <c r="I80" s="117"/>
      <c r="J80" s="117"/>
      <c r="K80" s="117"/>
      <c r="L80" s="118"/>
      <c r="M80" s="119" t="e">
        <f ca="1">IF($F$51="Humain",VLOOKUP(C80,Compétences!$M$3:$P$1048576,2,FALSE),VLOOKUP(C80,Compétences!$M$3:$P$1048576,3,FALSE))+'Compétences raciales'!M17</f>
        <v>#N/A</v>
      </c>
      <c r="N80" s="150"/>
      <c r="O80" s="151"/>
      <c r="P80" s="23"/>
      <c r="Q80" s="116"/>
      <c r="R80" s="117"/>
      <c r="S80" s="117"/>
      <c r="T80" s="117"/>
      <c r="U80" s="117"/>
      <c r="V80" s="117"/>
      <c r="W80" s="117"/>
      <c r="X80" s="117"/>
      <c r="Y80" s="117"/>
      <c r="Z80" s="118"/>
      <c r="AA80" s="119" t="e">
        <f ca="1">IF($F$51="Humain",VLOOKUP(Q80,Compétences!$M$3:$P$1048576,2,FALSE),VLOOKUP(Q80,Compétences!$M$3:$P$1048576,3,FALSE))+'Compétences raciales'!Z17</f>
        <v>#N/A</v>
      </c>
      <c r="AB80" s="88"/>
      <c r="AC80" s="85"/>
      <c r="AD80" s="21"/>
      <c r="AE80" s="22"/>
      <c r="AF80" s="22"/>
      <c r="AG80" s="22"/>
      <c r="AH80" s="22"/>
      <c r="AI80" s="22"/>
      <c r="AJ80" s="22"/>
      <c r="AK80" s="22"/>
    </row>
    <row r="81" spans="1:38" ht="12" customHeight="1">
      <c r="A81" s="22"/>
      <c r="B81" s="24"/>
      <c r="C81" s="116"/>
      <c r="D81" s="117"/>
      <c r="E81" s="117"/>
      <c r="F81" s="117"/>
      <c r="G81" s="117"/>
      <c r="H81" s="117"/>
      <c r="I81" s="117"/>
      <c r="J81" s="117"/>
      <c r="K81" s="117"/>
      <c r="L81" s="118"/>
      <c r="M81" s="119" t="e">
        <f ca="1">IF($F$51="Humain",VLOOKUP(C81,Compétences!$M$3:$P$1048576,2,FALSE),VLOOKUP(C81,Compétences!$M$3:$P$1048576,3,FALSE))+'Compétences raciales'!M18</f>
        <v>#N/A</v>
      </c>
      <c r="N81" s="150"/>
      <c r="O81" s="151"/>
      <c r="P81" s="23"/>
      <c r="Q81" s="116"/>
      <c r="R81" s="117"/>
      <c r="S81" s="117"/>
      <c r="T81" s="117"/>
      <c r="U81" s="117"/>
      <c r="V81" s="117"/>
      <c r="W81" s="117"/>
      <c r="X81" s="117"/>
      <c r="Y81" s="117"/>
      <c r="Z81" s="118"/>
      <c r="AA81" s="119" t="e">
        <f ca="1">IF($F$51="Humain",VLOOKUP(Q81,Compétences!$M$3:$P$1048576,2,FALSE),VLOOKUP(Q81,Compétences!$M$3:$P$1048576,3,FALSE))+'Compétences raciales'!Z18</f>
        <v>#N/A</v>
      </c>
      <c r="AB81" s="88"/>
      <c r="AC81" s="85"/>
      <c r="AD81" s="21"/>
      <c r="AE81" s="22"/>
      <c r="AF81" s="22"/>
      <c r="AG81" s="22"/>
      <c r="AH81" s="22"/>
      <c r="AI81" s="22"/>
      <c r="AJ81" s="22"/>
      <c r="AK81" s="53"/>
    </row>
    <row r="82" spans="1:38" ht="12" customHeight="1">
      <c r="A82" s="22"/>
      <c r="B82" s="24"/>
      <c r="C82" s="116"/>
      <c r="D82" s="117"/>
      <c r="E82" s="117"/>
      <c r="F82" s="117"/>
      <c r="G82" s="117"/>
      <c r="H82" s="117"/>
      <c r="I82" s="117"/>
      <c r="J82" s="117"/>
      <c r="K82" s="117"/>
      <c r="L82" s="118"/>
      <c r="M82" s="119" t="e">
        <f ca="1">IF($F$51="Humain",VLOOKUP(C82,Compétences!$M$3:$P$1048576,2,FALSE),VLOOKUP(C82,Compétences!$M$3:$P$1048576,3,FALSE))+'Compétences raciales'!M19</f>
        <v>#N/A</v>
      </c>
      <c r="N82" s="150"/>
      <c r="O82" s="151"/>
      <c r="P82" s="23"/>
      <c r="Q82" s="116"/>
      <c r="R82" s="117"/>
      <c r="S82" s="117"/>
      <c r="T82" s="117"/>
      <c r="U82" s="117"/>
      <c r="V82" s="117"/>
      <c r="W82" s="117"/>
      <c r="X82" s="117"/>
      <c r="Y82" s="117"/>
      <c r="Z82" s="118"/>
      <c r="AA82" s="119" t="e">
        <f ca="1">IF($F$51="Humain",VLOOKUP(Q82,Compétences!$M$3:$P$1048576,2,FALSE),VLOOKUP(Q82,Compétences!$M$3:$P$1048576,3,FALSE))+'Compétences raciales'!Z19</f>
        <v>#N/A</v>
      </c>
      <c r="AB82" s="88"/>
      <c r="AC82" s="85"/>
      <c r="AD82" s="21"/>
      <c r="AE82" s="22"/>
      <c r="AF82" s="22"/>
      <c r="AG82" s="22"/>
      <c r="AH82" s="22"/>
      <c r="AI82" s="22"/>
      <c r="AJ82" s="22"/>
      <c r="AK82" s="53"/>
    </row>
    <row r="83" spans="1:38" ht="12" customHeight="1">
      <c r="A83" s="22"/>
      <c r="B83" s="24"/>
      <c r="C83" s="116"/>
      <c r="D83" s="117"/>
      <c r="E83" s="117"/>
      <c r="F83" s="117"/>
      <c r="G83" s="117"/>
      <c r="H83" s="117"/>
      <c r="I83" s="117"/>
      <c r="J83" s="117"/>
      <c r="K83" s="117"/>
      <c r="L83" s="118"/>
      <c r="M83" s="119" t="e">
        <f ca="1">IF($F$51="Humain",VLOOKUP(C83,Compétences!$M$3:$P$1048576,2,FALSE),VLOOKUP(C83,Compétences!$M$3:$P$1048576,3,FALSE))+'Compétences raciales'!M20</f>
        <v>#N/A</v>
      </c>
      <c r="N83" s="150"/>
      <c r="O83" s="151"/>
      <c r="P83" s="23"/>
      <c r="Q83" s="116"/>
      <c r="R83" s="117"/>
      <c r="S83" s="117"/>
      <c r="T83" s="117"/>
      <c r="U83" s="117"/>
      <c r="V83" s="117"/>
      <c r="W83" s="117"/>
      <c r="X83" s="117"/>
      <c r="Y83" s="117"/>
      <c r="Z83" s="118"/>
      <c r="AA83" s="119" t="e">
        <f ca="1">IF($F$51="Humain",VLOOKUP(Q83,Compétences!$M$3:$P$1048576,2,FALSE),VLOOKUP(Q83,Compétences!$M$3:$P$1048576,3,FALSE))+'Compétences raciales'!Z20</f>
        <v>#N/A</v>
      </c>
      <c r="AB83" s="88"/>
      <c r="AC83" s="85"/>
      <c r="AD83" s="21"/>
      <c r="AE83" s="22"/>
      <c r="AF83" s="22"/>
      <c r="AG83" s="22"/>
      <c r="AH83" s="22"/>
      <c r="AI83" s="22"/>
      <c r="AJ83" s="22"/>
      <c r="AK83" s="22"/>
    </row>
    <row r="84" spans="1:38" ht="12" customHeight="1">
      <c r="A84" s="22"/>
      <c r="B84" s="24"/>
      <c r="C84" s="116"/>
      <c r="D84" s="117"/>
      <c r="E84" s="117"/>
      <c r="F84" s="117"/>
      <c r="G84" s="117"/>
      <c r="H84" s="117"/>
      <c r="I84" s="117"/>
      <c r="J84" s="117"/>
      <c r="K84" s="117"/>
      <c r="L84" s="118"/>
      <c r="M84" s="119" t="e">
        <f ca="1">IF($F$51="Humain",VLOOKUP(C84,Compétences!$M$3:$P$1048576,2,FALSE),VLOOKUP(C84,Compétences!$M$3:$P$1048576,3,FALSE))+'Compétences raciales'!M21</f>
        <v>#N/A</v>
      </c>
      <c r="N84" s="150"/>
      <c r="O84" s="151"/>
      <c r="P84" s="23"/>
      <c r="Q84" s="116"/>
      <c r="R84" s="117"/>
      <c r="S84" s="117"/>
      <c r="T84" s="117"/>
      <c r="U84" s="117"/>
      <c r="V84" s="117"/>
      <c r="W84" s="117"/>
      <c r="X84" s="117"/>
      <c r="Y84" s="117"/>
      <c r="Z84" s="118"/>
      <c r="AA84" s="119" t="e">
        <f ca="1">IF($F$51="Humain",VLOOKUP(Q84,Compétences!$M$3:$P$1048576,2,FALSE),VLOOKUP(Q84,Compétences!$M$3:$P$1048576,3,FALSE))+'Compétences raciales'!Z21</f>
        <v>#N/A</v>
      </c>
      <c r="AB84" s="88"/>
      <c r="AC84" s="85"/>
      <c r="AD84" s="21"/>
      <c r="AE84" s="22"/>
      <c r="AF84" s="22"/>
      <c r="AG84" s="22"/>
      <c r="AH84" s="22"/>
      <c r="AI84" s="22"/>
      <c r="AJ84" s="22"/>
      <c r="AK84" s="22"/>
    </row>
    <row r="85" spans="1:38" ht="12" customHeight="1">
      <c r="A85" s="22"/>
      <c r="B85" s="24"/>
      <c r="C85" s="116"/>
      <c r="D85" s="117"/>
      <c r="E85" s="117"/>
      <c r="F85" s="117"/>
      <c r="G85" s="117"/>
      <c r="H85" s="117"/>
      <c r="I85" s="117"/>
      <c r="J85" s="117"/>
      <c r="K85" s="117"/>
      <c r="L85" s="118"/>
      <c r="M85" s="119" t="e">
        <f ca="1">IF($F$51="Humain",VLOOKUP(C85,Compétences!$M$3:$P$1048576,2,FALSE),VLOOKUP(C85,Compétences!$M$3:$P$1048576,3,FALSE))+'Compétences raciales'!M22</f>
        <v>#N/A</v>
      </c>
      <c r="N85" s="150"/>
      <c r="O85" s="151"/>
      <c r="P85" s="23"/>
      <c r="Q85" s="116"/>
      <c r="R85" s="117"/>
      <c r="S85" s="117"/>
      <c r="T85" s="117"/>
      <c r="U85" s="117"/>
      <c r="V85" s="117"/>
      <c r="W85" s="117"/>
      <c r="X85" s="117"/>
      <c r="Y85" s="117"/>
      <c r="Z85" s="118"/>
      <c r="AA85" s="119" t="e">
        <f ca="1">IF($F$51="Humain",VLOOKUP(Q85,Compétences!$M$3:$P$1048576,2,FALSE),VLOOKUP(Q85,Compétences!$M$3:$P$1048576,3,FALSE))+'Compétences raciales'!Z22</f>
        <v>#N/A</v>
      </c>
      <c r="AB85" s="88"/>
      <c r="AC85" s="85"/>
      <c r="AD85" s="21"/>
      <c r="AE85" s="22"/>
      <c r="AF85" s="22"/>
      <c r="AG85" s="22"/>
      <c r="AH85" s="22"/>
      <c r="AI85" s="22"/>
      <c r="AJ85" s="22"/>
      <c r="AK85" s="22"/>
    </row>
    <row r="86" spans="1:38" ht="6.75" customHeight="1" thickBot="1">
      <c r="B86" s="18"/>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20"/>
    </row>
    <row r="87" spans="1:38" ht="6.75" customHeight="1" thickTop="1" thickBot="1">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row>
    <row r="88" spans="1:38" ht="12" customHeight="1" thickTop="1">
      <c r="A88" s="22"/>
      <c r="B88" s="54"/>
      <c r="C88" s="153" t="s">
        <v>958</v>
      </c>
      <c r="D88" s="156"/>
      <c r="E88" s="156"/>
      <c r="F88" s="156"/>
      <c r="G88" s="156"/>
      <c r="H88" s="157"/>
      <c r="I88" s="157"/>
      <c r="J88" s="157"/>
      <c r="K88" s="157"/>
      <c r="L88" s="157"/>
      <c r="M88" s="157"/>
      <c r="N88" s="157"/>
      <c r="O88" s="157"/>
      <c r="P88" s="55">
        <v>0</v>
      </c>
      <c r="Q88" s="153" t="s">
        <v>958</v>
      </c>
      <c r="R88" s="156"/>
      <c r="S88" s="156"/>
      <c r="T88" s="156"/>
      <c r="U88" s="156"/>
      <c r="V88" s="157"/>
      <c r="W88" s="157"/>
      <c r="X88" s="157"/>
      <c r="Y88" s="157"/>
      <c r="Z88" s="157"/>
      <c r="AA88" s="157"/>
      <c r="AB88" s="157"/>
      <c r="AC88" s="157"/>
      <c r="AD88" s="56"/>
      <c r="AE88" s="22"/>
      <c r="AF88" s="22"/>
      <c r="AG88" s="22"/>
      <c r="AH88" s="22"/>
      <c r="AI88" s="22"/>
      <c r="AJ88" s="22"/>
      <c r="AK88" s="22"/>
    </row>
    <row r="89" spans="1:38" ht="6.75" customHeight="1">
      <c r="B89" s="57"/>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58"/>
    </row>
    <row r="90" spans="1:38" ht="12" customHeight="1">
      <c r="A90" s="22"/>
      <c r="B90" s="24"/>
      <c r="C90" s="82" t="s">
        <v>28</v>
      </c>
      <c r="D90" s="83"/>
      <c r="E90" s="82" t="s">
        <v>29</v>
      </c>
      <c r="F90" s="78"/>
      <c r="G90" s="78"/>
      <c r="H90" s="78"/>
      <c r="I90" s="78"/>
      <c r="J90" s="78"/>
      <c r="K90" s="78"/>
      <c r="L90" s="78"/>
      <c r="M90" s="79"/>
      <c r="N90" s="82" t="s">
        <v>6</v>
      </c>
      <c r="O90" s="83"/>
      <c r="P90" s="23"/>
      <c r="Q90" s="82" t="s">
        <v>28</v>
      </c>
      <c r="R90" s="83"/>
      <c r="S90" s="82" t="s">
        <v>29</v>
      </c>
      <c r="T90" s="78"/>
      <c r="U90" s="78"/>
      <c r="V90" s="78"/>
      <c r="W90" s="78"/>
      <c r="X90" s="78"/>
      <c r="Y90" s="78"/>
      <c r="Z90" s="78"/>
      <c r="AA90" s="79"/>
      <c r="AB90" s="82" t="s">
        <v>6</v>
      </c>
      <c r="AC90" s="83"/>
      <c r="AD90" s="21"/>
      <c r="AE90" s="22"/>
      <c r="AF90" s="22"/>
      <c r="AG90" s="22"/>
      <c r="AH90" s="22"/>
      <c r="AI90" s="22"/>
      <c r="AJ90" s="22"/>
      <c r="AK90" s="22"/>
    </row>
    <row r="91" spans="1:38" ht="12" customHeight="1">
      <c r="A91" s="22"/>
      <c r="B91" s="24"/>
      <c r="C91" s="158" t="e">
        <f ca="1">VLOOKUP(E91,Magie!$AC$3:$AE$242,3,FALSE)</f>
        <v>#N/A</v>
      </c>
      <c r="D91" s="162"/>
      <c r="E91" s="84"/>
      <c r="F91" s="160"/>
      <c r="G91" s="160"/>
      <c r="H91" s="160"/>
      <c r="I91" s="160"/>
      <c r="J91" s="160"/>
      <c r="K91" s="160"/>
      <c r="L91" s="160"/>
      <c r="M91" s="161"/>
      <c r="N91" s="84" t="e">
        <f ca="1">VLOOKUP(E91,Magie!$AC$3:$AE$242,2,FALSE)</f>
        <v>#N/A</v>
      </c>
      <c r="O91" s="85"/>
      <c r="P91" s="23"/>
      <c r="Q91" s="158" t="e">
        <f ca="1">VLOOKUP(S91,Magie!$AF$3:$AH$242,3,FALSE)</f>
        <v>#N/A</v>
      </c>
      <c r="R91" s="159"/>
      <c r="S91" s="84"/>
      <c r="T91" s="160"/>
      <c r="U91" s="160"/>
      <c r="V91" s="160"/>
      <c r="W91" s="160"/>
      <c r="X91" s="160"/>
      <c r="Y91" s="160"/>
      <c r="Z91" s="160"/>
      <c r="AA91" s="161"/>
      <c r="AB91" s="84" t="e">
        <f ca="1">VLOOKUP(S91,Magie!$AF$3:$AH$242,2,FALSE)</f>
        <v>#N/A</v>
      </c>
      <c r="AC91" s="85"/>
      <c r="AD91" s="21"/>
      <c r="AE91" s="22"/>
      <c r="AF91" s="22"/>
      <c r="AG91" s="22"/>
      <c r="AI91" s="22"/>
      <c r="AJ91" s="22"/>
      <c r="AK91" s="22"/>
    </row>
    <row r="92" spans="1:38" ht="12" customHeight="1">
      <c r="A92" s="22"/>
      <c r="B92" s="24"/>
      <c r="C92" s="158" t="e">
        <f ca="1">VLOOKUP(E92,Magie!$AC$3:$AE$242,3,FALSE)</f>
        <v>#N/A</v>
      </c>
      <c r="D92" s="159"/>
      <c r="E92" s="84"/>
      <c r="F92" s="160"/>
      <c r="G92" s="160"/>
      <c r="H92" s="160"/>
      <c r="I92" s="160"/>
      <c r="J92" s="160"/>
      <c r="K92" s="160"/>
      <c r="L92" s="160"/>
      <c r="M92" s="161"/>
      <c r="N92" s="84" t="e">
        <f ca="1">VLOOKUP(E92,Magie!$AC$3:$AE$242,2,FALSE)</f>
        <v>#N/A</v>
      </c>
      <c r="O92" s="85"/>
      <c r="P92" s="23"/>
      <c r="Q92" s="158" t="e">
        <f ca="1">VLOOKUP(S92,Magie!$AF$3:$AH$242,3,FALSE)</f>
        <v>#N/A</v>
      </c>
      <c r="R92" s="159"/>
      <c r="S92" s="84"/>
      <c r="T92" s="160"/>
      <c r="U92" s="160"/>
      <c r="V92" s="160"/>
      <c r="W92" s="160"/>
      <c r="X92" s="160"/>
      <c r="Y92" s="160"/>
      <c r="Z92" s="160"/>
      <c r="AA92" s="161"/>
      <c r="AB92" s="84" t="e">
        <f ca="1">VLOOKUP(S92,Magie!$AF$3:$AH$242,2,FALSE)</f>
        <v>#N/A</v>
      </c>
      <c r="AC92" s="85"/>
      <c r="AD92" s="21"/>
      <c r="AE92" s="22"/>
      <c r="AF92" s="22"/>
      <c r="AG92" s="22"/>
      <c r="AH92" s="22"/>
      <c r="AI92" s="22"/>
      <c r="AJ92" s="59"/>
      <c r="AK92" s="59"/>
      <c r="AL92" s="22"/>
    </row>
    <row r="93" spans="1:38" ht="12" customHeight="1">
      <c r="A93" s="22"/>
      <c r="B93" s="24"/>
      <c r="C93" s="158" t="e">
        <f ca="1">VLOOKUP(E93,Magie!$AC$3:$AE$242,3,FALSE)</f>
        <v>#N/A</v>
      </c>
      <c r="D93" s="159"/>
      <c r="E93" s="84"/>
      <c r="F93" s="160"/>
      <c r="G93" s="160"/>
      <c r="H93" s="160"/>
      <c r="I93" s="160"/>
      <c r="J93" s="160"/>
      <c r="K93" s="160"/>
      <c r="L93" s="160"/>
      <c r="M93" s="161"/>
      <c r="N93" s="84" t="e">
        <f ca="1">VLOOKUP(E93,Magie!$AC$3:$AE$242,2,FALSE)</f>
        <v>#N/A</v>
      </c>
      <c r="O93" s="85"/>
      <c r="P93" s="23"/>
      <c r="Q93" s="158" t="e">
        <f ca="1">VLOOKUP(S93,Magie!$AF$3:$AH$242,3,FALSE)</f>
        <v>#N/A</v>
      </c>
      <c r="R93" s="159"/>
      <c r="S93" s="84"/>
      <c r="T93" s="160"/>
      <c r="U93" s="160"/>
      <c r="V93" s="160"/>
      <c r="W93" s="160"/>
      <c r="X93" s="160"/>
      <c r="Y93" s="160"/>
      <c r="Z93" s="160"/>
      <c r="AA93" s="161"/>
      <c r="AB93" s="84" t="e">
        <f ca="1">VLOOKUP(S93,Magie!$AF$3:$AH$242,2,FALSE)</f>
        <v>#N/A</v>
      </c>
      <c r="AC93" s="85"/>
      <c r="AD93" s="21"/>
      <c r="AE93" s="22"/>
      <c r="AF93" s="22"/>
      <c r="AG93" s="22"/>
      <c r="AH93" s="22"/>
      <c r="AI93" s="22"/>
      <c r="AJ93" s="59"/>
      <c r="AK93" s="22"/>
      <c r="AL93" s="22"/>
    </row>
    <row r="94" spans="1:38" ht="12" customHeight="1">
      <c r="A94" s="22"/>
      <c r="B94" s="24"/>
      <c r="C94" s="158" t="e">
        <f ca="1">VLOOKUP(E94,Magie!$AC$3:$AE$242,3,FALSE)</f>
        <v>#N/A</v>
      </c>
      <c r="D94" s="159"/>
      <c r="E94" s="84"/>
      <c r="F94" s="160"/>
      <c r="G94" s="160"/>
      <c r="H94" s="160"/>
      <c r="I94" s="160"/>
      <c r="J94" s="160"/>
      <c r="K94" s="160"/>
      <c r="L94" s="160"/>
      <c r="M94" s="161"/>
      <c r="N94" s="84" t="e">
        <f ca="1">VLOOKUP(E94,Magie!$AC$3:$AE$242,2,FALSE)</f>
        <v>#N/A</v>
      </c>
      <c r="O94" s="85"/>
      <c r="P94" s="23"/>
      <c r="Q94" s="158" t="e">
        <f ca="1">VLOOKUP(S94,Magie!$AF$3:$AH$242,3,FALSE)</f>
        <v>#N/A</v>
      </c>
      <c r="R94" s="159"/>
      <c r="S94" s="84"/>
      <c r="T94" s="160"/>
      <c r="U94" s="160"/>
      <c r="V94" s="160"/>
      <c r="W94" s="160"/>
      <c r="X94" s="160"/>
      <c r="Y94" s="160"/>
      <c r="Z94" s="160"/>
      <c r="AA94" s="161"/>
      <c r="AB94" s="84" t="e">
        <f ca="1">VLOOKUP(S94,Magie!$AF$3:$AH$242,2,FALSE)</f>
        <v>#N/A</v>
      </c>
      <c r="AC94" s="85"/>
      <c r="AD94" s="21"/>
      <c r="AE94" s="22"/>
      <c r="AF94" s="22"/>
      <c r="AG94" s="22"/>
      <c r="AH94" s="22"/>
      <c r="AI94" s="22"/>
      <c r="AJ94" s="22"/>
      <c r="AK94" s="22"/>
      <c r="AL94" s="22"/>
    </row>
    <row r="95" spans="1:38" ht="12" customHeight="1">
      <c r="A95" s="22"/>
      <c r="B95" s="24"/>
      <c r="C95" s="158" t="e">
        <f ca="1">VLOOKUP(E95,Magie!$AC$3:$AE$242,3,FALSE)</f>
        <v>#N/A</v>
      </c>
      <c r="D95" s="159"/>
      <c r="E95" s="84"/>
      <c r="F95" s="160"/>
      <c r="G95" s="160"/>
      <c r="H95" s="160"/>
      <c r="I95" s="160"/>
      <c r="J95" s="160"/>
      <c r="K95" s="160"/>
      <c r="L95" s="160"/>
      <c r="M95" s="161"/>
      <c r="N95" s="84" t="e">
        <f ca="1">VLOOKUP(E95,Magie!$AC$3:$AE$242,2,FALSE)</f>
        <v>#N/A</v>
      </c>
      <c r="O95" s="85"/>
      <c r="P95" s="23"/>
      <c r="Q95" s="158" t="e">
        <f ca="1">VLOOKUP(S95,Magie!$AF$3:$AH$242,3,FALSE)</f>
        <v>#N/A</v>
      </c>
      <c r="R95" s="159"/>
      <c r="S95" s="84"/>
      <c r="T95" s="160"/>
      <c r="U95" s="160"/>
      <c r="V95" s="160"/>
      <c r="W95" s="160"/>
      <c r="X95" s="160"/>
      <c r="Y95" s="160"/>
      <c r="Z95" s="160"/>
      <c r="AA95" s="161"/>
      <c r="AB95" s="84" t="e">
        <f ca="1">VLOOKUP(S95,Magie!$AF$3:$AH$242,2,FALSE)</f>
        <v>#N/A</v>
      </c>
      <c r="AC95" s="85"/>
      <c r="AD95" s="21"/>
      <c r="AE95" s="22"/>
      <c r="AF95" s="22"/>
      <c r="AG95" s="22"/>
      <c r="AH95" s="22"/>
      <c r="AI95" s="22"/>
      <c r="AJ95" s="22"/>
      <c r="AK95" s="22"/>
      <c r="AL95" s="22"/>
    </row>
    <row r="96" spans="1:38" ht="12" customHeight="1">
      <c r="A96" s="22"/>
      <c r="B96" s="24"/>
      <c r="C96" s="158" t="e">
        <f ca="1">VLOOKUP(E96,Magie!$AC$3:$AE$242,3,FALSE)</f>
        <v>#N/A</v>
      </c>
      <c r="D96" s="159"/>
      <c r="E96" s="84"/>
      <c r="F96" s="160"/>
      <c r="G96" s="160"/>
      <c r="H96" s="160"/>
      <c r="I96" s="160"/>
      <c r="J96" s="160"/>
      <c r="K96" s="160"/>
      <c r="L96" s="160"/>
      <c r="M96" s="161"/>
      <c r="N96" s="84" t="e">
        <f ca="1">VLOOKUP(E96,Magie!$AC$3:$AE$242,2,FALSE)</f>
        <v>#N/A</v>
      </c>
      <c r="O96" s="85"/>
      <c r="P96" s="23"/>
      <c r="Q96" s="158" t="e">
        <f ca="1">VLOOKUP(S96,Magie!$AF$3:$AH$242,3,FALSE)</f>
        <v>#N/A</v>
      </c>
      <c r="R96" s="159"/>
      <c r="S96" s="84"/>
      <c r="T96" s="160"/>
      <c r="U96" s="160"/>
      <c r="V96" s="160"/>
      <c r="W96" s="160"/>
      <c r="X96" s="160"/>
      <c r="Y96" s="160"/>
      <c r="Z96" s="160"/>
      <c r="AA96" s="161"/>
      <c r="AB96" s="84" t="e">
        <f ca="1">VLOOKUP(S96,Magie!$AF$3:$AH$242,2,FALSE)</f>
        <v>#N/A</v>
      </c>
      <c r="AC96" s="85"/>
      <c r="AD96" s="21"/>
      <c r="AE96" s="22"/>
      <c r="AF96" s="22"/>
      <c r="AG96" s="22"/>
      <c r="AH96" s="22"/>
      <c r="AI96" s="22"/>
      <c r="AJ96" s="22"/>
      <c r="AK96" s="22"/>
      <c r="AL96" s="22"/>
    </row>
    <row r="97" spans="1:38" ht="12" customHeight="1">
      <c r="A97" s="22"/>
      <c r="B97" s="24"/>
      <c r="C97" s="158" t="e">
        <f ca="1">VLOOKUP(E97,Magie!$AC$3:$AE$242,3,FALSE)</f>
        <v>#N/A</v>
      </c>
      <c r="D97" s="159"/>
      <c r="E97" s="84"/>
      <c r="F97" s="160"/>
      <c r="G97" s="160"/>
      <c r="H97" s="160"/>
      <c r="I97" s="160"/>
      <c r="J97" s="160"/>
      <c r="K97" s="160"/>
      <c r="L97" s="160"/>
      <c r="M97" s="161"/>
      <c r="N97" s="84" t="e">
        <f ca="1">VLOOKUP(E97,Magie!$AC$3:$AE$242,2,FALSE)</f>
        <v>#N/A</v>
      </c>
      <c r="O97" s="85"/>
      <c r="P97" s="23"/>
      <c r="Q97" s="158" t="e">
        <f ca="1">VLOOKUP(S97,Magie!$AF$3:$AH$242,3,FALSE)</f>
        <v>#N/A</v>
      </c>
      <c r="R97" s="159"/>
      <c r="S97" s="84"/>
      <c r="T97" s="160"/>
      <c r="U97" s="160"/>
      <c r="V97" s="160"/>
      <c r="W97" s="160"/>
      <c r="X97" s="160"/>
      <c r="Y97" s="160"/>
      <c r="Z97" s="160"/>
      <c r="AA97" s="161"/>
      <c r="AB97" s="84" t="e">
        <f ca="1">VLOOKUP(S97,Magie!$AF$3:$AH$242,2,FALSE)</f>
        <v>#N/A</v>
      </c>
      <c r="AC97" s="85"/>
      <c r="AD97" s="21"/>
      <c r="AE97" s="22"/>
      <c r="AF97" s="22"/>
      <c r="AG97" s="22"/>
      <c r="AH97" s="22"/>
      <c r="AI97" s="59"/>
      <c r="AJ97" s="22"/>
      <c r="AK97" s="22"/>
      <c r="AL97" s="22"/>
    </row>
    <row r="98" spans="1:38" ht="12" customHeight="1">
      <c r="A98" s="22"/>
      <c r="B98" s="24"/>
      <c r="C98" s="158" t="e">
        <f ca="1">VLOOKUP(E98,Magie!$AC$3:$AE$242,3,FALSE)</f>
        <v>#N/A</v>
      </c>
      <c r="D98" s="159"/>
      <c r="E98" s="84"/>
      <c r="F98" s="160"/>
      <c r="G98" s="160"/>
      <c r="H98" s="160"/>
      <c r="I98" s="160"/>
      <c r="J98" s="160"/>
      <c r="K98" s="160"/>
      <c r="L98" s="160"/>
      <c r="M98" s="161"/>
      <c r="N98" s="84" t="e">
        <f ca="1">VLOOKUP(E98,Magie!$AC$3:$AE$242,2,FALSE)</f>
        <v>#N/A</v>
      </c>
      <c r="O98" s="85"/>
      <c r="P98" s="23"/>
      <c r="Q98" s="158" t="e">
        <f ca="1">VLOOKUP(S98,Magie!$AF$3:$AH$242,3,FALSE)</f>
        <v>#N/A</v>
      </c>
      <c r="R98" s="159"/>
      <c r="S98" s="84"/>
      <c r="T98" s="160"/>
      <c r="U98" s="160"/>
      <c r="V98" s="160"/>
      <c r="W98" s="160"/>
      <c r="X98" s="160"/>
      <c r="Y98" s="160"/>
      <c r="Z98" s="160"/>
      <c r="AA98" s="161"/>
      <c r="AB98" s="84" t="e">
        <f ca="1">VLOOKUP(S98,Magie!$AF$3:$AH$242,2,FALSE)</f>
        <v>#N/A</v>
      </c>
      <c r="AC98" s="85"/>
      <c r="AD98" s="21"/>
      <c r="AE98" s="22"/>
      <c r="AF98" s="22"/>
      <c r="AG98" s="22"/>
      <c r="AH98" s="22"/>
      <c r="AI98" s="22"/>
      <c r="AJ98" s="22"/>
      <c r="AK98" s="22"/>
      <c r="AL98" s="22"/>
    </row>
    <row r="99" spans="1:38" ht="12" customHeight="1">
      <c r="A99" s="22"/>
      <c r="B99" s="24"/>
      <c r="C99" s="158" t="e">
        <f ca="1">VLOOKUP(E99,Magie!$AC$3:$AE$242,3,FALSE)</f>
        <v>#N/A</v>
      </c>
      <c r="D99" s="159"/>
      <c r="E99" s="84"/>
      <c r="F99" s="160"/>
      <c r="G99" s="160"/>
      <c r="H99" s="160"/>
      <c r="I99" s="160"/>
      <c r="J99" s="160"/>
      <c r="K99" s="160"/>
      <c r="L99" s="160"/>
      <c r="M99" s="161"/>
      <c r="N99" s="84" t="e">
        <f ca="1">VLOOKUP(E99,Magie!$AC$3:$AE$242,2,FALSE)</f>
        <v>#N/A</v>
      </c>
      <c r="O99" s="85"/>
      <c r="P99" s="23"/>
      <c r="Q99" s="158" t="e">
        <f ca="1">VLOOKUP(S99,Magie!$AF$3:$AH$242,3,FALSE)</f>
        <v>#N/A</v>
      </c>
      <c r="R99" s="159"/>
      <c r="S99" s="84"/>
      <c r="T99" s="160"/>
      <c r="U99" s="160"/>
      <c r="V99" s="160"/>
      <c r="W99" s="160"/>
      <c r="X99" s="160"/>
      <c r="Y99" s="160"/>
      <c r="Z99" s="160"/>
      <c r="AA99" s="161"/>
      <c r="AB99" s="84" t="e">
        <f ca="1">VLOOKUP(S99,Magie!$AF$3:$AH$242,2,FALSE)</f>
        <v>#N/A</v>
      </c>
      <c r="AC99" s="85"/>
      <c r="AD99" s="21"/>
      <c r="AE99" s="22"/>
      <c r="AF99" s="22"/>
      <c r="AG99" s="22"/>
      <c r="AH99" s="22"/>
      <c r="AI99" s="22"/>
      <c r="AJ99" s="22"/>
      <c r="AK99" s="22"/>
      <c r="AL99" s="22"/>
    </row>
    <row r="100" spans="1:38" ht="12" customHeight="1">
      <c r="A100" s="22"/>
      <c r="B100" s="24"/>
      <c r="C100" s="158" t="e">
        <f ca="1">VLOOKUP(E100,Magie!$AC$3:$AE$242,3,FALSE)</f>
        <v>#N/A</v>
      </c>
      <c r="D100" s="159"/>
      <c r="E100" s="84"/>
      <c r="F100" s="160"/>
      <c r="G100" s="160"/>
      <c r="H100" s="160"/>
      <c r="I100" s="160"/>
      <c r="J100" s="160"/>
      <c r="K100" s="160"/>
      <c r="L100" s="160"/>
      <c r="M100" s="161"/>
      <c r="N100" s="84" t="e">
        <f ca="1">VLOOKUP(E100,Magie!$AC$3:$AE$242,2,FALSE)</f>
        <v>#N/A</v>
      </c>
      <c r="O100" s="85"/>
      <c r="P100" s="23"/>
      <c r="Q100" s="158" t="e">
        <f ca="1">VLOOKUP(S100,Magie!$AF$3:$AH$242,3,FALSE)</f>
        <v>#N/A</v>
      </c>
      <c r="R100" s="159"/>
      <c r="S100" s="84"/>
      <c r="T100" s="160"/>
      <c r="U100" s="160"/>
      <c r="V100" s="160"/>
      <c r="W100" s="160"/>
      <c r="X100" s="160"/>
      <c r="Y100" s="160"/>
      <c r="Z100" s="160"/>
      <c r="AA100" s="161"/>
      <c r="AB100" s="84" t="e">
        <f ca="1">VLOOKUP(S100,Magie!$AF$3:$AH$242,2,FALSE)</f>
        <v>#N/A</v>
      </c>
      <c r="AC100" s="85"/>
      <c r="AD100" s="21"/>
      <c r="AE100" s="22"/>
      <c r="AF100" s="22"/>
      <c r="AG100" s="22"/>
      <c r="AH100" s="22"/>
      <c r="AI100" s="22"/>
      <c r="AJ100" s="22"/>
      <c r="AK100" s="22"/>
      <c r="AL100" s="22"/>
    </row>
    <row r="101" spans="1:38" ht="12" customHeight="1">
      <c r="A101" s="22"/>
      <c r="B101" s="24"/>
      <c r="C101" s="158" t="e">
        <f ca="1">VLOOKUP(E101,Magie!$AC$3:$AE$242,3,FALSE)</f>
        <v>#N/A</v>
      </c>
      <c r="D101" s="159"/>
      <c r="E101" s="84"/>
      <c r="F101" s="160"/>
      <c r="G101" s="160"/>
      <c r="H101" s="160"/>
      <c r="I101" s="160"/>
      <c r="J101" s="160"/>
      <c r="K101" s="160"/>
      <c r="L101" s="160"/>
      <c r="M101" s="161"/>
      <c r="N101" s="84" t="e">
        <f ca="1">VLOOKUP(E101,Magie!$AC$3:$AE$242,2,FALSE)</f>
        <v>#N/A</v>
      </c>
      <c r="O101" s="85"/>
      <c r="P101" s="23"/>
      <c r="Q101" s="158" t="e">
        <f ca="1">VLOOKUP(S101,Magie!$AF$3:$AH$242,3,FALSE)</f>
        <v>#N/A</v>
      </c>
      <c r="R101" s="159"/>
      <c r="S101" s="84"/>
      <c r="T101" s="160"/>
      <c r="U101" s="160"/>
      <c r="V101" s="160"/>
      <c r="W101" s="160"/>
      <c r="X101" s="160"/>
      <c r="Y101" s="160"/>
      <c r="Z101" s="160"/>
      <c r="AA101" s="161"/>
      <c r="AB101" s="84" t="e">
        <f ca="1">VLOOKUP(S101,Magie!$AF$3:$AH$242,2,FALSE)</f>
        <v>#N/A</v>
      </c>
      <c r="AC101" s="85"/>
      <c r="AD101" s="21"/>
      <c r="AE101" s="22"/>
      <c r="AF101" s="22"/>
      <c r="AG101" s="22"/>
      <c r="AH101" s="22"/>
      <c r="AI101" s="22"/>
      <c r="AJ101" s="22"/>
      <c r="AK101" s="22"/>
      <c r="AL101" s="22"/>
    </row>
    <row r="102" spans="1:38" ht="12" customHeight="1">
      <c r="A102" s="22"/>
      <c r="B102" s="24"/>
      <c r="C102" s="158" t="e">
        <f ca="1">VLOOKUP(E102,Magie!$AC$3:$AE$242,3,FALSE)</f>
        <v>#N/A</v>
      </c>
      <c r="D102" s="159"/>
      <c r="E102" s="84"/>
      <c r="F102" s="160"/>
      <c r="G102" s="160"/>
      <c r="H102" s="160"/>
      <c r="I102" s="160"/>
      <c r="J102" s="160"/>
      <c r="K102" s="160"/>
      <c r="L102" s="160"/>
      <c r="M102" s="161"/>
      <c r="N102" s="84" t="e">
        <f ca="1">VLOOKUP(E102,Magie!$AC$3:$AE$242,2,FALSE)</f>
        <v>#N/A</v>
      </c>
      <c r="O102" s="85"/>
      <c r="P102" s="23"/>
      <c r="Q102" s="158" t="e">
        <f ca="1">VLOOKUP(S102,Magie!$AF$3:$AH$242,3,FALSE)</f>
        <v>#N/A</v>
      </c>
      <c r="R102" s="159"/>
      <c r="S102" s="84"/>
      <c r="T102" s="160"/>
      <c r="U102" s="160"/>
      <c r="V102" s="160"/>
      <c r="W102" s="160"/>
      <c r="X102" s="160"/>
      <c r="Y102" s="160"/>
      <c r="Z102" s="160"/>
      <c r="AA102" s="161"/>
      <c r="AB102" s="84" t="e">
        <f ca="1">VLOOKUP(S102,Magie!$AF$3:$AH$242,2,FALSE)</f>
        <v>#N/A</v>
      </c>
      <c r="AC102" s="85"/>
      <c r="AD102" s="21"/>
      <c r="AE102" s="22"/>
      <c r="AF102" s="22"/>
      <c r="AG102" s="22"/>
      <c r="AH102" s="22"/>
      <c r="AI102" s="22"/>
      <c r="AJ102" s="22"/>
      <c r="AK102" s="22"/>
      <c r="AL102" s="22"/>
    </row>
    <row r="103" spans="1:38" ht="12" customHeight="1">
      <c r="A103" s="22"/>
      <c r="B103" s="24"/>
      <c r="C103" s="158" t="e">
        <f ca="1">VLOOKUP(E103,Magie!$AC$3:$AE$242,3,FALSE)</f>
        <v>#N/A</v>
      </c>
      <c r="D103" s="159"/>
      <c r="E103" s="84"/>
      <c r="F103" s="160"/>
      <c r="G103" s="160"/>
      <c r="H103" s="160"/>
      <c r="I103" s="160"/>
      <c r="J103" s="160"/>
      <c r="K103" s="160"/>
      <c r="L103" s="160"/>
      <c r="M103" s="161"/>
      <c r="N103" s="84" t="e">
        <f ca="1">VLOOKUP(E103,Magie!$AC$3:$AE$242,2,FALSE)</f>
        <v>#N/A</v>
      </c>
      <c r="O103" s="85"/>
      <c r="P103" s="23"/>
      <c r="Q103" s="158" t="e">
        <f ca="1">VLOOKUP(S103,Magie!$AF$3:$AH$242,3,FALSE)</f>
        <v>#N/A</v>
      </c>
      <c r="R103" s="159"/>
      <c r="S103" s="84"/>
      <c r="T103" s="160"/>
      <c r="U103" s="160"/>
      <c r="V103" s="160"/>
      <c r="W103" s="160"/>
      <c r="X103" s="160"/>
      <c r="Y103" s="160"/>
      <c r="Z103" s="160"/>
      <c r="AA103" s="161"/>
      <c r="AB103" s="84" t="e">
        <f ca="1">VLOOKUP(S103,Magie!$AF$3:$AH$242,2,FALSE)</f>
        <v>#N/A</v>
      </c>
      <c r="AC103" s="85"/>
      <c r="AD103" s="21"/>
      <c r="AE103" s="22"/>
      <c r="AF103" s="22"/>
      <c r="AG103" s="22"/>
      <c r="AH103" s="22"/>
      <c r="AI103" s="22"/>
      <c r="AJ103" s="22"/>
      <c r="AK103" s="22"/>
      <c r="AL103" s="22"/>
    </row>
    <row r="104" spans="1:38" ht="12" customHeight="1">
      <c r="A104" s="22"/>
      <c r="B104" s="24"/>
      <c r="C104" s="158" t="e">
        <f ca="1">VLOOKUP(E104,Magie!$AC$3:$AE$242,3,FALSE)</f>
        <v>#N/A</v>
      </c>
      <c r="D104" s="159"/>
      <c r="E104" s="84"/>
      <c r="F104" s="160"/>
      <c r="G104" s="160"/>
      <c r="H104" s="160"/>
      <c r="I104" s="160"/>
      <c r="J104" s="160"/>
      <c r="K104" s="160"/>
      <c r="L104" s="160"/>
      <c r="M104" s="161"/>
      <c r="N104" s="84" t="e">
        <f ca="1">VLOOKUP(E104,Magie!$AC$3:$AE$242,2,FALSE)</f>
        <v>#N/A</v>
      </c>
      <c r="O104" s="85"/>
      <c r="P104" s="23"/>
      <c r="Q104" s="158" t="e">
        <f ca="1">VLOOKUP(S104,Magie!$AF$3:$AH$242,3,FALSE)</f>
        <v>#N/A</v>
      </c>
      <c r="R104" s="159"/>
      <c r="S104" s="84"/>
      <c r="T104" s="160"/>
      <c r="U104" s="160"/>
      <c r="V104" s="160"/>
      <c r="W104" s="160"/>
      <c r="X104" s="160"/>
      <c r="Y104" s="160"/>
      <c r="Z104" s="160"/>
      <c r="AA104" s="161"/>
      <c r="AB104" s="84" t="e">
        <f ca="1">VLOOKUP(S104,Magie!$AF$3:$AH$242,2,FALSE)</f>
        <v>#N/A</v>
      </c>
      <c r="AC104" s="85"/>
      <c r="AD104" s="21"/>
      <c r="AE104" s="22"/>
      <c r="AF104" s="22"/>
      <c r="AG104" s="22"/>
      <c r="AH104" s="22"/>
      <c r="AI104" s="22"/>
      <c r="AJ104" s="22"/>
      <c r="AK104" s="22"/>
    </row>
    <row r="105" spans="1:38" ht="12" customHeight="1">
      <c r="A105" s="22"/>
      <c r="B105" s="24"/>
      <c r="C105" s="158" t="e">
        <f ca="1">VLOOKUP(E105,Magie!$AC$3:$AE$242,3,FALSE)</f>
        <v>#N/A</v>
      </c>
      <c r="D105" s="159"/>
      <c r="E105" s="84"/>
      <c r="F105" s="160"/>
      <c r="G105" s="160"/>
      <c r="H105" s="160"/>
      <c r="I105" s="160"/>
      <c r="J105" s="160"/>
      <c r="K105" s="160"/>
      <c r="L105" s="160"/>
      <c r="M105" s="161"/>
      <c r="N105" s="84" t="e">
        <f ca="1">VLOOKUP(E105,Magie!$AC$3:$AE$242,2,FALSE)</f>
        <v>#N/A</v>
      </c>
      <c r="O105" s="85"/>
      <c r="P105" s="23"/>
      <c r="Q105" s="158" t="e">
        <f ca="1">VLOOKUP(S105,Magie!$AF$3:$AH$242,3,FALSE)</f>
        <v>#N/A</v>
      </c>
      <c r="R105" s="159"/>
      <c r="S105" s="84"/>
      <c r="T105" s="160"/>
      <c r="U105" s="160"/>
      <c r="V105" s="160"/>
      <c r="W105" s="160"/>
      <c r="X105" s="160"/>
      <c r="Y105" s="160"/>
      <c r="Z105" s="160"/>
      <c r="AA105" s="161"/>
      <c r="AB105" s="84" t="e">
        <f ca="1">VLOOKUP(S105,Magie!$AF$3:$AH$242,2,FALSE)</f>
        <v>#N/A</v>
      </c>
      <c r="AC105" s="85"/>
      <c r="AD105" s="21"/>
      <c r="AE105" s="22"/>
      <c r="AF105" s="22"/>
      <c r="AG105" s="22"/>
      <c r="AH105" s="22"/>
      <c r="AI105" s="22"/>
      <c r="AJ105" s="22"/>
      <c r="AK105" s="22"/>
    </row>
    <row r="106" spans="1:38" ht="12" customHeight="1">
      <c r="A106" s="22"/>
      <c r="B106" s="24"/>
      <c r="C106" s="158" t="e">
        <f ca="1">VLOOKUP(E106,Magie!$AC$3:$AE$242,3,FALSE)</f>
        <v>#N/A</v>
      </c>
      <c r="D106" s="159"/>
      <c r="E106" s="84"/>
      <c r="F106" s="160"/>
      <c r="G106" s="160"/>
      <c r="H106" s="160"/>
      <c r="I106" s="160"/>
      <c r="J106" s="160"/>
      <c r="K106" s="160"/>
      <c r="L106" s="160"/>
      <c r="M106" s="161"/>
      <c r="N106" s="84" t="e">
        <f ca="1">VLOOKUP(E106,Magie!$AC$3:$AE$242,2,FALSE)</f>
        <v>#N/A</v>
      </c>
      <c r="O106" s="85"/>
      <c r="P106" s="23"/>
      <c r="Q106" s="158" t="e">
        <f ca="1">VLOOKUP(S106,Magie!$AF$3:$AH$242,3,FALSE)</f>
        <v>#N/A</v>
      </c>
      <c r="R106" s="159"/>
      <c r="S106" s="84"/>
      <c r="T106" s="160"/>
      <c r="U106" s="160"/>
      <c r="V106" s="160"/>
      <c r="W106" s="160"/>
      <c r="X106" s="160"/>
      <c r="Y106" s="160"/>
      <c r="Z106" s="160"/>
      <c r="AA106" s="161"/>
      <c r="AB106" s="84" t="e">
        <f ca="1">VLOOKUP(S106,Magie!$AF$3:$AH$242,2,FALSE)</f>
        <v>#N/A</v>
      </c>
      <c r="AC106" s="85"/>
      <c r="AD106" s="21"/>
      <c r="AE106" s="22"/>
      <c r="AF106" s="22"/>
      <c r="AG106" s="22"/>
      <c r="AH106" s="22"/>
      <c r="AI106" s="22"/>
      <c r="AJ106" s="22"/>
      <c r="AK106" s="22"/>
    </row>
    <row r="107" spans="1:38" ht="12" customHeight="1">
      <c r="A107" s="22"/>
      <c r="B107" s="24"/>
      <c r="C107" s="158" t="e">
        <f ca="1">VLOOKUP(E107,Magie!$AC$3:$AE$242,3,FALSE)</f>
        <v>#N/A</v>
      </c>
      <c r="D107" s="159"/>
      <c r="E107" s="84"/>
      <c r="F107" s="160"/>
      <c r="G107" s="160"/>
      <c r="H107" s="160"/>
      <c r="I107" s="160"/>
      <c r="J107" s="160"/>
      <c r="K107" s="160"/>
      <c r="L107" s="160"/>
      <c r="M107" s="161"/>
      <c r="N107" s="84" t="e">
        <f ca="1">VLOOKUP(E107,Magie!$AC$3:$AE$242,2,FALSE)</f>
        <v>#N/A</v>
      </c>
      <c r="O107" s="85"/>
      <c r="P107" s="23"/>
      <c r="Q107" s="158" t="e">
        <f ca="1">VLOOKUP(S107,Magie!$AF$3:$AH$242,3,FALSE)</f>
        <v>#N/A</v>
      </c>
      <c r="R107" s="159"/>
      <c r="S107" s="84"/>
      <c r="T107" s="160"/>
      <c r="U107" s="160"/>
      <c r="V107" s="160"/>
      <c r="W107" s="160"/>
      <c r="X107" s="160"/>
      <c r="Y107" s="160"/>
      <c r="Z107" s="160"/>
      <c r="AA107" s="161"/>
      <c r="AB107" s="84" t="e">
        <f ca="1">VLOOKUP(S107,Magie!$AF$3:$AH$242,2,FALSE)</f>
        <v>#N/A</v>
      </c>
      <c r="AC107" s="85"/>
      <c r="AD107" s="21"/>
      <c r="AE107" s="22"/>
      <c r="AF107" s="22"/>
      <c r="AG107" s="22"/>
      <c r="AH107" s="22"/>
      <c r="AI107" s="22"/>
      <c r="AJ107" s="22"/>
      <c r="AK107" s="22"/>
    </row>
    <row r="108" spans="1:38" ht="12" customHeight="1">
      <c r="A108" s="22"/>
      <c r="B108" s="24"/>
      <c r="C108" s="158" t="e">
        <f ca="1">VLOOKUP(E108,Magie!$AC$3:$AE$242,3,FALSE)</f>
        <v>#N/A</v>
      </c>
      <c r="D108" s="159"/>
      <c r="E108" s="84"/>
      <c r="F108" s="160"/>
      <c r="G108" s="160"/>
      <c r="H108" s="160"/>
      <c r="I108" s="160"/>
      <c r="J108" s="160"/>
      <c r="K108" s="160"/>
      <c r="L108" s="160"/>
      <c r="M108" s="161"/>
      <c r="N108" s="84" t="e">
        <f ca="1">VLOOKUP(E108,Magie!$AC$3:$AE$242,2,FALSE)</f>
        <v>#N/A</v>
      </c>
      <c r="O108" s="85"/>
      <c r="P108" s="23"/>
      <c r="Q108" s="158" t="e">
        <f ca="1">VLOOKUP(S108,Magie!$AF$3:$AH$242,3,FALSE)</f>
        <v>#N/A</v>
      </c>
      <c r="R108" s="159"/>
      <c r="S108" s="84"/>
      <c r="T108" s="160"/>
      <c r="U108" s="160"/>
      <c r="V108" s="160"/>
      <c r="W108" s="160"/>
      <c r="X108" s="160"/>
      <c r="Y108" s="160"/>
      <c r="Z108" s="160"/>
      <c r="AA108" s="161"/>
      <c r="AB108" s="84" t="e">
        <f ca="1">VLOOKUP(S108,Magie!$AF$3:$AH$242,2,FALSE)</f>
        <v>#N/A</v>
      </c>
      <c r="AC108" s="85"/>
      <c r="AD108" s="21"/>
      <c r="AE108" s="22"/>
      <c r="AF108" s="22"/>
      <c r="AG108" s="22"/>
      <c r="AH108" s="22"/>
      <c r="AI108" s="22"/>
      <c r="AJ108" s="22"/>
      <c r="AK108" s="22"/>
    </row>
    <row r="109" spans="1:38" ht="12" customHeight="1">
      <c r="A109" s="22"/>
      <c r="B109" s="24"/>
      <c r="C109" s="158" t="e">
        <f ca="1">VLOOKUP(E109,Magie!$AC$3:$AE$242,3,FALSE)</f>
        <v>#N/A</v>
      </c>
      <c r="D109" s="159"/>
      <c r="E109" s="84"/>
      <c r="F109" s="160"/>
      <c r="G109" s="160"/>
      <c r="H109" s="160"/>
      <c r="I109" s="160"/>
      <c r="J109" s="160"/>
      <c r="K109" s="160"/>
      <c r="L109" s="160"/>
      <c r="M109" s="161"/>
      <c r="N109" s="84" t="e">
        <f ca="1">VLOOKUP(E109,Magie!$AC$3:$AE$242,2,FALSE)</f>
        <v>#N/A</v>
      </c>
      <c r="O109" s="85"/>
      <c r="P109" s="23"/>
      <c r="Q109" s="158" t="e">
        <f ca="1">VLOOKUP(S109,Magie!$AF$3:$AH$242,3,FALSE)</f>
        <v>#N/A</v>
      </c>
      <c r="R109" s="159"/>
      <c r="S109" s="84"/>
      <c r="T109" s="160"/>
      <c r="U109" s="160"/>
      <c r="V109" s="160"/>
      <c r="W109" s="160"/>
      <c r="X109" s="160"/>
      <c r="Y109" s="160"/>
      <c r="Z109" s="160"/>
      <c r="AA109" s="161"/>
      <c r="AB109" s="84" t="e">
        <f ca="1">VLOOKUP(S109,Magie!$AF$3:$AH$242,2,FALSE)</f>
        <v>#N/A</v>
      </c>
      <c r="AC109" s="85"/>
      <c r="AD109" s="21"/>
      <c r="AE109" s="22"/>
      <c r="AF109" s="22"/>
      <c r="AG109" s="22"/>
      <c r="AH109" s="22"/>
      <c r="AI109" s="22"/>
      <c r="AJ109" s="22"/>
      <c r="AK109" s="22"/>
    </row>
    <row r="110" spans="1:38" ht="6.75" customHeight="1" thickBot="1">
      <c r="B110" s="18"/>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20"/>
    </row>
    <row r="111" spans="1:38" ht="6.75" customHeight="1" thickTop="1"/>
    <row r="112" spans="1:38" ht="15.75" customHeight="1" thickBot="1">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row>
    <row r="113" spans="1:31" ht="15.75" customHeight="1" thickTop="1">
      <c r="A113" s="22"/>
      <c r="B113" s="24"/>
      <c r="C113" s="80" t="s">
        <v>933</v>
      </c>
      <c r="D113" s="86"/>
      <c r="E113" s="86"/>
      <c r="F113" s="86"/>
      <c r="G113" s="86"/>
      <c r="H113" s="86"/>
      <c r="I113" s="86"/>
      <c r="J113" s="86"/>
      <c r="K113" s="86"/>
      <c r="L113" s="86"/>
      <c r="M113" s="81"/>
      <c r="N113" s="80" t="s">
        <v>6</v>
      </c>
      <c r="O113" s="81"/>
      <c r="P113" s="61"/>
      <c r="Q113" s="80" t="s">
        <v>132</v>
      </c>
      <c r="R113" s="86"/>
      <c r="S113" s="86"/>
      <c r="T113" s="86"/>
      <c r="U113" s="86"/>
      <c r="V113" s="86"/>
      <c r="W113" s="86"/>
      <c r="X113" s="86"/>
      <c r="Y113" s="86"/>
      <c r="Z113" s="86"/>
      <c r="AA113" s="86"/>
      <c r="AB113" s="86"/>
      <c r="AC113" s="81"/>
      <c r="AD113" s="21"/>
      <c r="AE113" s="22"/>
    </row>
    <row r="114" spans="1:31" ht="15.75" customHeight="1">
      <c r="B114" s="57"/>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58"/>
    </row>
    <row r="115" spans="1:31" ht="15.75" customHeight="1">
      <c r="A115" s="22"/>
      <c r="B115" s="24"/>
      <c r="C115" s="74"/>
      <c r="D115" s="75"/>
      <c r="E115" s="75"/>
      <c r="F115" s="75"/>
      <c r="G115" s="76"/>
      <c r="H115" s="77"/>
      <c r="I115" s="78"/>
      <c r="J115" s="78"/>
      <c r="K115" s="78"/>
      <c r="L115" s="78"/>
      <c r="M115" s="79"/>
      <c r="N115" s="82"/>
      <c r="O115" s="83"/>
      <c r="P115" s="23"/>
      <c r="Q115" s="171"/>
      <c r="R115" s="172"/>
      <c r="S115" s="172"/>
      <c r="T115" s="172"/>
      <c r="U115" s="172"/>
      <c r="V115" s="172"/>
      <c r="W115" s="172"/>
      <c r="X115" s="172"/>
      <c r="Y115" s="172"/>
      <c r="Z115" s="172"/>
      <c r="AA115" s="172"/>
      <c r="AB115" s="172"/>
      <c r="AC115" s="173"/>
      <c r="AD115" s="21"/>
      <c r="AE115" s="22"/>
    </row>
    <row r="116" spans="1:31" ht="15.75" customHeight="1">
      <c r="A116" s="22"/>
      <c r="B116" s="24"/>
      <c r="C116" s="74"/>
      <c r="D116" s="75"/>
      <c r="E116" s="75"/>
      <c r="F116" s="75"/>
      <c r="G116" s="76"/>
      <c r="H116" s="77"/>
      <c r="I116" s="78"/>
      <c r="J116" s="78"/>
      <c r="K116" s="78"/>
      <c r="L116" s="78"/>
      <c r="M116" s="79"/>
      <c r="N116" s="84"/>
      <c r="O116" s="85"/>
      <c r="P116" s="23"/>
      <c r="Q116" s="174"/>
      <c r="R116" s="175"/>
      <c r="S116" s="175"/>
      <c r="T116" s="175"/>
      <c r="U116" s="175"/>
      <c r="V116" s="175"/>
      <c r="W116" s="175"/>
      <c r="X116" s="175"/>
      <c r="Y116" s="175"/>
      <c r="Z116" s="175"/>
      <c r="AA116" s="175"/>
      <c r="AB116" s="175"/>
      <c r="AC116" s="176"/>
      <c r="AD116" s="21"/>
      <c r="AE116" s="22"/>
    </row>
    <row r="117" spans="1:31" ht="15.75" customHeight="1">
      <c r="A117" s="22"/>
      <c r="B117" s="24"/>
      <c r="C117" s="74"/>
      <c r="D117" s="75"/>
      <c r="E117" s="75"/>
      <c r="F117" s="75"/>
      <c r="G117" s="76"/>
      <c r="H117" s="77"/>
      <c r="I117" s="78"/>
      <c r="J117" s="78"/>
      <c r="K117" s="78"/>
      <c r="L117" s="78"/>
      <c r="M117" s="79"/>
      <c r="N117" s="84"/>
      <c r="O117" s="85"/>
      <c r="P117" s="23"/>
      <c r="Q117" s="174"/>
      <c r="R117" s="175"/>
      <c r="S117" s="175"/>
      <c r="T117" s="175"/>
      <c r="U117" s="175"/>
      <c r="V117" s="175"/>
      <c r="W117" s="175"/>
      <c r="X117" s="175"/>
      <c r="Y117" s="175"/>
      <c r="Z117" s="175"/>
      <c r="AA117" s="175"/>
      <c r="AB117" s="175"/>
      <c r="AC117" s="176"/>
      <c r="AD117" s="21"/>
      <c r="AE117" s="22"/>
    </row>
    <row r="118" spans="1:31" ht="15.75" customHeight="1">
      <c r="A118" s="22"/>
      <c r="B118" s="24"/>
      <c r="C118" s="74"/>
      <c r="D118" s="75"/>
      <c r="E118" s="75"/>
      <c r="F118" s="75"/>
      <c r="G118" s="76"/>
      <c r="H118" s="77"/>
      <c r="I118" s="78"/>
      <c r="J118" s="78"/>
      <c r="K118" s="78"/>
      <c r="L118" s="78"/>
      <c r="M118" s="79"/>
      <c r="N118" s="84"/>
      <c r="O118" s="85"/>
      <c r="P118" s="23"/>
      <c r="Q118" s="174"/>
      <c r="R118" s="175"/>
      <c r="S118" s="175"/>
      <c r="T118" s="175"/>
      <c r="U118" s="175"/>
      <c r="V118" s="175"/>
      <c r="W118" s="175"/>
      <c r="X118" s="175"/>
      <c r="Y118" s="175"/>
      <c r="Z118" s="175"/>
      <c r="AA118" s="175"/>
      <c r="AB118" s="175"/>
      <c r="AC118" s="176"/>
      <c r="AD118" s="21"/>
      <c r="AE118" s="22"/>
    </row>
    <row r="119" spans="1:31" ht="15.75" customHeight="1">
      <c r="A119" s="22"/>
      <c r="B119" s="24"/>
      <c r="C119" s="74"/>
      <c r="D119" s="75"/>
      <c r="E119" s="75"/>
      <c r="F119" s="75"/>
      <c r="G119" s="76"/>
      <c r="H119" s="77"/>
      <c r="I119" s="78"/>
      <c r="J119" s="78"/>
      <c r="K119" s="78"/>
      <c r="L119" s="78"/>
      <c r="M119" s="79"/>
      <c r="N119" s="84"/>
      <c r="O119" s="85"/>
      <c r="P119" s="23"/>
      <c r="Q119" s="174"/>
      <c r="R119" s="175"/>
      <c r="S119" s="175"/>
      <c r="T119" s="175"/>
      <c r="U119" s="175"/>
      <c r="V119" s="175"/>
      <c r="W119" s="175"/>
      <c r="X119" s="175"/>
      <c r="Y119" s="175"/>
      <c r="Z119" s="175"/>
      <c r="AA119" s="175"/>
      <c r="AB119" s="175"/>
      <c r="AC119" s="176"/>
      <c r="AD119" s="21"/>
      <c r="AE119" s="22"/>
    </row>
    <row r="120" spans="1:31" ht="15.75" customHeight="1">
      <c r="A120" s="22"/>
      <c r="B120" s="24"/>
      <c r="C120" s="74"/>
      <c r="D120" s="75"/>
      <c r="E120" s="75"/>
      <c r="F120" s="75"/>
      <c r="G120" s="76"/>
      <c r="H120" s="77"/>
      <c r="I120" s="78"/>
      <c r="J120" s="78"/>
      <c r="K120" s="78"/>
      <c r="L120" s="78"/>
      <c r="M120" s="79"/>
      <c r="N120" s="84"/>
      <c r="O120" s="85"/>
      <c r="P120" s="23"/>
      <c r="Q120" s="174"/>
      <c r="R120" s="175"/>
      <c r="S120" s="175"/>
      <c r="T120" s="175"/>
      <c r="U120" s="175"/>
      <c r="V120" s="175"/>
      <c r="W120" s="175"/>
      <c r="X120" s="175"/>
      <c r="Y120" s="175"/>
      <c r="Z120" s="175"/>
      <c r="AA120" s="175"/>
      <c r="AB120" s="175"/>
      <c r="AC120" s="176"/>
      <c r="AD120" s="21"/>
      <c r="AE120" s="22"/>
    </row>
    <row r="121" spans="1:31" ht="15.75" customHeight="1">
      <c r="A121" s="22"/>
      <c r="B121" s="24"/>
      <c r="C121" s="74"/>
      <c r="D121" s="75"/>
      <c r="E121" s="75"/>
      <c r="F121" s="75"/>
      <c r="G121" s="76"/>
      <c r="H121" s="77"/>
      <c r="I121" s="78"/>
      <c r="J121" s="78"/>
      <c r="K121" s="78"/>
      <c r="L121" s="78"/>
      <c r="M121" s="79"/>
      <c r="N121" s="84"/>
      <c r="O121" s="85"/>
      <c r="P121" s="23"/>
      <c r="Q121" s="174"/>
      <c r="R121" s="175"/>
      <c r="S121" s="175"/>
      <c r="T121" s="175"/>
      <c r="U121" s="175"/>
      <c r="V121" s="175"/>
      <c r="W121" s="175"/>
      <c r="X121" s="175"/>
      <c r="Y121" s="175"/>
      <c r="Z121" s="175"/>
      <c r="AA121" s="175"/>
      <c r="AB121" s="175"/>
      <c r="AC121" s="176"/>
      <c r="AD121" s="21"/>
      <c r="AE121" s="22"/>
    </row>
    <row r="122" spans="1:31" ht="15.75" customHeight="1">
      <c r="A122" s="22"/>
      <c r="B122" s="24"/>
      <c r="C122" s="74"/>
      <c r="D122" s="75"/>
      <c r="E122" s="75"/>
      <c r="F122" s="75"/>
      <c r="G122" s="76"/>
      <c r="H122" s="77"/>
      <c r="I122" s="78"/>
      <c r="J122" s="78"/>
      <c r="K122" s="78"/>
      <c r="L122" s="78"/>
      <c r="M122" s="79"/>
      <c r="N122" s="84"/>
      <c r="O122" s="85"/>
      <c r="P122" s="23"/>
      <c r="Q122" s="174"/>
      <c r="R122" s="175"/>
      <c r="S122" s="175"/>
      <c r="T122" s="175"/>
      <c r="U122" s="175"/>
      <c r="V122" s="175"/>
      <c r="W122" s="175"/>
      <c r="X122" s="175"/>
      <c r="Y122" s="175"/>
      <c r="Z122" s="175"/>
      <c r="AA122" s="175"/>
      <c r="AB122" s="175"/>
      <c r="AC122" s="176"/>
      <c r="AD122" s="21"/>
      <c r="AE122" s="22"/>
    </row>
    <row r="123" spans="1:31" ht="15.75" customHeight="1">
      <c r="A123" s="22"/>
      <c r="B123" s="24"/>
      <c r="C123" s="74"/>
      <c r="D123" s="75"/>
      <c r="E123" s="75"/>
      <c r="F123" s="75"/>
      <c r="G123" s="76"/>
      <c r="H123" s="77"/>
      <c r="I123" s="78"/>
      <c r="J123" s="78"/>
      <c r="K123" s="78"/>
      <c r="L123" s="78"/>
      <c r="M123" s="79"/>
      <c r="N123" s="84"/>
      <c r="O123" s="85"/>
      <c r="P123" s="23"/>
      <c r="Q123" s="174"/>
      <c r="R123" s="175"/>
      <c r="S123" s="175"/>
      <c r="T123" s="175"/>
      <c r="U123" s="175"/>
      <c r="V123" s="175"/>
      <c r="W123" s="175"/>
      <c r="X123" s="175"/>
      <c r="Y123" s="175"/>
      <c r="Z123" s="175"/>
      <c r="AA123" s="175"/>
      <c r="AB123" s="175"/>
      <c r="AC123" s="176"/>
      <c r="AD123" s="21"/>
      <c r="AE123" s="22"/>
    </row>
    <row r="124" spans="1:31" ht="15.75" customHeight="1">
      <c r="A124" s="22"/>
      <c r="B124" s="24"/>
      <c r="C124" s="74"/>
      <c r="D124" s="75"/>
      <c r="E124" s="75"/>
      <c r="F124" s="75"/>
      <c r="G124" s="76"/>
      <c r="H124" s="77"/>
      <c r="I124" s="78"/>
      <c r="J124" s="78"/>
      <c r="K124" s="78"/>
      <c r="L124" s="78"/>
      <c r="M124" s="79"/>
      <c r="N124" s="84"/>
      <c r="O124" s="85"/>
      <c r="P124" s="23"/>
      <c r="Q124" s="174"/>
      <c r="R124" s="175"/>
      <c r="S124" s="175"/>
      <c r="T124" s="175"/>
      <c r="U124" s="175"/>
      <c r="V124" s="175"/>
      <c r="W124" s="175"/>
      <c r="X124" s="175"/>
      <c r="Y124" s="175"/>
      <c r="Z124" s="175"/>
      <c r="AA124" s="175"/>
      <c r="AB124" s="175"/>
      <c r="AC124" s="176"/>
      <c r="AD124" s="21"/>
      <c r="AE124" s="22"/>
    </row>
    <row r="125" spans="1:31" ht="15.75" customHeight="1">
      <c r="A125" s="22"/>
      <c r="B125" s="24"/>
      <c r="C125" s="74"/>
      <c r="D125" s="75"/>
      <c r="E125" s="75"/>
      <c r="F125" s="75"/>
      <c r="G125" s="76"/>
      <c r="H125" s="77"/>
      <c r="I125" s="78"/>
      <c r="J125" s="78"/>
      <c r="K125" s="78"/>
      <c r="L125" s="78"/>
      <c r="M125" s="79"/>
      <c r="N125" s="84"/>
      <c r="O125" s="85"/>
      <c r="P125" s="23"/>
      <c r="Q125" s="174"/>
      <c r="R125" s="175"/>
      <c r="S125" s="175"/>
      <c r="T125" s="175"/>
      <c r="U125" s="175"/>
      <c r="V125" s="175"/>
      <c r="W125" s="175"/>
      <c r="X125" s="175"/>
      <c r="Y125" s="175"/>
      <c r="Z125" s="175"/>
      <c r="AA125" s="175"/>
      <c r="AB125" s="175"/>
      <c r="AC125" s="176"/>
      <c r="AD125" s="21"/>
      <c r="AE125" s="22"/>
    </row>
    <row r="126" spans="1:31" ht="15.75" customHeight="1">
      <c r="A126" s="22"/>
      <c r="B126" s="24"/>
      <c r="C126" s="74"/>
      <c r="D126" s="75"/>
      <c r="E126" s="75"/>
      <c r="F126" s="75"/>
      <c r="G126" s="76"/>
      <c r="H126" s="77"/>
      <c r="I126" s="78"/>
      <c r="J126" s="78"/>
      <c r="K126" s="78"/>
      <c r="L126" s="78"/>
      <c r="M126" s="79"/>
      <c r="N126" s="84"/>
      <c r="O126" s="85"/>
      <c r="P126" s="23"/>
      <c r="Q126" s="174"/>
      <c r="R126" s="175"/>
      <c r="S126" s="175"/>
      <c r="T126" s="175"/>
      <c r="U126" s="175"/>
      <c r="V126" s="175"/>
      <c r="W126" s="175"/>
      <c r="X126" s="175"/>
      <c r="Y126" s="175"/>
      <c r="Z126" s="175"/>
      <c r="AA126" s="175"/>
      <c r="AB126" s="175"/>
      <c r="AC126" s="176"/>
      <c r="AD126" s="21"/>
      <c r="AE126" s="22"/>
    </row>
    <row r="127" spans="1:31" ht="15.75" customHeight="1">
      <c r="A127" s="22"/>
      <c r="B127" s="24"/>
      <c r="C127" s="74"/>
      <c r="D127" s="75"/>
      <c r="E127" s="75"/>
      <c r="F127" s="75"/>
      <c r="G127" s="76"/>
      <c r="H127" s="77"/>
      <c r="I127" s="78"/>
      <c r="J127" s="78"/>
      <c r="K127" s="78"/>
      <c r="L127" s="78"/>
      <c r="M127" s="79"/>
      <c r="N127" s="84"/>
      <c r="O127" s="85"/>
      <c r="P127" s="23"/>
      <c r="Q127" s="174"/>
      <c r="R127" s="175"/>
      <c r="S127" s="175"/>
      <c r="T127" s="175"/>
      <c r="U127" s="175"/>
      <c r="V127" s="175"/>
      <c r="W127" s="175"/>
      <c r="X127" s="175"/>
      <c r="Y127" s="175"/>
      <c r="Z127" s="175"/>
      <c r="AA127" s="175"/>
      <c r="AB127" s="175"/>
      <c r="AC127" s="176"/>
      <c r="AD127" s="21"/>
      <c r="AE127" s="22"/>
    </row>
    <row r="128" spans="1:31" ht="15.75" customHeight="1">
      <c r="A128" s="22"/>
      <c r="B128" s="24"/>
      <c r="C128" s="74"/>
      <c r="D128" s="75"/>
      <c r="E128" s="75"/>
      <c r="F128" s="75"/>
      <c r="G128" s="76"/>
      <c r="H128" s="77"/>
      <c r="I128" s="78"/>
      <c r="J128" s="78"/>
      <c r="K128" s="78"/>
      <c r="L128" s="78"/>
      <c r="M128" s="79"/>
      <c r="N128" s="84"/>
      <c r="O128" s="85"/>
      <c r="P128" s="23"/>
      <c r="Q128" s="174"/>
      <c r="R128" s="175"/>
      <c r="S128" s="175"/>
      <c r="T128" s="175"/>
      <c r="U128" s="175"/>
      <c r="V128" s="175"/>
      <c r="W128" s="175"/>
      <c r="X128" s="175"/>
      <c r="Y128" s="175"/>
      <c r="Z128" s="175"/>
      <c r="AA128" s="175"/>
      <c r="AB128" s="175"/>
      <c r="AC128" s="176"/>
      <c r="AD128" s="21"/>
      <c r="AE128" s="22"/>
    </row>
    <row r="129" spans="1:31" ht="15.75" customHeight="1">
      <c r="A129" s="22"/>
      <c r="B129" s="24"/>
      <c r="C129" s="74"/>
      <c r="D129" s="75"/>
      <c r="E129" s="75"/>
      <c r="F129" s="75"/>
      <c r="G129" s="76"/>
      <c r="H129" s="77"/>
      <c r="I129" s="78"/>
      <c r="J129" s="78"/>
      <c r="K129" s="78"/>
      <c r="L129" s="78"/>
      <c r="M129" s="79"/>
      <c r="N129" s="84"/>
      <c r="O129" s="85"/>
      <c r="P129" s="23"/>
      <c r="Q129" s="174"/>
      <c r="R129" s="175"/>
      <c r="S129" s="175"/>
      <c r="T129" s="175"/>
      <c r="U129" s="175"/>
      <c r="V129" s="175"/>
      <c r="W129" s="175"/>
      <c r="X129" s="175"/>
      <c r="Y129" s="175"/>
      <c r="Z129" s="175"/>
      <c r="AA129" s="175"/>
      <c r="AB129" s="175"/>
      <c r="AC129" s="176"/>
      <c r="AD129" s="21"/>
      <c r="AE129" s="22"/>
    </row>
    <row r="130" spans="1:31" ht="15.75" customHeight="1">
      <c r="A130" s="22"/>
      <c r="B130" s="24"/>
      <c r="C130" s="74"/>
      <c r="D130" s="75"/>
      <c r="E130" s="75"/>
      <c r="F130" s="75"/>
      <c r="G130" s="76"/>
      <c r="H130" s="77"/>
      <c r="I130" s="78"/>
      <c r="J130" s="78"/>
      <c r="K130" s="78"/>
      <c r="L130" s="78"/>
      <c r="M130" s="79"/>
      <c r="N130" s="84"/>
      <c r="O130" s="85"/>
      <c r="P130" s="23"/>
      <c r="Q130" s="174"/>
      <c r="R130" s="175"/>
      <c r="S130" s="175"/>
      <c r="T130" s="175"/>
      <c r="U130" s="175"/>
      <c r="V130" s="175"/>
      <c r="W130" s="175"/>
      <c r="X130" s="175"/>
      <c r="Y130" s="175"/>
      <c r="Z130" s="175"/>
      <c r="AA130" s="175"/>
      <c r="AB130" s="175"/>
      <c r="AC130" s="176"/>
      <c r="AD130" s="21"/>
      <c r="AE130" s="22"/>
    </row>
    <row r="131" spans="1:31" ht="15.75" customHeight="1">
      <c r="A131" s="22"/>
      <c r="B131" s="24"/>
      <c r="C131" s="74"/>
      <c r="D131" s="75"/>
      <c r="E131" s="75"/>
      <c r="F131" s="75"/>
      <c r="G131" s="76"/>
      <c r="H131" s="77"/>
      <c r="I131" s="78"/>
      <c r="J131" s="78"/>
      <c r="K131" s="78"/>
      <c r="L131" s="78"/>
      <c r="M131" s="79"/>
      <c r="N131" s="84"/>
      <c r="O131" s="85"/>
      <c r="P131" s="23"/>
      <c r="Q131" s="174"/>
      <c r="R131" s="175"/>
      <c r="S131" s="175"/>
      <c r="T131" s="175"/>
      <c r="U131" s="175"/>
      <c r="V131" s="175"/>
      <c r="W131" s="175"/>
      <c r="X131" s="175"/>
      <c r="Y131" s="175"/>
      <c r="Z131" s="175"/>
      <c r="AA131" s="175"/>
      <c r="AB131" s="175"/>
      <c r="AC131" s="176"/>
      <c r="AD131" s="21"/>
      <c r="AE131" s="22"/>
    </row>
    <row r="132" spans="1:31" ht="15.75" customHeight="1">
      <c r="A132" s="22"/>
      <c r="B132" s="24"/>
      <c r="C132" s="74"/>
      <c r="D132" s="75"/>
      <c r="E132" s="75"/>
      <c r="F132" s="75"/>
      <c r="G132" s="76"/>
      <c r="H132" s="77"/>
      <c r="I132" s="78"/>
      <c r="J132" s="78"/>
      <c r="K132" s="78"/>
      <c r="L132" s="78"/>
      <c r="M132" s="79"/>
      <c r="N132" s="84"/>
      <c r="O132" s="85"/>
      <c r="P132" s="23"/>
      <c r="Q132" s="174"/>
      <c r="R132" s="175"/>
      <c r="S132" s="175"/>
      <c r="T132" s="175"/>
      <c r="U132" s="175"/>
      <c r="V132" s="175"/>
      <c r="W132" s="175"/>
      <c r="X132" s="175"/>
      <c r="Y132" s="175"/>
      <c r="Z132" s="175"/>
      <c r="AA132" s="175"/>
      <c r="AB132" s="175"/>
      <c r="AC132" s="176"/>
      <c r="AD132" s="21"/>
      <c r="AE132" s="22"/>
    </row>
    <row r="133" spans="1:31" ht="15.75" customHeight="1">
      <c r="A133" s="22"/>
      <c r="B133" s="24"/>
      <c r="C133" s="74"/>
      <c r="D133" s="75"/>
      <c r="E133" s="75"/>
      <c r="F133" s="75"/>
      <c r="G133" s="76"/>
      <c r="H133" s="77"/>
      <c r="I133" s="78"/>
      <c r="J133" s="78"/>
      <c r="K133" s="78"/>
      <c r="L133" s="78"/>
      <c r="M133" s="79"/>
      <c r="N133" s="84"/>
      <c r="O133" s="85"/>
      <c r="P133" s="23"/>
      <c r="Q133" s="174"/>
      <c r="R133" s="175"/>
      <c r="S133" s="175"/>
      <c r="T133" s="175"/>
      <c r="U133" s="175"/>
      <c r="V133" s="175"/>
      <c r="W133" s="175"/>
      <c r="X133" s="175"/>
      <c r="Y133" s="175"/>
      <c r="Z133" s="175"/>
      <c r="AA133" s="175"/>
      <c r="AB133" s="175"/>
      <c r="AC133" s="176"/>
      <c r="AD133" s="21"/>
      <c r="AE133" s="22"/>
    </row>
    <row r="134" spans="1:31" ht="15.75" customHeight="1">
      <c r="A134" s="22"/>
      <c r="B134" s="24"/>
      <c r="C134" s="74"/>
      <c r="D134" s="75"/>
      <c r="E134" s="75"/>
      <c r="F134" s="75"/>
      <c r="G134" s="76"/>
      <c r="H134" s="77"/>
      <c r="I134" s="78"/>
      <c r="J134" s="78"/>
      <c r="K134" s="78"/>
      <c r="L134" s="78"/>
      <c r="M134" s="79"/>
      <c r="N134" s="16"/>
      <c r="O134" s="17"/>
      <c r="P134" s="23"/>
      <c r="Q134" s="174"/>
      <c r="R134" s="175"/>
      <c r="S134" s="175"/>
      <c r="T134" s="175"/>
      <c r="U134" s="175"/>
      <c r="V134" s="175"/>
      <c r="W134" s="175"/>
      <c r="X134" s="175"/>
      <c r="Y134" s="175"/>
      <c r="Z134" s="175"/>
      <c r="AA134" s="175"/>
      <c r="AB134" s="175"/>
      <c r="AC134" s="176"/>
      <c r="AD134" s="21"/>
      <c r="AE134" s="22"/>
    </row>
    <row r="135" spans="1:31" ht="15.75" customHeight="1">
      <c r="A135" s="22"/>
      <c r="B135" s="24"/>
      <c r="C135" s="74"/>
      <c r="D135" s="75"/>
      <c r="E135" s="75"/>
      <c r="F135" s="75"/>
      <c r="G135" s="76"/>
      <c r="H135" s="77"/>
      <c r="I135" s="78"/>
      <c r="J135" s="78"/>
      <c r="K135" s="78"/>
      <c r="L135" s="78"/>
      <c r="M135" s="79"/>
      <c r="N135" s="84"/>
      <c r="O135" s="85"/>
      <c r="P135" s="23"/>
      <c r="Q135" s="177"/>
      <c r="R135" s="178"/>
      <c r="S135" s="178"/>
      <c r="T135" s="178"/>
      <c r="U135" s="178"/>
      <c r="V135" s="178"/>
      <c r="W135" s="178"/>
      <c r="X135" s="178"/>
      <c r="Y135" s="178"/>
      <c r="Z135" s="178"/>
      <c r="AA135" s="178"/>
      <c r="AB135" s="178"/>
      <c r="AC135" s="179"/>
      <c r="AD135" s="21"/>
      <c r="AE135" s="22"/>
    </row>
    <row r="136" spans="1:31" ht="15.75" customHeight="1" thickBot="1">
      <c r="B136" s="18"/>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20"/>
    </row>
    <row r="137" spans="1:31" ht="15.75" customHeight="1" thickTop="1"/>
    <row r="138" spans="1:31" ht="15.75" customHeight="1">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c r="AA138" s="170"/>
      <c r="AB138" s="170"/>
      <c r="AC138" s="170"/>
      <c r="AD138" s="170"/>
    </row>
    <row r="139" spans="1:31" ht="15.75" customHeight="1">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c r="AA139" s="170"/>
      <c r="AB139" s="170"/>
      <c r="AC139" s="170"/>
      <c r="AD139" s="170"/>
    </row>
    <row r="140" spans="1:31" ht="15.75" customHeight="1"/>
    <row r="141" spans="1:31" ht="15.75" customHeight="1"/>
    <row r="142" spans="1:31" ht="15.75" customHeight="1"/>
    <row r="143" spans="1:31" ht="15.75" customHeight="1"/>
    <row r="144" spans="1:31" ht="15.75" customHeight="1"/>
    <row r="145" s="4" customFormat="1" ht="15.75" customHeight="1"/>
    <row r="146" s="4" customFormat="1" ht="15.75" customHeight="1"/>
    <row r="147" s="4" customFormat="1" ht="15.75" customHeight="1"/>
    <row r="148" s="4" customFormat="1" ht="15.75" customHeight="1"/>
    <row r="149" s="4" customFormat="1" ht="15.75" customHeight="1"/>
    <row r="150" s="4" customFormat="1" ht="15.75" customHeight="1"/>
    <row r="151" s="4" customFormat="1" ht="15.75" customHeight="1"/>
    <row r="152" s="4" customFormat="1" ht="15.75" customHeight="1"/>
    <row r="153" s="4" customFormat="1" ht="15.75" customHeight="1"/>
    <row r="154" s="4" customFormat="1" ht="15.75" customHeight="1"/>
    <row r="155" s="4" customFormat="1" ht="15.75" customHeight="1"/>
    <row r="156" s="4" customFormat="1" ht="15.75" customHeight="1"/>
    <row r="157" s="4" customFormat="1" ht="15.75" customHeight="1"/>
    <row r="158" s="4" customFormat="1" ht="15.75" customHeight="1"/>
    <row r="159" s="4" customFormat="1" ht="15.75" customHeight="1"/>
    <row r="160" s="4" customFormat="1" ht="15.75" customHeight="1"/>
    <row r="161" s="4" customFormat="1" ht="15.75" customHeight="1"/>
    <row r="162" s="4" customFormat="1" ht="15.75" customHeight="1"/>
    <row r="163" s="4" customFormat="1" ht="15.75" customHeight="1"/>
    <row r="164" s="4" customFormat="1" ht="15.75" customHeight="1"/>
    <row r="165" s="4" customFormat="1" ht="15.75" customHeight="1"/>
    <row r="166" s="4" customFormat="1" ht="15.75" customHeight="1"/>
    <row r="167" s="4" customFormat="1" ht="15.75" customHeight="1"/>
    <row r="168" s="4" customFormat="1" ht="15.75" customHeight="1"/>
    <row r="169" s="4" customFormat="1" ht="15.75" customHeight="1"/>
    <row r="170" s="4" customFormat="1" ht="15.75" customHeight="1"/>
    <row r="171" s="4" customFormat="1" ht="15.75" customHeight="1"/>
    <row r="172" s="4" customFormat="1" ht="15.75" customHeight="1"/>
    <row r="173" s="4" customFormat="1" ht="15.75" customHeight="1"/>
    <row r="174" s="4" customFormat="1" ht="15.75" customHeight="1"/>
    <row r="175" s="4" customFormat="1" ht="15.75" customHeight="1"/>
    <row r="176" s="4" customFormat="1" ht="15.75" customHeight="1"/>
    <row r="177" s="4" customFormat="1" ht="15.75" customHeight="1"/>
    <row r="178" s="4" customFormat="1" ht="15.75" customHeight="1"/>
    <row r="179" s="4" customFormat="1" ht="15.75" customHeight="1"/>
    <row r="180" s="4" customFormat="1" ht="15.75" customHeight="1"/>
    <row r="181" s="4" customFormat="1" ht="15.75" customHeight="1"/>
    <row r="182" s="4" customFormat="1" ht="15.75" customHeight="1"/>
    <row r="183" s="4" customFormat="1" ht="15.75" customHeight="1"/>
    <row r="184" s="4" customFormat="1" ht="15.75" customHeight="1"/>
    <row r="185" s="4" customFormat="1" ht="15.75" customHeight="1"/>
    <row r="186" s="4" customFormat="1" ht="15.75" customHeight="1"/>
    <row r="187" s="4" customFormat="1" ht="15.75" customHeight="1"/>
    <row r="188" s="4" customFormat="1" ht="15.75" customHeight="1"/>
    <row r="189" s="4" customFormat="1" ht="15.75" customHeight="1"/>
    <row r="190" s="4" customFormat="1" ht="15.75" customHeight="1"/>
    <row r="191" s="4" customFormat="1" ht="15.75" customHeight="1"/>
    <row r="192" s="4" customFormat="1" ht="15.75" customHeight="1"/>
    <row r="193" s="4" customFormat="1" ht="15.75" customHeight="1"/>
    <row r="194" s="4" customFormat="1" ht="15.75" customHeight="1"/>
    <row r="195" s="4" customFormat="1" ht="15.75" customHeight="1"/>
    <row r="196" s="4" customFormat="1" ht="15.75" customHeight="1"/>
    <row r="197" s="4" customFormat="1" ht="15.75" customHeight="1"/>
    <row r="198" s="4" customFormat="1" ht="15.75" customHeight="1"/>
    <row r="199" s="4" customFormat="1" ht="15.75" customHeight="1"/>
    <row r="200" s="4" customFormat="1" ht="15.75" customHeight="1"/>
    <row r="201" s="4" customFormat="1" ht="15.75" customHeight="1"/>
    <row r="202" s="4" customFormat="1" ht="15.75" customHeight="1"/>
    <row r="203" s="4" customFormat="1" ht="15.75" customHeight="1"/>
    <row r="204" s="4" customFormat="1" ht="15.75" customHeight="1"/>
    <row r="205" s="4" customFormat="1" ht="15.75" customHeight="1"/>
    <row r="206" s="4" customFormat="1" ht="15.75" customHeight="1"/>
    <row r="207" s="4" customFormat="1" ht="15.75" customHeight="1"/>
    <row r="208" s="4" customFormat="1" ht="15.75" customHeight="1"/>
    <row r="209" s="4" customFormat="1" ht="15.75" customHeight="1"/>
    <row r="210" s="4" customFormat="1" ht="15.75" customHeight="1"/>
    <row r="211" s="4" customFormat="1" ht="15.75" customHeight="1"/>
    <row r="212" s="4" customFormat="1" ht="15.75" customHeight="1"/>
    <row r="213" s="4" customFormat="1" ht="15.75" customHeight="1"/>
    <row r="214" s="4" customFormat="1" ht="15.75" customHeight="1"/>
    <row r="215" s="4" customFormat="1" ht="15.75" customHeight="1"/>
    <row r="216" s="4" customFormat="1" ht="15.75" customHeight="1"/>
    <row r="217" s="4" customFormat="1" ht="15.75" customHeight="1"/>
    <row r="218" s="4" customFormat="1" ht="15.75" customHeight="1"/>
    <row r="219" s="4" customFormat="1" ht="15.75" customHeight="1"/>
    <row r="220" s="4" customFormat="1" ht="15.75" customHeight="1"/>
    <row r="221" s="4" customFormat="1" ht="15.75" customHeight="1"/>
    <row r="222" s="4" customFormat="1" ht="15.75" customHeight="1"/>
    <row r="223" s="4" customFormat="1" ht="15.75" customHeight="1"/>
    <row r="224" s="4" customFormat="1" ht="15.75" customHeight="1"/>
    <row r="225" s="4" customFormat="1" ht="15.75" customHeight="1"/>
    <row r="226" s="4" customFormat="1" ht="15.75" customHeight="1"/>
    <row r="227" s="4" customFormat="1" ht="15.75" customHeight="1"/>
    <row r="228" s="4" customFormat="1" ht="15.75" customHeight="1"/>
    <row r="229" s="4" customFormat="1" ht="15.75" customHeight="1"/>
    <row r="230" s="4" customFormat="1" ht="15.75" customHeight="1"/>
    <row r="231" s="4" customFormat="1" ht="15.75" customHeight="1"/>
    <row r="232" s="4" customFormat="1" ht="15.75" customHeight="1"/>
    <row r="233" s="4" customFormat="1" ht="15.75" customHeight="1"/>
    <row r="234" s="4" customFormat="1" ht="15.75" customHeight="1"/>
    <row r="235" s="4" customFormat="1" ht="15.75" customHeight="1"/>
    <row r="236" s="4" customFormat="1" ht="15.75" customHeight="1"/>
    <row r="237" s="4" customFormat="1" ht="15.75" customHeight="1"/>
    <row r="238" s="4" customFormat="1" ht="15.75" customHeight="1"/>
    <row r="239" s="4" customFormat="1" ht="15.75" customHeight="1"/>
    <row r="240" s="4" customFormat="1" ht="15.75" customHeight="1"/>
    <row r="241" s="4" customFormat="1" ht="15.75" customHeight="1"/>
    <row r="242" s="4" customFormat="1" ht="15.75" customHeight="1"/>
    <row r="243" s="4" customFormat="1" ht="15.75" customHeight="1"/>
    <row r="244" s="4" customFormat="1" ht="15.75" customHeight="1"/>
    <row r="245" s="4" customFormat="1" ht="15.75" customHeight="1"/>
    <row r="246" s="4" customFormat="1" ht="15.75" customHeight="1"/>
    <row r="247" s="4" customFormat="1" ht="15.75" customHeight="1"/>
    <row r="248" s="4" customFormat="1" ht="15.75" customHeight="1"/>
    <row r="249" s="4" customFormat="1" ht="15.75" customHeight="1"/>
    <row r="250" s="4" customFormat="1" ht="15.75" customHeight="1"/>
    <row r="251" s="4" customFormat="1" ht="15.75" customHeight="1"/>
    <row r="252" s="4" customFormat="1" ht="15.75" customHeight="1"/>
    <row r="253" s="4" customFormat="1" ht="15.75" customHeight="1"/>
    <row r="254" s="4" customFormat="1" ht="15.75" customHeight="1"/>
    <row r="255" s="4" customFormat="1" ht="15.75" customHeight="1"/>
    <row r="256" s="4" customFormat="1" ht="15.75" customHeight="1"/>
    <row r="257" s="4" customFormat="1" ht="15.75" customHeight="1"/>
    <row r="258" s="4" customFormat="1" ht="15.75" customHeight="1"/>
    <row r="259" s="4" customFormat="1" ht="15.75" customHeight="1"/>
    <row r="260" s="4" customFormat="1" ht="15.75" customHeight="1"/>
    <row r="261" s="4" customFormat="1" ht="15.75" customHeight="1"/>
    <row r="262" s="4" customFormat="1" ht="15.75" customHeight="1"/>
    <row r="263" s="4" customFormat="1" ht="15.75" customHeight="1"/>
    <row r="264" s="4" customFormat="1" ht="15.75" customHeight="1"/>
    <row r="265" s="4" customFormat="1" ht="15.75" customHeight="1"/>
    <row r="266" s="4" customFormat="1" ht="15.75" customHeight="1"/>
    <row r="267" s="4" customFormat="1" ht="15.75" customHeight="1"/>
    <row r="268" s="4" customFormat="1" ht="15.75" customHeight="1"/>
    <row r="269" s="4" customFormat="1" ht="15.75" customHeight="1"/>
    <row r="270" s="4" customFormat="1" ht="15.75" customHeight="1"/>
    <row r="271" s="4" customFormat="1" ht="15.75" customHeight="1"/>
    <row r="272" s="4" customFormat="1" ht="15.75" customHeight="1"/>
    <row r="273" s="4" customFormat="1" ht="15.75" customHeight="1"/>
    <row r="274" s="4" customFormat="1" ht="15.75" customHeight="1"/>
    <row r="275" s="4" customFormat="1" ht="15.75" customHeight="1"/>
    <row r="276" s="4" customFormat="1" ht="15.75" customHeight="1"/>
    <row r="277" s="4" customFormat="1" ht="15.75" customHeight="1"/>
    <row r="278" s="4" customFormat="1" ht="15.75" customHeight="1"/>
    <row r="279" s="4" customFormat="1" ht="15.75" customHeight="1"/>
    <row r="280" s="4" customFormat="1" ht="15.75" customHeight="1"/>
    <row r="281" s="4" customFormat="1" ht="15.75" customHeight="1"/>
    <row r="282" s="4" customFormat="1" ht="15.75" customHeight="1"/>
    <row r="283" s="4" customFormat="1" ht="15.75" customHeight="1"/>
    <row r="284" s="4" customFormat="1" ht="15.75" customHeight="1"/>
    <row r="285" s="4" customFormat="1" ht="15.75" customHeight="1"/>
    <row r="286" s="4" customFormat="1" ht="15.75" customHeight="1"/>
    <row r="287" s="4" customFormat="1" ht="15.75" customHeight="1"/>
    <row r="288" s="4" customFormat="1" ht="15.75" customHeight="1"/>
    <row r="289" s="4" customFormat="1" ht="15.75" customHeight="1"/>
    <row r="290" s="4" customFormat="1" ht="15.75" customHeight="1"/>
    <row r="291" s="4" customFormat="1" ht="15.75" customHeight="1"/>
    <row r="292" s="4" customFormat="1" ht="15.75" customHeight="1"/>
    <row r="293" s="4" customFormat="1" ht="15.75" customHeight="1"/>
    <row r="294" s="4" customFormat="1" ht="15.75" customHeight="1"/>
    <row r="295" s="4" customFormat="1" ht="15.75" customHeight="1"/>
    <row r="296" s="4" customFormat="1" ht="15.75" customHeight="1"/>
    <row r="297" s="4" customFormat="1" ht="15.75" customHeight="1"/>
    <row r="298" s="4" customFormat="1" ht="15.75" customHeight="1"/>
    <row r="299" s="4" customFormat="1" ht="15.75" customHeight="1"/>
    <row r="300" s="4" customFormat="1" ht="15.75" customHeight="1"/>
    <row r="301" s="4" customFormat="1" ht="15.75" customHeight="1"/>
    <row r="302" s="4" customFormat="1" ht="15.75" customHeight="1"/>
    <row r="303" s="4" customFormat="1" ht="15.75" customHeight="1"/>
    <row r="304" s="4" customFormat="1" ht="15.75" customHeight="1"/>
    <row r="305" s="4" customFormat="1" ht="15.75" customHeight="1"/>
    <row r="306" s="4" customFormat="1" ht="15.75" customHeight="1"/>
    <row r="307" s="4" customFormat="1" ht="15.75" customHeight="1"/>
    <row r="308" s="4" customFormat="1" ht="15.75" customHeight="1"/>
    <row r="309" s="4" customFormat="1" ht="15.75" customHeight="1"/>
    <row r="310" s="4" customFormat="1" ht="15.75" customHeight="1"/>
    <row r="311" s="4" customFormat="1" ht="15.75" customHeight="1"/>
    <row r="312" s="4" customFormat="1" ht="15.75" customHeight="1"/>
    <row r="313" s="4" customFormat="1" ht="15.75" customHeight="1"/>
    <row r="314" s="4" customFormat="1" ht="15.75" customHeight="1"/>
    <row r="315" s="4" customFormat="1" ht="15.75" customHeight="1"/>
    <row r="316" s="4" customFormat="1" ht="15.75" customHeight="1"/>
    <row r="317" s="4" customFormat="1" ht="15.75" customHeight="1"/>
    <row r="318" s="4" customFormat="1" ht="15.75" customHeight="1"/>
    <row r="319" s="4" customFormat="1" ht="15.75" customHeight="1"/>
    <row r="320" s="4" customFormat="1" ht="15.75" customHeight="1"/>
    <row r="321" s="4" customFormat="1" ht="15.75" customHeight="1"/>
    <row r="322" s="4" customFormat="1" ht="15.75" customHeight="1"/>
    <row r="323" s="4" customFormat="1" ht="15.75" customHeight="1"/>
    <row r="324" s="4" customFormat="1" ht="15.75" customHeight="1"/>
    <row r="325" s="4" customFormat="1" ht="15.75" customHeight="1"/>
    <row r="326" s="4" customFormat="1" ht="15.75" customHeight="1"/>
    <row r="327" s="4" customFormat="1" ht="15.75" customHeight="1"/>
    <row r="328" s="4" customFormat="1" ht="15.75" customHeight="1"/>
    <row r="329" s="4" customFormat="1" ht="15.75" customHeight="1"/>
    <row r="330" s="4" customFormat="1" ht="15.75" customHeight="1"/>
    <row r="331" s="4" customFormat="1" ht="15.75" customHeight="1"/>
    <row r="332" s="4" customFormat="1" ht="15.75" customHeight="1"/>
    <row r="333" s="4" customFormat="1" ht="15.75" customHeight="1"/>
    <row r="334" s="4" customFormat="1" ht="15.75" customHeight="1"/>
    <row r="335" s="4" customFormat="1" ht="15.75" customHeight="1"/>
    <row r="336" s="4" customFormat="1" ht="15.75" customHeight="1"/>
    <row r="337" s="4" customFormat="1" ht="15.75" customHeight="1"/>
    <row r="338" s="4" customFormat="1" ht="15.75" customHeight="1"/>
    <row r="339" s="4" customFormat="1" ht="15.75" customHeight="1"/>
    <row r="340" s="4" customFormat="1" ht="15.75" customHeight="1"/>
    <row r="341" s="4" customFormat="1" ht="15.75" customHeight="1"/>
    <row r="342" s="4" customFormat="1" ht="15.75" customHeight="1"/>
    <row r="343" s="4" customFormat="1" ht="15.75" customHeight="1"/>
    <row r="344" s="4" customFormat="1" ht="15.75" customHeight="1"/>
    <row r="345" s="4" customFormat="1" ht="15.75" customHeight="1"/>
    <row r="346" s="4" customFormat="1" ht="15.75" customHeight="1"/>
    <row r="347" s="4" customFormat="1" ht="15.75" customHeight="1"/>
    <row r="348" s="4" customFormat="1" ht="15.75" customHeight="1"/>
    <row r="349" s="4" customFormat="1" ht="15.75" customHeight="1"/>
    <row r="350" s="4" customFormat="1" ht="15.75" customHeight="1"/>
    <row r="351" s="4" customFormat="1" ht="15.75" customHeight="1"/>
    <row r="352" s="4" customFormat="1" ht="15.75" customHeight="1"/>
    <row r="353" s="4" customFormat="1" ht="15.75" customHeight="1"/>
    <row r="354" s="4" customFormat="1" ht="15.75" customHeight="1"/>
    <row r="355" s="4" customFormat="1" ht="15.75" customHeight="1"/>
    <row r="356" s="4" customFormat="1" ht="15.75" customHeight="1"/>
    <row r="357" s="4" customFormat="1" ht="15.75" customHeight="1"/>
    <row r="358" s="4" customFormat="1" ht="15.75" customHeight="1"/>
    <row r="359" s="4" customFormat="1" ht="15.75" customHeight="1"/>
    <row r="360" s="4" customFormat="1" ht="15.75" customHeight="1"/>
    <row r="361" s="4" customFormat="1" ht="15.75" customHeight="1"/>
    <row r="362" s="4" customFormat="1" ht="15.75" customHeight="1"/>
    <row r="363" s="4" customFormat="1" ht="15.75" customHeight="1"/>
    <row r="364" s="4" customFormat="1" ht="15.75" customHeight="1"/>
    <row r="365" s="4" customFormat="1" ht="15.75" customHeight="1"/>
    <row r="366" s="4" customFormat="1" ht="15.75" customHeight="1"/>
    <row r="367" s="4" customFormat="1" ht="15.75" customHeight="1"/>
    <row r="368" s="4" customFormat="1" ht="15.75" customHeight="1"/>
    <row r="369" s="4" customFormat="1" ht="15.75" customHeight="1"/>
    <row r="370" s="4" customFormat="1" ht="15.75" customHeight="1"/>
    <row r="371" s="4" customFormat="1" ht="15.75" customHeight="1"/>
    <row r="372" s="4" customFormat="1" ht="15.75" customHeight="1"/>
    <row r="373" s="4" customFormat="1" ht="15.75" customHeight="1"/>
    <row r="374" s="4" customFormat="1" ht="15.75" customHeight="1"/>
    <row r="375" s="4" customFormat="1" ht="15.75" customHeight="1"/>
    <row r="376" s="4" customFormat="1" ht="15.75" customHeight="1"/>
    <row r="377" s="4" customFormat="1" ht="15.75" customHeight="1"/>
    <row r="378" s="4" customFormat="1" ht="15.75" customHeight="1"/>
    <row r="379" s="4" customFormat="1" ht="15.75" customHeight="1"/>
    <row r="380" s="4" customFormat="1" ht="15.75" customHeight="1"/>
    <row r="381" s="4" customFormat="1" ht="15.75" customHeight="1"/>
    <row r="382" s="4" customFormat="1" ht="15.75" customHeight="1"/>
    <row r="383" s="4" customFormat="1" ht="15.75" customHeight="1"/>
    <row r="384" s="4" customFormat="1" ht="15.75" customHeight="1"/>
    <row r="385" s="4" customFormat="1" ht="15.75" customHeight="1"/>
    <row r="386" s="4" customFormat="1" ht="15.75" customHeight="1"/>
    <row r="387" s="4" customFormat="1" ht="15.75" customHeight="1"/>
    <row r="388" s="4" customFormat="1" ht="15.75" customHeight="1"/>
    <row r="389" s="4" customFormat="1" ht="15.75" customHeight="1"/>
    <row r="390" s="4" customFormat="1" ht="15.75" customHeight="1"/>
    <row r="391" s="4" customFormat="1" ht="15.75" customHeight="1"/>
    <row r="392" s="4" customFormat="1" ht="15.75" customHeight="1"/>
    <row r="393" s="4" customFormat="1" ht="15.75" customHeight="1"/>
    <row r="394" s="4" customFormat="1" ht="15.75" customHeight="1"/>
    <row r="395" s="4" customFormat="1" ht="15.75" customHeight="1"/>
    <row r="396" s="4" customFormat="1" ht="15.75" customHeight="1"/>
    <row r="397" s="4" customFormat="1" ht="15.75" customHeight="1"/>
    <row r="398" s="4" customFormat="1" ht="15.75" customHeight="1"/>
    <row r="399" s="4" customFormat="1" ht="15.75" customHeight="1"/>
    <row r="400" s="4" customFormat="1" ht="15.75" customHeight="1"/>
    <row r="401" s="4" customFormat="1" ht="15.75" customHeight="1"/>
    <row r="402" s="4" customFormat="1" ht="15.75" customHeight="1"/>
    <row r="403" s="4" customFormat="1" ht="15.75" customHeight="1"/>
    <row r="404" s="4" customFormat="1" ht="15.75" customHeight="1"/>
    <row r="405" s="4" customFormat="1" ht="15.75" customHeight="1"/>
    <row r="406" s="4" customFormat="1" ht="15.75" customHeight="1"/>
    <row r="407" s="4" customFormat="1" ht="15.75" customHeight="1"/>
    <row r="408" s="4" customFormat="1" ht="15.75" customHeight="1"/>
    <row r="409" s="4" customFormat="1" ht="15.75" customHeight="1"/>
    <row r="410" s="4" customFormat="1" ht="15.75" customHeight="1"/>
    <row r="411" s="4" customFormat="1" ht="15.75" customHeight="1"/>
    <row r="412" s="4" customFormat="1" ht="15.75" customHeight="1"/>
    <row r="413" s="4" customFormat="1" ht="15.75" customHeight="1"/>
    <row r="414" s="4" customFormat="1" ht="15.75" customHeight="1"/>
    <row r="415" s="4" customFormat="1" ht="15.75" customHeight="1"/>
    <row r="416" s="4" customFormat="1" ht="15.75" customHeight="1"/>
    <row r="417" s="4" customFormat="1" ht="15.75" customHeight="1"/>
    <row r="418" s="4" customFormat="1" ht="15.75" customHeight="1"/>
    <row r="419" s="4" customFormat="1" ht="15.75" customHeight="1"/>
    <row r="420" s="4" customFormat="1" ht="15.75" customHeight="1"/>
    <row r="421" s="4" customFormat="1" ht="15.75" customHeight="1"/>
    <row r="422" s="4" customFormat="1" ht="15.75" customHeight="1"/>
    <row r="423" s="4" customFormat="1" ht="15.75" customHeight="1"/>
    <row r="424" s="4" customFormat="1" ht="15.75" customHeight="1"/>
    <row r="425" s="4" customFormat="1" ht="15.75" customHeight="1"/>
    <row r="426" s="4" customFormat="1" ht="15.75" customHeight="1"/>
    <row r="427" s="4" customFormat="1" ht="15.75" customHeight="1"/>
    <row r="428" s="4" customFormat="1" ht="15.75" customHeight="1"/>
    <row r="429" s="4" customFormat="1" ht="15.75" customHeight="1"/>
    <row r="430" s="4" customFormat="1" ht="15.75" customHeight="1"/>
    <row r="431" s="4" customFormat="1" ht="15.75" customHeight="1"/>
    <row r="432" s="4" customFormat="1" ht="15.75" customHeight="1"/>
    <row r="433" s="4" customFormat="1" ht="15.75" customHeight="1"/>
    <row r="434" s="4" customFormat="1" ht="15.75" customHeight="1"/>
    <row r="435" s="4" customFormat="1" ht="15.75" customHeight="1"/>
    <row r="436" s="4" customFormat="1" ht="15.75" customHeight="1"/>
    <row r="437" s="4" customFormat="1" ht="15.75" customHeight="1"/>
    <row r="438" s="4" customFormat="1" ht="15.75" customHeight="1"/>
    <row r="439" s="4" customFormat="1" ht="15.75" customHeight="1"/>
    <row r="440" s="4" customFormat="1" ht="15.75" customHeight="1"/>
    <row r="441" s="4" customFormat="1" ht="15.75" customHeight="1"/>
    <row r="442" s="4" customFormat="1" ht="15.75" customHeight="1"/>
    <row r="443" s="4" customFormat="1" ht="15.75" customHeight="1"/>
    <row r="444" s="4" customFormat="1" ht="15.75" customHeight="1"/>
    <row r="445" s="4" customFormat="1" ht="15.75" customHeight="1"/>
    <row r="446" s="4" customFormat="1" ht="15.75" customHeight="1"/>
    <row r="447" s="4" customFormat="1" ht="15.75" customHeight="1"/>
    <row r="448" s="4" customFormat="1" ht="15.75" customHeight="1"/>
    <row r="449" s="4" customFormat="1" ht="15.75" customHeight="1"/>
    <row r="450" s="4" customFormat="1" ht="15.75" customHeight="1"/>
    <row r="451" s="4" customFormat="1" ht="15.75" customHeight="1"/>
    <row r="452" s="4" customFormat="1" ht="15.75" customHeight="1"/>
    <row r="453" s="4" customFormat="1" ht="15.75" customHeight="1"/>
    <row r="454" s="4" customFormat="1" ht="15.75" customHeight="1"/>
    <row r="455" s="4" customFormat="1" ht="15.75" customHeight="1"/>
    <row r="456" s="4" customFormat="1" ht="15.75" customHeight="1"/>
    <row r="457" s="4" customFormat="1" ht="15.75" customHeight="1"/>
    <row r="458" s="4" customFormat="1" ht="15.75" customHeight="1"/>
    <row r="459" s="4" customFormat="1" ht="15.75" customHeight="1"/>
    <row r="460" s="4" customFormat="1" ht="15.75" customHeight="1"/>
    <row r="461" s="4" customFormat="1" ht="15.75" customHeight="1"/>
    <row r="462" s="4" customFormat="1" ht="15.75" customHeight="1"/>
    <row r="463" s="4" customFormat="1" ht="15.75" customHeight="1"/>
    <row r="464" s="4" customFormat="1" ht="15.75" customHeight="1"/>
    <row r="465" s="4" customFormat="1" ht="15.75" customHeight="1"/>
    <row r="466" s="4" customFormat="1" ht="15.75" customHeight="1"/>
    <row r="467" s="4" customFormat="1" ht="15.75" customHeight="1"/>
    <row r="468" s="4" customFormat="1" ht="15.75" customHeight="1"/>
    <row r="469" s="4" customFormat="1" ht="15.75" customHeight="1"/>
    <row r="470" s="4" customFormat="1" ht="15.75" customHeight="1"/>
    <row r="471" s="4" customFormat="1" ht="15.75" customHeight="1"/>
    <row r="472" s="4" customFormat="1" ht="15.75" customHeight="1"/>
    <row r="473" s="4" customFormat="1" ht="15.75" customHeight="1"/>
    <row r="474" s="4" customFormat="1" ht="15.75" customHeight="1"/>
    <row r="475" s="4" customFormat="1" ht="15.75" customHeight="1"/>
    <row r="476" s="4" customFormat="1" ht="15.75" customHeight="1"/>
    <row r="477" s="4" customFormat="1" ht="15.75" customHeight="1"/>
    <row r="478" s="4" customFormat="1" ht="15.75" customHeight="1"/>
    <row r="479" s="4" customFormat="1" ht="15.75" customHeight="1"/>
    <row r="480" s="4" customFormat="1" ht="15.75" customHeight="1"/>
    <row r="481" s="4" customFormat="1" ht="15.75" customHeight="1"/>
    <row r="482" s="4" customFormat="1" ht="15.75" customHeight="1"/>
    <row r="483" s="4" customFormat="1" ht="15.75" customHeight="1"/>
    <row r="484" s="4" customFormat="1" ht="15.75" customHeight="1"/>
    <row r="485" s="4" customFormat="1" ht="15.75" customHeight="1"/>
    <row r="486" s="4" customFormat="1" ht="15.75" customHeight="1"/>
    <row r="487" s="4" customFormat="1" ht="15.75" customHeight="1"/>
    <row r="488" s="4" customFormat="1" ht="15.75" customHeight="1"/>
    <row r="489" s="4" customFormat="1" ht="15.75" customHeight="1"/>
    <row r="490" s="4" customFormat="1" ht="15.75" customHeight="1"/>
    <row r="491" s="4" customFormat="1" ht="15.75" customHeight="1"/>
    <row r="492" s="4" customFormat="1" ht="15.75" customHeight="1"/>
    <row r="493" s="4" customFormat="1" ht="15.75" customHeight="1"/>
    <row r="494" s="4" customFormat="1" ht="15.75" customHeight="1"/>
    <row r="495" s="4" customFormat="1" ht="15.75" customHeight="1"/>
    <row r="496" s="4" customFormat="1" ht="15.75" customHeight="1"/>
    <row r="497" s="4" customFormat="1" ht="15.75" customHeight="1"/>
    <row r="498" s="4" customFormat="1" ht="15.75" customHeight="1"/>
    <row r="499" s="4" customFormat="1" ht="15.75" customHeight="1"/>
    <row r="500" s="4" customFormat="1" ht="15.75" customHeight="1"/>
    <row r="501" s="4" customFormat="1" ht="15.75" customHeight="1"/>
    <row r="502" s="4" customFormat="1" ht="15.75" customHeight="1"/>
    <row r="503" s="4" customFormat="1" ht="15.75" customHeight="1"/>
    <row r="504" s="4" customFormat="1" ht="15.75" customHeight="1"/>
    <row r="505" s="4" customFormat="1" ht="15.75" customHeight="1"/>
    <row r="506" s="4" customFormat="1" ht="15.75" customHeight="1"/>
    <row r="507" s="4" customFormat="1" ht="15.75" customHeight="1"/>
    <row r="508" s="4" customFormat="1" ht="15.75" customHeight="1"/>
    <row r="509" s="4" customFormat="1" ht="15.75" customHeight="1"/>
    <row r="510" s="4" customFormat="1" ht="15.75" customHeight="1"/>
    <row r="511" s="4" customFormat="1" ht="15.75" customHeight="1"/>
    <row r="512" s="4" customFormat="1" ht="15.75" customHeight="1"/>
    <row r="513" s="4" customFormat="1" ht="15.75" customHeight="1"/>
    <row r="514" s="4" customFormat="1" ht="15.75" customHeight="1"/>
    <row r="515" s="4" customFormat="1" ht="15.75" customHeight="1"/>
    <row r="516" s="4" customFormat="1" ht="15.75" customHeight="1"/>
    <row r="517" s="4" customFormat="1" ht="15.75" customHeight="1"/>
    <row r="518" s="4" customFormat="1" ht="15.75" customHeight="1"/>
    <row r="519" s="4" customFormat="1" ht="15.75" customHeight="1"/>
    <row r="520" s="4" customFormat="1" ht="15.75" customHeight="1"/>
    <row r="521" s="4" customFormat="1" ht="15.75" customHeight="1"/>
    <row r="522" s="4" customFormat="1" ht="15.75" customHeight="1"/>
    <row r="523" s="4" customFormat="1" ht="15.75" customHeight="1"/>
    <row r="524" s="4" customFormat="1" ht="15.75" customHeight="1"/>
    <row r="525" s="4" customFormat="1" ht="15.75" customHeight="1"/>
    <row r="526" s="4" customFormat="1" ht="15.75" customHeight="1"/>
    <row r="527" s="4" customFormat="1" ht="15.75" customHeight="1"/>
    <row r="528" s="4" customFormat="1" ht="15.75" customHeight="1"/>
    <row r="529" s="4" customFormat="1" ht="15.75" customHeight="1"/>
    <row r="530" s="4" customFormat="1" ht="15.75" customHeight="1"/>
    <row r="531" s="4" customFormat="1" ht="15.75" customHeight="1"/>
    <row r="532" s="4" customFormat="1" ht="15.75" customHeight="1"/>
    <row r="533" s="4" customFormat="1" ht="15.75" customHeight="1"/>
    <row r="534" s="4" customFormat="1" ht="15.75" customHeight="1"/>
    <row r="535" s="4" customFormat="1" ht="15.75" customHeight="1"/>
    <row r="536" s="4" customFormat="1" ht="15.75" customHeight="1"/>
    <row r="537" s="4" customFormat="1" ht="15.75" customHeight="1"/>
    <row r="538" s="4" customFormat="1" ht="15.75" customHeight="1"/>
    <row r="539" s="4" customFormat="1" ht="15.75" customHeight="1"/>
    <row r="540" s="4" customFormat="1" ht="15.75" customHeight="1"/>
    <row r="541" s="4" customFormat="1" ht="15.75" customHeight="1"/>
    <row r="542" s="4" customFormat="1" ht="15.75" customHeight="1"/>
    <row r="543" s="4" customFormat="1" ht="15.75" customHeight="1"/>
    <row r="544" s="4" customFormat="1" ht="15.75" customHeight="1"/>
    <row r="545" s="4" customFormat="1" ht="15.75" customHeight="1"/>
    <row r="546" s="4" customFormat="1" ht="15.75" customHeight="1"/>
    <row r="547" s="4" customFormat="1" ht="15.75" customHeight="1"/>
    <row r="548" s="4" customFormat="1" ht="15.75" customHeight="1"/>
    <row r="549" s="4" customFormat="1" ht="15.75" customHeight="1"/>
    <row r="550" s="4" customFormat="1" ht="15.75" customHeight="1"/>
    <row r="551" s="4" customFormat="1" ht="15.75" customHeight="1"/>
    <row r="552" s="4" customFormat="1" ht="15.75" customHeight="1"/>
    <row r="553" s="4" customFormat="1" ht="15.75" customHeight="1"/>
    <row r="554" s="4" customFormat="1" ht="15.75" customHeight="1"/>
    <row r="555" s="4" customFormat="1" ht="15.75" customHeight="1"/>
    <row r="556" s="4" customFormat="1" ht="15.75" customHeight="1"/>
    <row r="557" s="4" customFormat="1" ht="15.75" customHeight="1"/>
    <row r="558" s="4" customFormat="1" ht="15.75" customHeight="1"/>
    <row r="559" s="4" customFormat="1" ht="15.75" customHeight="1"/>
    <row r="560" s="4" customFormat="1" ht="15.75" customHeight="1"/>
    <row r="561" s="4" customFormat="1" ht="15.75" customHeight="1"/>
    <row r="562" s="4" customFormat="1" ht="15.75" customHeight="1"/>
    <row r="563" s="4" customFormat="1" ht="15.75" customHeight="1"/>
    <row r="564" s="4" customFormat="1" ht="15.75" customHeight="1"/>
    <row r="565" s="4" customFormat="1" ht="15.75" customHeight="1"/>
    <row r="566" s="4" customFormat="1" ht="15.75" customHeight="1"/>
    <row r="567" s="4" customFormat="1" ht="15.75" customHeight="1"/>
    <row r="568" s="4" customFormat="1" ht="15.75" customHeight="1"/>
    <row r="569" s="4" customFormat="1" ht="15.75" customHeight="1"/>
    <row r="570" s="4" customFormat="1" ht="15.75" customHeight="1"/>
    <row r="571" s="4" customFormat="1" ht="15.75" customHeight="1"/>
    <row r="572" s="4" customFormat="1" ht="15.75" customHeight="1"/>
    <row r="573" s="4" customFormat="1" ht="15.75" customHeight="1"/>
    <row r="574" s="4" customFormat="1" ht="15.75" customHeight="1"/>
    <row r="575" s="4" customFormat="1" ht="15.75" customHeight="1"/>
    <row r="576" s="4" customFormat="1" ht="15.75" customHeight="1"/>
    <row r="577" s="4" customFormat="1" ht="15.75" customHeight="1"/>
    <row r="578" s="4" customFormat="1" ht="15.75" customHeight="1"/>
    <row r="579" s="4" customFormat="1" ht="15.75" customHeight="1"/>
    <row r="580" s="4" customFormat="1" ht="15.75" customHeight="1"/>
    <row r="581" s="4" customFormat="1" ht="15.75" customHeight="1"/>
    <row r="582" s="4" customFormat="1" ht="15.75" customHeight="1"/>
    <row r="583" s="4" customFormat="1" ht="15.75" customHeight="1"/>
    <row r="584" s="4" customFormat="1" ht="15.75" customHeight="1"/>
    <row r="585" s="4" customFormat="1" ht="15.75" customHeight="1"/>
    <row r="586" s="4" customFormat="1" ht="15.75" customHeight="1"/>
    <row r="587" s="4" customFormat="1" ht="15.75" customHeight="1"/>
    <row r="588" s="4" customFormat="1" ht="15.75" customHeight="1"/>
    <row r="589" s="4" customFormat="1" ht="15.75" customHeight="1"/>
    <row r="590" s="4" customFormat="1" ht="15.75" customHeight="1"/>
    <row r="591" s="4" customFormat="1" ht="15.75" customHeight="1"/>
    <row r="592" s="4" customFormat="1" ht="15.75" customHeight="1"/>
    <row r="593" s="4" customFormat="1" ht="15.75" customHeight="1"/>
    <row r="594" s="4" customFormat="1" ht="15.75" customHeight="1"/>
    <row r="595" s="4" customFormat="1" ht="15.75" customHeight="1"/>
    <row r="596" s="4" customFormat="1" ht="15.75" customHeight="1"/>
    <row r="597" s="4" customFormat="1" ht="15.75" customHeight="1"/>
    <row r="598" s="4" customFormat="1" ht="15.75" customHeight="1"/>
    <row r="599" s="4" customFormat="1" ht="15.75" customHeight="1"/>
    <row r="600" s="4" customFormat="1" ht="15.75" customHeight="1"/>
    <row r="601" s="4" customFormat="1" ht="15.75" customHeight="1"/>
    <row r="602" s="4" customFormat="1" ht="15.75" customHeight="1"/>
    <row r="603" s="4" customFormat="1" ht="15.75" customHeight="1"/>
    <row r="604" s="4" customFormat="1" ht="15.75" customHeight="1"/>
    <row r="605" s="4" customFormat="1" ht="15.75" customHeight="1"/>
    <row r="606" s="4" customFormat="1" ht="15.75" customHeight="1"/>
    <row r="607" s="4" customFormat="1" ht="15.75" customHeight="1"/>
    <row r="608" s="4" customFormat="1" ht="15.75" customHeight="1"/>
    <row r="609" s="4" customFormat="1" ht="15.75" customHeight="1"/>
    <row r="610" s="4" customFormat="1" ht="15.75" customHeight="1"/>
    <row r="611" s="4" customFormat="1" ht="15.75" customHeight="1"/>
    <row r="612" s="4" customFormat="1" ht="15.75" customHeight="1"/>
    <row r="613" s="4" customFormat="1" ht="15.75" customHeight="1"/>
    <row r="614" s="4" customFormat="1" ht="15.75" customHeight="1"/>
    <row r="615" s="4" customFormat="1" ht="15.75" customHeight="1"/>
    <row r="616" s="4" customFormat="1" ht="15.75" customHeight="1"/>
    <row r="617" s="4" customFormat="1" ht="15.75" customHeight="1"/>
    <row r="618" s="4" customFormat="1" ht="15.75" customHeight="1"/>
    <row r="619" s="4" customFormat="1" ht="15.75" customHeight="1"/>
    <row r="620" s="4" customFormat="1" ht="15.75" customHeight="1"/>
    <row r="621" s="4" customFormat="1" ht="15.75" customHeight="1"/>
    <row r="622" s="4" customFormat="1" ht="15.75" customHeight="1"/>
    <row r="623" s="4" customFormat="1" ht="15.75" customHeight="1"/>
    <row r="624" s="4" customFormat="1" ht="15.75" customHeight="1"/>
    <row r="625" s="4" customFormat="1" ht="15.75" customHeight="1"/>
    <row r="626" s="4" customFormat="1" ht="15.75" customHeight="1"/>
    <row r="627" s="4" customFormat="1" ht="15.75" customHeight="1"/>
    <row r="628" s="4" customFormat="1" ht="15.75" customHeight="1"/>
    <row r="629" s="4" customFormat="1" ht="15.75" customHeight="1"/>
    <row r="630" s="4" customFormat="1" ht="15.75" customHeight="1"/>
    <row r="631" s="4" customFormat="1" ht="15.75" customHeight="1"/>
    <row r="632" s="4" customFormat="1" ht="15.75" customHeight="1"/>
    <row r="633" s="4" customFormat="1" ht="15.75" customHeight="1"/>
    <row r="634" s="4" customFormat="1" ht="15.75" customHeight="1"/>
    <row r="635" s="4" customFormat="1" ht="15.75" customHeight="1"/>
    <row r="636" s="4" customFormat="1" ht="15.75" customHeight="1"/>
    <row r="637" s="4" customFormat="1" ht="15.75" customHeight="1"/>
    <row r="638" s="4" customFormat="1" ht="15.75" customHeight="1"/>
    <row r="639" s="4" customFormat="1" ht="15.75" customHeight="1"/>
    <row r="640" s="4" customFormat="1" ht="15.75" customHeight="1"/>
    <row r="641" s="4" customFormat="1" ht="15.75" customHeight="1"/>
    <row r="642" s="4" customFormat="1" ht="15.75" customHeight="1"/>
    <row r="643" s="4" customFormat="1" ht="15.75" customHeight="1"/>
    <row r="644" s="4" customFormat="1" ht="15.75" customHeight="1"/>
    <row r="645" s="4" customFormat="1" ht="15.75" customHeight="1"/>
    <row r="646" s="4" customFormat="1" ht="15.75" customHeight="1"/>
    <row r="647" s="4" customFormat="1" ht="15.75" customHeight="1"/>
    <row r="648" s="4" customFormat="1" ht="15.75" customHeight="1"/>
    <row r="649" s="4" customFormat="1" ht="15.75" customHeight="1"/>
    <row r="650" s="4" customFormat="1" ht="15.75" customHeight="1"/>
    <row r="651" s="4" customFormat="1" ht="15.75" customHeight="1"/>
    <row r="652" s="4" customFormat="1" ht="15.75" customHeight="1"/>
    <row r="653" s="4" customFormat="1" ht="15.75" customHeight="1"/>
    <row r="654" s="4" customFormat="1" ht="15.75" customHeight="1"/>
    <row r="655" s="4" customFormat="1" ht="15.75" customHeight="1"/>
    <row r="656" s="4" customFormat="1" ht="15.75" customHeight="1"/>
    <row r="657" s="4" customFormat="1" ht="15.75" customHeight="1"/>
    <row r="658" s="4" customFormat="1" ht="15.75" customHeight="1"/>
    <row r="659" s="4" customFormat="1" ht="15.75" customHeight="1"/>
    <row r="660" s="4" customFormat="1" ht="15.75" customHeight="1"/>
    <row r="661" s="4" customFormat="1" ht="15.75" customHeight="1"/>
    <row r="662" s="4" customFormat="1" ht="15.75" customHeight="1"/>
    <row r="663" s="4" customFormat="1" ht="15.75" customHeight="1"/>
    <row r="664" s="4" customFormat="1" ht="15.75" customHeight="1"/>
    <row r="665" s="4" customFormat="1" ht="15.75" customHeight="1"/>
    <row r="666" s="4" customFormat="1" ht="15.75" customHeight="1"/>
    <row r="667" s="4" customFormat="1" ht="15.75" customHeight="1"/>
    <row r="668" s="4" customFormat="1" ht="15.75" customHeight="1"/>
    <row r="669" s="4" customFormat="1" ht="15.75" customHeight="1"/>
    <row r="670" s="4" customFormat="1" ht="15.75" customHeight="1"/>
    <row r="671" s="4" customFormat="1" ht="15.75" customHeight="1"/>
    <row r="672" s="4" customFormat="1" ht="15.75" customHeight="1"/>
    <row r="673" s="4" customFormat="1" ht="15.75" customHeight="1"/>
    <row r="674" s="4" customFormat="1" ht="15.75" customHeight="1"/>
    <row r="675" s="4" customFormat="1" ht="15.75" customHeight="1"/>
    <row r="676" s="4" customFormat="1" ht="15.75" customHeight="1"/>
    <row r="677" s="4" customFormat="1" ht="15.75" customHeight="1"/>
    <row r="678" s="4" customFormat="1" ht="15.75" customHeight="1"/>
    <row r="679" s="4" customFormat="1" ht="15.75" customHeight="1"/>
    <row r="680" s="4" customFormat="1" ht="15.75" customHeight="1"/>
    <row r="681" s="4" customFormat="1" ht="15.75" customHeight="1"/>
    <row r="682" s="4" customFormat="1" ht="15.75" customHeight="1"/>
    <row r="683" s="4" customFormat="1" ht="15.75" customHeight="1"/>
    <row r="684" s="4" customFormat="1" ht="15.75" customHeight="1"/>
    <row r="685" s="4" customFormat="1" ht="15.75" customHeight="1"/>
    <row r="686" s="4" customFormat="1" ht="15.75" customHeight="1"/>
    <row r="687" s="4" customFormat="1" ht="15.75" customHeight="1"/>
    <row r="688" s="4" customFormat="1" ht="15.75" customHeight="1"/>
    <row r="689" s="4" customFormat="1" ht="15.75" customHeight="1"/>
    <row r="690" s="4" customFormat="1" ht="15.75" customHeight="1"/>
    <row r="691" s="4" customFormat="1" ht="15.75" customHeight="1"/>
    <row r="692" s="4" customFormat="1" ht="15.75" customHeight="1"/>
    <row r="693" s="4" customFormat="1" ht="15.75" customHeight="1"/>
    <row r="694" s="4" customFormat="1" ht="15.75" customHeight="1"/>
    <row r="695" s="4" customFormat="1" ht="15.75" customHeight="1"/>
    <row r="696" s="4" customFormat="1" ht="15.75" customHeight="1"/>
    <row r="697" s="4" customFormat="1" ht="15.75" customHeight="1"/>
    <row r="698" s="4" customFormat="1" ht="15.75" customHeight="1"/>
    <row r="699" s="4" customFormat="1" ht="15.75" customHeight="1"/>
    <row r="700" s="4" customFormat="1" ht="15.75" customHeight="1"/>
    <row r="701" s="4" customFormat="1" ht="15.75" customHeight="1"/>
    <row r="702" s="4" customFormat="1" ht="15.75" customHeight="1"/>
    <row r="703" s="4" customFormat="1" ht="15.75" customHeight="1"/>
    <row r="704" s="4" customFormat="1" ht="15.75" customHeight="1"/>
    <row r="705" s="4" customFormat="1" ht="15.75" customHeight="1"/>
    <row r="706" s="4" customFormat="1" ht="15.75" customHeight="1"/>
    <row r="707" s="4" customFormat="1" ht="15.75" customHeight="1"/>
    <row r="708" s="4" customFormat="1" ht="15.75" customHeight="1"/>
    <row r="709" s="4" customFormat="1" ht="15.75" customHeight="1"/>
    <row r="710" s="4" customFormat="1" ht="15.75" customHeight="1"/>
    <row r="711" s="4" customFormat="1" ht="15.75" customHeight="1"/>
    <row r="712" s="4" customFormat="1" ht="15.75" customHeight="1"/>
    <row r="713" s="4" customFormat="1" ht="15.75" customHeight="1"/>
    <row r="714" s="4" customFormat="1" ht="15.75" customHeight="1"/>
    <row r="715" s="4" customFormat="1" ht="15.75" customHeight="1"/>
    <row r="716" s="4" customFormat="1" ht="15.75" customHeight="1"/>
    <row r="717" s="4" customFormat="1" ht="15.75" customHeight="1"/>
    <row r="718" s="4" customFormat="1" ht="15.75" customHeight="1"/>
    <row r="719" s="4" customFormat="1" ht="15.75" customHeight="1"/>
    <row r="720" s="4" customFormat="1" ht="15.75" customHeight="1"/>
    <row r="721" s="4" customFormat="1" ht="15.75" customHeight="1"/>
    <row r="722" s="4" customFormat="1" ht="15.75" customHeight="1"/>
    <row r="723" s="4" customFormat="1" ht="15.75" customHeight="1"/>
    <row r="724" s="4" customFormat="1" ht="15.75" customHeight="1"/>
    <row r="725" s="4" customFormat="1" ht="15.75" customHeight="1"/>
    <row r="726" s="4" customFormat="1" ht="15.75" customHeight="1"/>
    <row r="727" s="4" customFormat="1" ht="15.75" customHeight="1"/>
    <row r="728" s="4" customFormat="1" ht="15.75" customHeight="1"/>
    <row r="729" s="4" customFormat="1" ht="15.75" customHeight="1"/>
    <row r="730" s="4" customFormat="1" ht="15.75" customHeight="1"/>
    <row r="731" s="4" customFormat="1" ht="15.75" customHeight="1"/>
    <row r="732" s="4" customFormat="1" ht="15.75" customHeight="1"/>
    <row r="733" s="4" customFormat="1" ht="15.75" customHeight="1"/>
    <row r="734" s="4" customFormat="1" ht="15.75" customHeight="1"/>
    <row r="735" s="4" customFormat="1" ht="15.75" customHeight="1"/>
    <row r="736" s="4" customFormat="1" ht="15.75" customHeight="1"/>
    <row r="737" s="4" customFormat="1" ht="15.75" customHeight="1"/>
    <row r="738" s="4" customFormat="1" ht="15.75" customHeight="1"/>
    <row r="739" s="4" customFormat="1" ht="15.75" customHeight="1"/>
    <row r="740" s="4" customFormat="1" ht="15.75" customHeight="1"/>
    <row r="741" s="4" customFormat="1" ht="15.75" customHeight="1"/>
    <row r="742" s="4" customFormat="1" ht="15.75" customHeight="1"/>
    <row r="743" s="4" customFormat="1" ht="15.75" customHeight="1"/>
    <row r="744" s="4" customFormat="1" ht="15.75" customHeight="1"/>
    <row r="745" s="4" customFormat="1" ht="15.75" customHeight="1"/>
    <row r="746" s="4" customFormat="1" ht="15.75" customHeight="1"/>
    <row r="747" s="4" customFormat="1" ht="15.75" customHeight="1"/>
    <row r="748" s="4" customFormat="1" ht="15.75" customHeight="1"/>
    <row r="749" s="4" customFormat="1" ht="15.75" customHeight="1"/>
    <row r="750" s="4" customFormat="1" ht="15.75" customHeight="1"/>
    <row r="751" s="4" customFormat="1" ht="15.75" customHeight="1"/>
    <row r="752" s="4" customFormat="1" ht="15.75" customHeight="1"/>
    <row r="753" s="4" customFormat="1" ht="15.75" customHeight="1"/>
    <row r="754" s="4" customFormat="1" ht="15.75" customHeight="1"/>
    <row r="755" s="4" customFormat="1" ht="15.75" customHeight="1"/>
    <row r="756" s="4" customFormat="1" ht="15.75" customHeight="1"/>
    <row r="757" s="4" customFormat="1" ht="15.75" customHeight="1"/>
    <row r="758" s="4" customFormat="1" ht="15.75" customHeight="1"/>
    <row r="759" s="4" customFormat="1" ht="15.75" customHeight="1"/>
    <row r="760" s="4" customFormat="1" ht="15.75" customHeight="1"/>
    <row r="761" s="4" customFormat="1" ht="15.75" customHeight="1"/>
    <row r="762" s="4" customFormat="1" ht="15.75" customHeight="1"/>
    <row r="763" s="4" customFormat="1" ht="15.75" customHeight="1"/>
    <row r="764" s="4" customFormat="1" ht="15.75" customHeight="1"/>
    <row r="765" s="4" customFormat="1" ht="15.75" customHeight="1"/>
    <row r="766" s="4" customFormat="1" ht="15.75" customHeight="1"/>
    <row r="767" s="4" customFormat="1" ht="15.75" customHeight="1"/>
    <row r="768" s="4" customFormat="1" ht="15.75" customHeight="1"/>
    <row r="769" s="4" customFormat="1" ht="15.75" customHeight="1"/>
    <row r="770" s="4" customFormat="1" ht="15.75" customHeight="1"/>
    <row r="771" s="4" customFormat="1" ht="15.75" customHeight="1"/>
    <row r="772" s="4" customFormat="1" ht="15.75" customHeight="1"/>
    <row r="773" s="4" customFormat="1" ht="15.75" customHeight="1"/>
    <row r="774" s="4" customFormat="1" ht="15.75" customHeight="1"/>
    <row r="775" s="4" customFormat="1" ht="15.75" customHeight="1"/>
    <row r="776" s="4" customFormat="1" ht="15.75" customHeight="1"/>
    <row r="777" s="4" customFormat="1" ht="15.75" customHeight="1"/>
    <row r="778" s="4" customFormat="1" ht="15.75" customHeight="1"/>
    <row r="779" s="4" customFormat="1" ht="15.75" customHeight="1"/>
    <row r="780" s="4" customFormat="1" ht="15.75" customHeight="1"/>
    <row r="781" s="4" customFormat="1" ht="15.75" customHeight="1"/>
    <row r="782" s="4" customFormat="1" ht="15.75" customHeight="1"/>
    <row r="783" s="4" customFormat="1" ht="15.75" customHeight="1"/>
    <row r="784" s="4" customFormat="1" ht="15.75" customHeight="1"/>
    <row r="785" s="4" customFormat="1" ht="15.75" customHeight="1"/>
    <row r="786" s="4" customFormat="1" ht="15.75" customHeight="1"/>
    <row r="787" s="4" customFormat="1" ht="15.75" customHeight="1"/>
    <row r="788" s="4" customFormat="1" ht="15.75" customHeight="1"/>
    <row r="789" s="4" customFormat="1" ht="15.75" customHeight="1"/>
    <row r="790" s="4" customFormat="1" ht="15.75" customHeight="1"/>
    <row r="791" s="4" customFormat="1" ht="15.75" customHeight="1"/>
    <row r="792" s="4" customFormat="1" ht="15.75" customHeight="1"/>
    <row r="793" s="4" customFormat="1" ht="15.75" customHeight="1"/>
    <row r="794" s="4" customFormat="1" ht="15.75" customHeight="1"/>
    <row r="795" s="4" customFormat="1" ht="15.75" customHeight="1"/>
    <row r="796" s="4" customFormat="1" ht="15.75" customHeight="1"/>
    <row r="797" s="4" customFormat="1" ht="15.75" customHeight="1"/>
    <row r="798" s="4" customFormat="1" ht="15.75" customHeight="1"/>
    <row r="799" s="4" customFormat="1" ht="15.75" customHeight="1"/>
    <row r="800" s="4" customFormat="1" ht="15.75" customHeight="1"/>
    <row r="801" s="4" customFormat="1" ht="15.75" customHeight="1"/>
    <row r="802" s="4" customFormat="1" ht="15.75" customHeight="1"/>
    <row r="803" s="4" customFormat="1" ht="15.75" customHeight="1"/>
    <row r="804" s="4" customFormat="1" ht="15.75" customHeight="1"/>
    <row r="805" s="4" customFormat="1" ht="15.75" customHeight="1"/>
    <row r="806" s="4" customFormat="1" ht="15.75" customHeight="1"/>
    <row r="807" s="4" customFormat="1" ht="15.75" customHeight="1"/>
    <row r="808" s="4" customFormat="1" ht="15.75" customHeight="1"/>
    <row r="809" s="4" customFormat="1" ht="15.75" customHeight="1"/>
    <row r="810" s="4" customFormat="1" ht="15.75" customHeight="1"/>
    <row r="811" s="4" customFormat="1" ht="15.75" customHeight="1"/>
    <row r="812" s="4" customFormat="1" ht="15.75" customHeight="1"/>
    <row r="813" s="4" customFormat="1" ht="15.75" customHeight="1"/>
    <row r="814" s="4" customFormat="1" ht="15.75" customHeight="1"/>
    <row r="815" s="4" customFormat="1" ht="15.75" customHeight="1"/>
    <row r="816" s="4" customFormat="1" ht="15.75" customHeight="1"/>
    <row r="817" s="4" customFormat="1" ht="15.75" customHeight="1"/>
    <row r="818" s="4" customFormat="1" ht="15.75" customHeight="1"/>
    <row r="819" s="4" customFormat="1" ht="15.75" customHeight="1"/>
    <row r="820" s="4" customFormat="1" ht="15.75" customHeight="1"/>
    <row r="821" s="4" customFormat="1" ht="15.75" customHeight="1"/>
    <row r="822" s="4" customFormat="1" ht="15.75" customHeight="1"/>
    <row r="823" s="4" customFormat="1" ht="15.75" customHeight="1"/>
    <row r="824" s="4" customFormat="1" ht="15.75" customHeight="1"/>
    <row r="825" s="4" customFormat="1" ht="15.75" customHeight="1"/>
    <row r="826" s="4" customFormat="1" ht="15.75" customHeight="1"/>
    <row r="827" s="4" customFormat="1" ht="15.75" customHeight="1"/>
    <row r="828" s="4" customFormat="1" ht="15.75" customHeight="1"/>
    <row r="829" s="4" customFormat="1" ht="15.75" customHeight="1"/>
    <row r="830" s="4" customFormat="1" ht="15.75" customHeight="1"/>
    <row r="831" s="4" customFormat="1" ht="15.75" customHeight="1"/>
    <row r="832" s="4" customFormat="1" ht="15.75" customHeight="1"/>
    <row r="833" s="4" customFormat="1" ht="15.75" customHeight="1"/>
    <row r="834" s="4" customFormat="1" ht="15.75" customHeight="1"/>
    <row r="835" s="4" customFormat="1" ht="15.75" customHeight="1"/>
    <row r="836" s="4" customFormat="1" ht="15.75" customHeight="1"/>
    <row r="837" s="4" customFormat="1" ht="15.75" customHeight="1"/>
    <row r="838" s="4" customFormat="1" ht="15.75" customHeight="1"/>
    <row r="839" s="4" customFormat="1" ht="15.75" customHeight="1"/>
    <row r="840" s="4" customFormat="1" ht="15.75" customHeight="1"/>
    <row r="841" s="4" customFormat="1" ht="15.75" customHeight="1"/>
    <row r="842" s="4" customFormat="1" ht="15.75" customHeight="1"/>
    <row r="843" s="4" customFormat="1" ht="15.75" customHeight="1"/>
    <row r="844" s="4" customFormat="1" ht="15.75" customHeight="1"/>
    <row r="845" s="4" customFormat="1" ht="15.75" customHeight="1"/>
    <row r="846" s="4" customFormat="1" ht="15.75" customHeight="1"/>
    <row r="847" s="4" customFormat="1" ht="15.75" customHeight="1"/>
    <row r="848" s="4" customFormat="1" ht="15.75" customHeight="1"/>
    <row r="849" s="4" customFormat="1" ht="15.75" customHeight="1"/>
    <row r="850" s="4" customFormat="1" ht="15.75" customHeight="1"/>
    <row r="851" s="4" customFormat="1" ht="15.75" customHeight="1"/>
    <row r="852" s="4" customFormat="1" ht="15.75" customHeight="1"/>
    <row r="853" s="4" customFormat="1" ht="15.75" customHeight="1"/>
    <row r="854" s="4" customFormat="1" ht="15.75" customHeight="1"/>
    <row r="855" s="4" customFormat="1" ht="15.75" customHeight="1"/>
    <row r="856" s="4" customFormat="1" ht="15.75" customHeight="1"/>
    <row r="857" s="4" customFormat="1" ht="15.75" customHeight="1"/>
    <row r="858" s="4" customFormat="1" ht="15.75" customHeight="1"/>
    <row r="859" s="4" customFormat="1" ht="15.75" customHeight="1"/>
    <row r="860" s="4" customFormat="1" ht="15.75" customHeight="1"/>
    <row r="861" s="4" customFormat="1" ht="15.75" customHeight="1"/>
    <row r="862" s="4" customFormat="1" ht="15.75" customHeight="1"/>
    <row r="863" s="4" customFormat="1" ht="15.75" customHeight="1"/>
    <row r="864" s="4" customFormat="1" ht="15.75" customHeight="1"/>
    <row r="865" s="4" customFormat="1" ht="15.75" customHeight="1"/>
    <row r="866" s="4" customFormat="1" ht="15.75" customHeight="1"/>
    <row r="867" s="4" customFormat="1" ht="15.75" customHeight="1"/>
    <row r="868" s="4" customFormat="1" ht="15.75" customHeight="1"/>
    <row r="869" s="4" customFormat="1" ht="15.75" customHeight="1"/>
    <row r="870" s="4" customFormat="1" ht="15.75" customHeight="1"/>
    <row r="871" s="4" customFormat="1" ht="15.75" customHeight="1"/>
    <row r="872" s="4" customFormat="1" ht="15.75" customHeight="1"/>
    <row r="873" s="4" customFormat="1" ht="15.75" customHeight="1"/>
    <row r="874" s="4" customFormat="1" ht="15.75" customHeight="1"/>
    <row r="875" s="4" customFormat="1" ht="15.75" customHeight="1"/>
    <row r="876" s="4" customFormat="1" ht="15.75" customHeight="1"/>
    <row r="877" s="4" customFormat="1" ht="15.75" customHeight="1"/>
    <row r="878" s="4" customFormat="1" ht="15.75" customHeight="1"/>
    <row r="879" s="4" customFormat="1" ht="15.75" customHeight="1"/>
    <row r="880" s="4" customFormat="1" ht="15.75" customHeight="1"/>
    <row r="881" s="4" customFormat="1" ht="15.75" customHeight="1"/>
    <row r="882" s="4" customFormat="1" ht="15.75" customHeight="1"/>
    <row r="883" s="4" customFormat="1" ht="15.75" customHeight="1"/>
    <row r="884" s="4" customFormat="1" ht="15.75" customHeight="1"/>
    <row r="885" s="4" customFormat="1" ht="15.75" customHeight="1"/>
    <row r="886" s="4" customFormat="1" ht="15.75" customHeight="1"/>
    <row r="887" s="4" customFormat="1" ht="15.75" customHeight="1"/>
    <row r="888" s="4" customFormat="1" ht="15.75" customHeight="1"/>
    <row r="889" s="4" customFormat="1" ht="15.75" customHeight="1"/>
    <row r="890" s="4" customFormat="1" ht="15.75" customHeight="1"/>
    <row r="891" s="4" customFormat="1" ht="15.75" customHeight="1"/>
    <row r="892" s="4" customFormat="1" ht="15.75" customHeight="1"/>
    <row r="893" s="4" customFormat="1" ht="15.75" customHeight="1"/>
    <row r="894" s="4" customFormat="1" ht="15.75" customHeight="1"/>
    <row r="895" s="4" customFormat="1" ht="15.75" customHeight="1"/>
    <row r="896" s="4" customFormat="1" ht="15.75" customHeight="1"/>
    <row r="897" s="4" customFormat="1" ht="15.75" customHeight="1"/>
    <row r="898" s="4" customFormat="1" ht="15.75" customHeight="1"/>
    <row r="899" s="4" customFormat="1" ht="15.75" customHeight="1"/>
    <row r="900" s="4" customFormat="1" ht="15.75" customHeight="1"/>
    <row r="901" s="4" customFormat="1" ht="15.75" customHeight="1"/>
    <row r="902" s="4" customFormat="1" ht="15.75" customHeight="1"/>
    <row r="903" s="4" customFormat="1" ht="15.75" customHeight="1"/>
    <row r="904" s="4" customFormat="1" ht="15.75" customHeight="1"/>
    <row r="905" s="4" customFormat="1" ht="15.75" customHeight="1"/>
    <row r="906" s="4" customFormat="1" ht="15.75" customHeight="1"/>
    <row r="907" s="4" customFormat="1" ht="15.75" customHeight="1"/>
    <row r="908" s="4" customFormat="1" ht="15.75" customHeight="1"/>
    <row r="909" s="4" customFormat="1" ht="15.75" customHeight="1"/>
    <row r="910" s="4" customFormat="1" ht="15.75" customHeight="1"/>
    <row r="911" s="4" customFormat="1" ht="15.75" customHeight="1"/>
    <row r="912" s="4" customFormat="1" ht="15.75" customHeight="1"/>
    <row r="913" s="4" customFormat="1" ht="15.75" customHeight="1"/>
    <row r="914" s="4" customFormat="1" ht="15.75" customHeight="1"/>
    <row r="915" s="4" customFormat="1" ht="15.75" customHeight="1"/>
    <row r="916" s="4" customFormat="1" ht="15.75" customHeight="1"/>
    <row r="917" s="4" customFormat="1" ht="15.75" customHeight="1"/>
    <row r="918" s="4" customFormat="1" ht="15.75" customHeight="1"/>
    <row r="919" s="4" customFormat="1" ht="15.75" customHeight="1"/>
    <row r="920" s="4" customFormat="1" ht="15.75" customHeight="1"/>
    <row r="921" s="4" customFormat="1" ht="15.75" customHeight="1"/>
    <row r="922" s="4" customFormat="1" ht="15.75" customHeight="1"/>
    <row r="923" s="4" customFormat="1" ht="15.75" customHeight="1"/>
    <row r="924" s="4" customFormat="1" ht="15.75" customHeight="1"/>
    <row r="925" s="4" customFormat="1" ht="15.75" customHeight="1"/>
    <row r="926" s="4" customFormat="1" ht="15.75" customHeight="1"/>
    <row r="927" s="4" customFormat="1" ht="15.75" customHeight="1"/>
    <row r="928" s="4" customFormat="1" ht="15.75" customHeight="1"/>
    <row r="929" s="4" customFormat="1" ht="15.75" customHeight="1"/>
    <row r="930" s="4" customFormat="1" ht="15.75" customHeight="1"/>
    <row r="931" s="4" customFormat="1" ht="15.75" customHeight="1"/>
    <row r="932" s="4" customFormat="1" ht="15.75" customHeight="1"/>
    <row r="933" s="4" customFormat="1" ht="15.75" customHeight="1"/>
    <row r="934" s="4" customFormat="1" ht="15.75" customHeight="1"/>
    <row r="935" s="4" customFormat="1" ht="15.75" customHeight="1"/>
    <row r="936" s="4" customFormat="1" ht="15.75" customHeight="1"/>
    <row r="937" s="4" customFormat="1" ht="15.75" customHeight="1"/>
    <row r="938" s="4" customFormat="1" ht="15.75" customHeight="1"/>
    <row r="939" s="4" customFormat="1" ht="15.75" customHeight="1"/>
    <row r="940" s="4" customFormat="1" ht="15.75" customHeight="1"/>
    <row r="941" s="4" customFormat="1" ht="15.75" customHeight="1"/>
    <row r="942" s="4" customFormat="1" ht="15.75" customHeight="1"/>
    <row r="943" s="4" customFormat="1" ht="15.75" customHeight="1"/>
    <row r="944" s="4" customFormat="1" ht="15.75" customHeight="1"/>
    <row r="945" s="4" customFormat="1" ht="15.75" customHeight="1"/>
    <row r="946" s="4" customFormat="1" ht="15.75" customHeight="1"/>
    <row r="947" s="4" customFormat="1" ht="15.75" customHeight="1"/>
    <row r="948" s="4" customFormat="1" ht="15.75" customHeight="1"/>
    <row r="949" s="4" customFormat="1" ht="15.75" customHeight="1"/>
    <row r="950" s="4" customFormat="1" ht="15.75" customHeight="1"/>
    <row r="951" s="4" customFormat="1" ht="15.75" customHeight="1"/>
    <row r="952" s="4" customFormat="1" ht="15.75" customHeight="1"/>
    <row r="953" s="4" customFormat="1" ht="15.75" customHeight="1"/>
    <row r="954" s="4" customFormat="1" ht="15.75" customHeight="1"/>
    <row r="955" s="4" customFormat="1" ht="15.75" customHeight="1"/>
    <row r="956" s="4" customFormat="1" ht="15.75" customHeight="1"/>
    <row r="957" s="4" customFormat="1" ht="15.75" customHeight="1"/>
    <row r="958" s="4" customFormat="1" ht="15.75" customHeight="1"/>
    <row r="959" s="4" customFormat="1" ht="15.75" customHeight="1"/>
    <row r="960" s="4" customFormat="1" ht="15.75" customHeight="1"/>
    <row r="961" s="4" customFormat="1" ht="15.75" customHeight="1"/>
    <row r="962" s="4" customFormat="1" ht="15.75" customHeight="1"/>
    <row r="963" s="4" customFormat="1" ht="15.75" customHeight="1"/>
    <row r="964" s="4" customFormat="1" ht="15.75" customHeight="1"/>
    <row r="965" s="4" customFormat="1" ht="15.75" customHeight="1"/>
    <row r="966" s="4" customFormat="1" ht="15.75" customHeight="1"/>
    <row r="967" s="4" customFormat="1" ht="15.75" customHeight="1"/>
    <row r="968" s="4" customFormat="1" ht="15.75" customHeight="1"/>
    <row r="969" s="4" customFormat="1" ht="15.75" customHeight="1"/>
    <row r="970" s="4" customFormat="1" ht="15.75" customHeight="1"/>
    <row r="971" s="4" customFormat="1" ht="15.75" customHeight="1"/>
    <row r="972" s="4" customFormat="1" ht="15.75" customHeight="1"/>
    <row r="973" s="4" customFormat="1" ht="15.75" customHeight="1"/>
    <row r="974" s="4" customFormat="1" ht="15.75" customHeight="1"/>
    <row r="975" s="4" customFormat="1" ht="15.75" customHeight="1"/>
    <row r="976" s="4" customFormat="1" ht="15.75" customHeight="1"/>
    <row r="977" s="4" customFormat="1" ht="15.75" customHeight="1"/>
    <row r="978" s="4" customFormat="1" ht="15.75" customHeight="1"/>
    <row r="979" s="4" customFormat="1" ht="15.75" customHeight="1"/>
    <row r="980" s="4" customFormat="1" ht="15.75" customHeight="1"/>
    <row r="981" s="4" customFormat="1" ht="15.75" customHeight="1"/>
    <row r="982" s="4" customFormat="1" ht="15.75" customHeight="1"/>
    <row r="983" s="4" customFormat="1" ht="15.75" customHeight="1"/>
    <row r="984" s="4" customFormat="1" ht="15.75" customHeight="1"/>
    <row r="985" s="4" customFormat="1" ht="15.75" customHeight="1"/>
    <row r="986" s="4" customFormat="1" ht="15.75" customHeight="1"/>
    <row r="987" s="4" customFormat="1" ht="15.75" customHeight="1"/>
    <row r="988" s="4" customFormat="1" ht="15.75" customHeight="1"/>
    <row r="989" s="4" customFormat="1" ht="15.75" customHeight="1"/>
    <row r="990" s="4" customFormat="1" ht="15.75" customHeight="1"/>
    <row r="991" s="4" customFormat="1" ht="15.75" customHeight="1"/>
    <row r="992" s="4" customFormat="1" ht="15.75" customHeight="1"/>
    <row r="993" s="4" customFormat="1" ht="15.75" customHeight="1"/>
    <row r="994" s="4" customFormat="1" ht="15.75" customHeight="1"/>
    <row r="995" s="4" customFormat="1" ht="15.75" customHeight="1"/>
    <row r="996" s="4" customFormat="1" ht="15.75" customHeight="1"/>
    <row r="997" s="4" customFormat="1" ht="15.75" customHeight="1"/>
    <row r="998" s="4" customFormat="1" ht="15.75" customHeight="1"/>
    <row r="999" s="4" customFormat="1" ht="15.75" customHeight="1"/>
    <row r="1000" s="4" customFormat="1" ht="15.75" customHeight="1"/>
    <row r="1001" s="4" customFormat="1" ht="15.75" customHeight="1"/>
    <row r="1048576" spans="27:29" ht="15" customHeight="1">
      <c r="AA1048576" s="119"/>
      <c r="AB1048576" s="88"/>
      <c r="AC1048576" s="85"/>
    </row>
  </sheetData>
  <sortState xmlns:xlrd2="http://schemas.microsoft.com/office/spreadsheetml/2017/richdata2" ref="C90:O109">
    <sortCondition ref="C91:C109"/>
  </sortState>
  <mergeCells count="495">
    <mergeCell ref="Q115:AC135"/>
    <mergeCell ref="N124:O124"/>
    <mergeCell ref="N125:O125"/>
    <mergeCell ref="N119:O119"/>
    <mergeCell ref="M72:O72"/>
    <mergeCell ref="E101:M101"/>
    <mergeCell ref="M70:O70"/>
    <mergeCell ref="Q70:Z70"/>
    <mergeCell ref="AA70:AC70"/>
    <mergeCell ref="C81:L81"/>
    <mergeCell ref="C80:L80"/>
    <mergeCell ref="AA81:AC81"/>
    <mergeCell ref="N99:O99"/>
    <mergeCell ref="AA71:AC71"/>
    <mergeCell ref="C73:L73"/>
    <mergeCell ref="M73:O73"/>
    <mergeCell ref="C105:D105"/>
    <mergeCell ref="E105:M105"/>
    <mergeCell ref="N105:O105"/>
    <mergeCell ref="Q105:R105"/>
    <mergeCell ref="S105:AA105"/>
    <mergeCell ref="N102:O102"/>
    <mergeCell ref="Q102:R102"/>
    <mergeCell ref="S102:AA102"/>
    <mergeCell ref="AA1048576:AC1048576"/>
    <mergeCell ref="AA72:AC72"/>
    <mergeCell ref="AA78:AC78"/>
    <mergeCell ref="Q72:Z72"/>
    <mergeCell ref="Q78:Z78"/>
    <mergeCell ref="C78:L78"/>
    <mergeCell ref="M78:O78"/>
    <mergeCell ref="N131:O131"/>
    <mergeCell ref="N132:O132"/>
    <mergeCell ref="N116:O116"/>
    <mergeCell ref="N117:O117"/>
    <mergeCell ref="N126:O126"/>
    <mergeCell ref="B138:AD139"/>
    <mergeCell ref="N127:O127"/>
    <mergeCell ref="N135:O135"/>
    <mergeCell ref="N128:O128"/>
    <mergeCell ref="N129:O129"/>
    <mergeCell ref="N130:O130"/>
    <mergeCell ref="N133:O133"/>
    <mergeCell ref="M80:O80"/>
    <mergeCell ref="Q80:Z80"/>
    <mergeCell ref="AA80:AC80"/>
    <mergeCell ref="M81:O81"/>
    <mergeCell ref="Q81:Z81"/>
    <mergeCell ref="C51:E51"/>
    <mergeCell ref="C72:L72"/>
    <mergeCell ref="Q73:Z73"/>
    <mergeCell ref="AA73:AC73"/>
    <mergeCell ref="C70:L70"/>
    <mergeCell ref="C71:L71"/>
    <mergeCell ref="M71:O71"/>
    <mergeCell ref="F60:K60"/>
    <mergeCell ref="H56:R56"/>
    <mergeCell ref="D60:E60"/>
    <mergeCell ref="M59:P59"/>
    <mergeCell ref="M60:R60"/>
    <mergeCell ref="C54:E54"/>
    <mergeCell ref="Q71:Z71"/>
    <mergeCell ref="F51:O51"/>
    <mergeCell ref="Q51:T51"/>
    <mergeCell ref="C52:E52"/>
    <mergeCell ref="T56:V56"/>
    <mergeCell ref="U52:AC54"/>
    <mergeCell ref="M67:O67"/>
    <mergeCell ref="Q67:Z67"/>
    <mergeCell ref="E103:M103"/>
    <mergeCell ref="Q103:R103"/>
    <mergeCell ref="S103:AA103"/>
    <mergeCell ref="AB103:AC103"/>
    <mergeCell ref="C104:D104"/>
    <mergeCell ref="AB105:AC105"/>
    <mergeCell ref="Q104:R104"/>
    <mergeCell ref="S104:AA104"/>
    <mergeCell ref="C103:D103"/>
    <mergeCell ref="E104:M104"/>
    <mergeCell ref="N104:O104"/>
    <mergeCell ref="AB104:AC104"/>
    <mergeCell ref="N103:O103"/>
    <mergeCell ref="Q109:R109"/>
    <mergeCell ref="S109:AA109"/>
    <mergeCell ref="AB109:AC109"/>
    <mergeCell ref="Q108:R108"/>
    <mergeCell ref="Q106:R106"/>
    <mergeCell ref="S106:AA106"/>
    <mergeCell ref="S107:AA107"/>
    <mergeCell ref="AB107:AC107"/>
    <mergeCell ref="C109:D109"/>
    <mergeCell ref="E109:M109"/>
    <mergeCell ref="C106:D106"/>
    <mergeCell ref="AB106:AC106"/>
    <mergeCell ref="E106:M106"/>
    <mergeCell ref="N106:O106"/>
    <mergeCell ref="S108:AA108"/>
    <mergeCell ref="AB108:AC108"/>
    <mergeCell ref="C108:D108"/>
    <mergeCell ref="C107:D107"/>
    <mergeCell ref="E107:M107"/>
    <mergeCell ref="N107:O107"/>
    <mergeCell ref="Q107:R107"/>
    <mergeCell ref="E108:M108"/>
    <mergeCell ref="N108:O108"/>
    <mergeCell ref="N109:O109"/>
    <mergeCell ref="Q101:R101"/>
    <mergeCell ref="S101:AA101"/>
    <mergeCell ref="AB101:AC101"/>
    <mergeCell ref="C101:D101"/>
    <mergeCell ref="C102:D102"/>
    <mergeCell ref="E102:M102"/>
    <mergeCell ref="Q100:R100"/>
    <mergeCell ref="S100:AA100"/>
    <mergeCell ref="C99:D99"/>
    <mergeCell ref="E99:M99"/>
    <mergeCell ref="Q99:R99"/>
    <mergeCell ref="S99:AA99"/>
    <mergeCell ref="AB99:AC99"/>
    <mergeCell ref="C100:D100"/>
    <mergeCell ref="AB100:AC100"/>
    <mergeCell ref="E100:M100"/>
    <mergeCell ref="N100:O100"/>
    <mergeCell ref="N101:O101"/>
    <mergeCell ref="AB102:AC102"/>
    <mergeCell ref="Q97:R97"/>
    <mergeCell ref="S97:AA97"/>
    <mergeCell ref="AB97:AC97"/>
    <mergeCell ref="C97:D97"/>
    <mergeCell ref="C98:D98"/>
    <mergeCell ref="E98:M98"/>
    <mergeCell ref="N98:O98"/>
    <mergeCell ref="Q98:R98"/>
    <mergeCell ref="S98:AA98"/>
    <mergeCell ref="AB98:AC98"/>
    <mergeCell ref="E97:M97"/>
    <mergeCell ref="N97:O97"/>
    <mergeCell ref="Q96:R96"/>
    <mergeCell ref="S96:AA96"/>
    <mergeCell ref="C95:D95"/>
    <mergeCell ref="E95:M95"/>
    <mergeCell ref="N95:O95"/>
    <mergeCell ref="Q95:R95"/>
    <mergeCell ref="S95:AA95"/>
    <mergeCell ref="AB95:AC95"/>
    <mergeCell ref="C96:D96"/>
    <mergeCell ref="AB96:AC96"/>
    <mergeCell ref="E96:M96"/>
    <mergeCell ref="N96:O96"/>
    <mergeCell ref="Q92:R92"/>
    <mergeCell ref="S92:AA92"/>
    <mergeCell ref="C91:D91"/>
    <mergeCell ref="E91:M91"/>
    <mergeCell ref="N91:O91"/>
    <mergeCell ref="Q91:R91"/>
    <mergeCell ref="S91:AA91"/>
    <mergeCell ref="AB91:AC91"/>
    <mergeCell ref="C92:D92"/>
    <mergeCell ref="AB92:AC92"/>
    <mergeCell ref="E92:M92"/>
    <mergeCell ref="N92:O92"/>
    <mergeCell ref="Q93:R93"/>
    <mergeCell ref="S93:AA93"/>
    <mergeCell ref="AB93:AC93"/>
    <mergeCell ref="C93:D93"/>
    <mergeCell ref="C94:D94"/>
    <mergeCell ref="E94:M94"/>
    <mergeCell ref="N94:O94"/>
    <mergeCell ref="Q94:R94"/>
    <mergeCell ref="S94:AA94"/>
    <mergeCell ref="AB94:AC94"/>
    <mergeCell ref="E93:M93"/>
    <mergeCell ref="N93:O93"/>
    <mergeCell ref="Q85:Z85"/>
    <mergeCell ref="AA85:AC85"/>
    <mergeCell ref="C85:L85"/>
    <mergeCell ref="M85:O85"/>
    <mergeCell ref="C74:L74"/>
    <mergeCell ref="M74:O74"/>
    <mergeCell ref="Q74:Z74"/>
    <mergeCell ref="AA74:AC74"/>
    <mergeCell ref="M75:O75"/>
    <mergeCell ref="Q75:Z75"/>
    <mergeCell ref="AA75:AC75"/>
    <mergeCell ref="C75:L75"/>
    <mergeCell ref="C76:L76"/>
    <mergeCell ref="M76:O76"/>
    <mergeCell ref="Q76:Z76"/>
    <mergeCell ref="AA76:AC76"/>
    <mergeCell ref="C77:L77"/>
    <mergeCell ref="M77:O77"/>
    <mergeCell ref="C79:L79"/>
    <mergeCell ref="M79:O79"/>
    <mergeCell ref="Q79:Z79"/>
    <mergeCell ref="AA79:AC79"/>
    <mergeCell ref="C82:L82"/>
    <mergeCell ref="M82:O82"/>
    <mergeCell ref="Q82:Z82"/>
    <mergeCell ref="AA82:AC82"/>
    <mergeCell ref="M83:O83"/>
    <mergeCell ref="Q83:Z83"/>
    <mergeCell ref="AA83:AC83"/>
    <mergeCell ref="C83:L83"/>
    <mergeCell ref="C84:L84"/>
    <mergeCell ref="M84:O84"/>
    <mergeCell ref="Q84:Z84"/>
    <mergeCell ref="AA84:AC84"/>
    <mergeCell ref="S90:AA90"/>
    <mergeCell ref="AB90:AC90"/>
    <mergeCell ref="C88:G88"/>
    <mergeCell ref="C90:D90"/>
    <mergeCell ref="E90:M90"/>
    <mergeCell ref="N90:O90"/>
    <mergeCell ref="Q90:R90"/>
    <mergeCell ref="H88:O88"/>
    <mergeCell ref="Q88:U88"/>
    <mergeCell ref="V88:AC88"/>
    <mergeCell ref="X40:Z40"/>
    <mergeCell ref="AA40:AC40"/>
    <mergeCell ref="C69:L69"/>
    <mergeCell ref="M69:O69"/>
    <mergeCell ref="Q69:Z69"/>
    <mergeCell ref="AA69:AC69"/>
    <mergeCell ref="U62:W62"/>
    <mergeCell ref="C65:L65"/>
    <mergeCell ref="C67:L67"/>
    <mergeCell ref="M65:O65"/>
    <mergeCell ref="Q65:Z65"/>
    <mergeCell ref="Q66:Z66"/>
    <mergeCell ref="AA66:AC66"/>
    <mergeCell ref="AA65:AC65"/>
    <mergeCell ref="C62:P62"/>
    <mergeCell ref="Q62:S62"/>
    <mergeCell ref="C68:L68"/>
    <mergeCell ref="M68:O68"/>
    <mergeCell ref="Q68:Z68"/>
    <mergeCell ref="AA68:AC68"/>
    <mergeCell ref="C66:L66"/>
    <mergeCell ref="M66:O66"/>
    <mergeCell ref="AA67:AC67"/>
    <mergeCell ref="F52:O52"/>
    <mergeCell ref="X41:Z41"/>
    <mergeCell ref="AA41:AC41"/>
    <mergeCell ref="U51:AC51"/>
    <mergeCell ref="Q41:W41"/>
    <mergeCell ref="F54:J54"/>
    <mergeCell ref="K54:O54"/>
    <mergeCell ref="E59:H59"/>
    <mergeCell ref="Q59:W59"/>
    <mergeCell ref="S58:V58"/>
    <mergeCell ref="C56:G56"/>
    <mergeCell ref="Q52:T52"/>
    <mergeCell ref="F53:O53"/>
    <mergeCell ref="Q53:T53"/>
    <mergeCell ref="Q42:W42"/>
    <mergeCell ref="X42:Z42"/>
    <mergeCell ref="AA42:AC42"/>
    <mergeCell ref="U44:Z44"/>
    <mergeCell ref="AA44:AC44"/>
    <mergeCell ref="C47:AC47"/>
    <mergeCell ref="O49:Z49"/>
    <mergeCell ref="AA49:AC49"/>
    <mergeCell ref="H49:M49"/>
    <mergeCell ref="H48:AC48"/>
    <mergeCell ref="X58:AB58"/>
    <mergeCell ref="AA27:AC27"/>
    <mergeCell ref="Q26:W26"/>
    <mergeCell ref="M26:O26"/>
    <mergeCell ref="AA33:AC33"/>
    <mergeCell ref="Q34:W34"/>
    <mergeCell ref="X34:Z34"/>
    <mergeCell ref="AA34:AC34"/>
    <mergeCell ref="J28:L28"/>
    <mergeCell ref="M28:O28"/>
    <mergeCell ref="Q28:W28"/>
    <mergeCell ref="J29:L29"/>
    <mergeCell ref="Q33:W33"/>
    <mergeCell ref="J34:L34"/>
    <mergeCell ref="M34:O34"/>
    <mergeCell ref="AA30:AC30"/>
    <mergeCell ref="Q30:W30"/>
    <mergeCell ref="X30:Z30"/>
    <mergeCell ref="J30:L30"/>
    <mergeCell ref="M30:O30"/>
    <mergeCell ref="X31:Z31"/>
    <mergeCell ref="AA31:AC31"/>
    <mergeCell ref="J31:L31"/>
    <mergeCell ref="X28:Z28"/>
    <mergeCell ref="AA28:AC28"/>
    <mergeCell ref="X15:Z15"/>
    <mergeCell ref="Q16:W16"/>
    <mergeCell ref="X16:Z16"/>
    <mergeCell ref="AA16:AC16"/>
    <mergeCell ref="AA17:AC17"/>
    <mergeCell ref="Q77:Z77"/>
    <mergeCell ref="AA77:AC77"/>
    <mergeCell ref="C1:AC1"/>
    <mergeCell ref="G2:AA2"/>
    <mergeCell ref="S3:Z3"/>
    <mergeCell ref="AA3:AC3"/>
    <mergeCell ref="D6:L6"/>
    <mergeCell ref="N6:R6"/>
    <mergeCell ref="S6:AC6"/>
    <mergeCell ref="D7:L7"/>
    <mergeCell ref="N7:R7"/>
    <mergeCell ref="S7:AC7"/>
    <mergeCell ref="C9:F9"/>
    <mergeCell ref="G9:AC9"/>
    <mergeCell ref="G10:AC10"/>
    <mergeCell ref="G11:AC11"/>
    <mergeCell ref="C14:AC14"/>
    <mergeCell ref="M15:O15"/>
    <mergeCell ref="J33:L33"/>
    <mergeCell ref="C28:I28"/>
    <mergeCell ref="C29:I29"/>
    <mergeCell ref="C30:I30"/>
    <mergeCell ref="C31:I31"/>
    <mergeCell ref="AA23:AC23"/>
    <mergeCell ref="AA24:AC24"/>
    <mergeCell ref="X25:Z25"/>
    <mergeCell ref="X17:Z17"/>
    <mergeCell ref="K4:S4"/>
    <mergeCell ref="X19:Z19"/>
    <mergeCell ref="AA20:AC20"/>
    <mergeCell ref="AA21:AC21"/>
    <mergeCell ref="AA19:AC19"/>
    <mergeCell ref="C15:L15"/>
    <mergeCell ref="C16:L16"/>
    <mergeCell ref="M16:O16"/>
    <mergeCell ref="C17:L17"/>
    <mergeCell ref="M17:O17"/>
    <mergeCell ref="C18:L18"/>
    <mergeCell ref="M18:O18"/>
    <mergeCell ref="Q18:W18"/>
    <mergeCell ref="X18:Z18"/>
    <mergeCell ref="AA18:AC18"/>
    <mergeCell ref="Q15:W15"/>
    <mergeCell ref="M25:O25"/>
    <mergeCell ref="J24:L24"/>
    <mergeCell ref="M24:O24"/>
    <mergeCell ref="J22:L22"/>
    <mergeCell ref="M22:O22"/>
    <mergeCell ref="Q37:W37"/>
    <mergeCell ref="Q38:W38"/>
    <mergeCell ref="M29:O29"/>
    <mergeCell ref="X27:Z27"/>
    <mergeCell ref="X35:Z35"/>
    <mergeCell ref="X23:Z23"/>
    <mergeCell ref="J26:L26"/>
    <mergeCell ref="X33:Z33"/>
    <mergeCell ref="J36:L36"/>
    <mergeCell ref="M36:O36"/>
    <mergeCell ref="J35:L35"/>
    <mergeCell ref="M35:O35"/>
    <mergeCell ref="Q35:W35"/>
    <mergeCell ref="M31:O31"/>
    <mergeCell ref="M32:O32"/>
    <mergeCell ref="Q32:W32"/>
    <mergeCell ref="Q29:W29"/>
    <mergeCell ref="X29:Z29"/>
    <mergeCell ref="C2:F2"/>
    <mergeCell ref="C19:L19"/>
    <mergeCell ref="M19:O19"/>
    <mergeCell ref="Q19:W19"/>
    <mergeCell ref="Q20:W20"/>
    <mergeCell ref="Q21:W21"/>
    <mergeCell ref="Q22:W22"/>
    <mergeCell ref="Q23:W23"/>
    <mergeCell ref="Q24:W24"/>
    <mergeCell ref="J21:L21"/>
    <mergeCell ref="M21:O21"/>
    <mergeCell ref="C3:G3"/>
    <mergeCell ref="C4:J4"/>
    <mergeCell ref="H3:Q3"/>
    <mergeCell ref="Q17:W17"/>
    <mergeCell ref="C24:I24"/>
    <mergeCell ref="C22:I22"/>
    <mergeCell ref="C23:I23"/>
    <mergeCell ref="C25:I25"/>
    <mergeCell ref="C26:I26"/>
    <mergeCell ref="J27:L27"/>
    <mergeCell ref="M27:O27"/>
    <mergeCell ref="Q27:W27"/>
    <mergeCell ref="T4:U4"/>
    <mergeCell ref="V4:AC4"/>
    <mergeCell ref="Q25:W25"/>
    <mergeCell ref="C20:L20"/>
    <mergeCell ref="M20:O20"/>
    <mergeCell ref="C21:I21"/>
    <mergeCell ref="X20:Z20"/>
    <mergeCell ref="X22:Z22"/>
    <mergeCell ref="J23:L23"/>
    <mergeCell ref="M23:O23"/>
    <mergeCell ref="X21:Z21"/>
    <mergeCell ref="X24:Z24"/>
    <mergeCell ref="X26:Z26"/>
    <mergeCell ref="AA25:AC25"/>
    <mergeCell ref="AA26:AC26"/>
    <mergeCell ref="C27:I27"/>
    <mergeCell ref="AA15:AC15"/>
    <mergeCell ref="AA22:AC22"/>
    <mergeCell ref="J25:L25"/>
    <mergeCell ref="AA29:AC29"/>
    <mergeCell ref="Q31:W31"/>
    <mergeCell ref="AA35:AC35"/>
    <mergeCell ref="M33:O33"/>
    <mergeCell ref="J32:L32"/>
    <mergeCell ref="C128:G128"/>
    <mergeCell ref="C129:G129"/>
    <mergeCell ref="C32:I32"/>
    <mergeCell ref="C41:I41"/>
    <mergeCell ref="C40:I40"/>
    <mergeCell ref="C39:I39"/>
    <mergeCell ref="C38:I38"/>
    <mergeCell ref="C37:I37"/>
    <mergeCell ref="C36:I36"/>
    <mergeCell ref="C35:I35"/>
    <mergeCell ref="C34:I34"/>
    <mergeCell ref="C33:I33"/>
    <mergeCell ref="M42:O42"/>
    <mergeCell ref="J39:L39"/>
    <mergeCell ref="M39:O39"/>
    <mergeCell ref="J40:L40"/>
    <mergeCell ref="M40:O40"/>
    <mergeCell ref="C42:I42"/>
    <mergeCell ref="X32:Z32"/>
    <mergeCell ref="AA32:AC32"/>
    <mergeCell ref="Q113:AC113"/>
    <mergeCell ref="C116:G116"/>
    <mergeCell ref="C117:G117"/>
    <mergeCell ref="C118:G118"/>
    <mergeCell ref="AA38:AC38"/>
    <mergeCell ref="X36:Z36"/>
    <mergeCell ref="AA36:AC36"/>
    <mergeCell ref="X37:Z37"/>
    <mergeCell ref="AA37:AC37"/>
    <mergeCell ref="J41:L41"/>
    <mergeCell ref="M41:O41"/>
    <mergeCell ref="J42:L42"/>
    <mergeCell ref="M37:O37"/>
    <mergeCell ref="J38:L38"/>
    <mergeCell ref="M38:O38"/>
    <mergeCell ref="J37:L37"/>
    <mergeCell ref="Q36:W36"/>
    <mergeCell ref="X38:Z38"/>
    <mergeCell ref="Q39:W39"/>
    <mergeCell ref="X39:Z39"/>
    <mergeCell ref="AA39:AC39"/>
    <mergeCell ref="Q40:W40"/>
    <mergeCell ref="X59:AB59"/>
    <mergeCell ref="C134:G134"/>
    <mergeCell ref="C115:G115"/>
    <mergeCell ref="N113:O113"/>
    <mergeCell ref="N115:O115"/>
    <mergeCell ref="N118:O118"/>
    <mergeCell ref="N120:O120"/>
    <mergeCell ref="N121:O121"/>
    <mergeCell ref="N123:O123"/>
    <mergeCell ref="C121:G121"/>
    <mergeCell ref="C122:G122"/>
    <mergeCell ref="C123:G123"/>
    <mergeCell ref="C124:G124"/>
    <mergeCell ref="C125:G125"/>
    <mergeCell ref="C119:G119"/>
    <mergeCell ref="C120:G120"/>
    <mergeCell ref="C113:M113"/>
    <mergeCell ref="C130:G130"/>
    <mergeCell ref="C131:G131"/>
    <mergeCell ref="C132:G132"/>
    <mergeCell ref="C133:G133"/>
    <mergeCell ref="N122:O122"/>
    <mergeCell ref="C135:G135"/>
    <mergeCell ref="H115:M115"/>
    <mergeCell ref="H116:M116"/>
    <mergeCell ref="H117:M117"/>
    <mergeCell ref="H118:M118"/>
    <mergeCell ref="H119:M119"/>
    <mergeCell ref="H120:M120"/>
    <mergeCell ref="H121:M121"/>
    <mergeCell ref="H122:M122"/>
    <mergeCell ref="H123:M123"/>
    <mergeCell ref="H124:M124"/>
    <mergeCell ref="H125:M125"/>
    <mergeCell ref="H126:M126"/>
    <mergeCell ref="H127:M127"/>
    <mergeCell ref="H128:M128"/>
    <mergeCell ref="H129:M129"/>
    <mergeCell ref="H130:M130"/>
    <mergeCell ref="H131:M131"/>
    <mergeCell ref="H132:M132"/>
    <mergeCell ref="H133:M133"/>
    <mergeCell ref="H134:M134"/>
    <mergeCell ref="H135:M135"/>
    <mergeCell ref="C126:G126"/>
    <mergeCell ref="C127:G127"/>
  </mergeCells>
  <phoneticPr fontId="7" type="noConversion"/>
  <conditionalFormatting sqref="A9:XFD1048576 A1:XFD7 A8:AG8 AI8:XFD8">
    <cfRule type="containsErrors" dxfId="34" priority="2">
      <formula>ISERROR(A1)</formula>
    </cfRule>
  </conditionalFormatting>
  <conditionalFormatting sqref="E97:M97">
    <cfRule type="expression" dxfId="32" priority="65">
      <formula>$C$97=0</formula>
    </cfRule>
  </conditionalFormatting>
  <conditionalFormatting sqref="E98:M98">
    <cfRule type="expression" dxfId="31" priority="48">
      <formula>$C$98=0</formula>
    </cfRule>
  </conditionalFormatting>
  <conditionalFormatting sqref="E99:M99">
    <cfRule type="expression" dxfId="30" priority="47">
      <formula>$C$99=0</formula>
    </cfRule>
  </conditionalFormatting>
  <conditionalFormatting sqref="E100:M100">
    <cfRule type="expression" dxfId="29" priority="46">
      <formula>$C$100=0</formula>
    </cfRule>
  </conditionalFormatting>
  <conditionalFormatting sqref="E101:M101">
    <cfRule type="expression" dxfId="28" priority="45">
      <formula>$C$101=0</formula>
    </cfRule>
  </conditionalFormatting>
  <conditionalFormatting sqref="E102:M102">
    <cfRule type="expression" dxfId="27" priority="44">
      <formula>$C$102=0</formula>
    </cfRule>
  </conditionalFormatting>
  <conditionalFormatting sqref="E103:M103">
    <cfRule type="expression" dxfId="26" priority="43">
      <formula>$C$103=0</formula>
    </cfRule>
  </conditionalFormatting>
  <conditionalFormatting sqref="E104:M104">
    <cfRule type="expression" dxfId="25" priority="42">
      <formula>$C$104=0</formula>
    </cfRule>
  </conditionalFormatting>
  <conditionalFormatting sqref="E105:M105">
    <cfRule type="expression" dxfId="24" priority="41">
      <formula>$C$105=0</formula>
    </cfRule>
  </conditionalFormatting>
  <conditionalFormatting sqref="E106:M106">
    <cfRule type="expression" dxfId="23" priority="40">
      <formula>$C$106=0</formula>
    </cfRule>
  </conditionalFormatting>
  <conditionalFormatting sqref="E107:M107">
    <cfRule type="expression" dxfId="22" priority="39">
      <formula>$C$107=0</formula>
    </cfRule>
  </conditionalFormatting>
  <conditionalFormatting sqref="E108:M108">
    <cfRule type="expression" dxfId="21" priority="38">
      <formula>$C$10=0</formula>
    </cfRule>
  </conditionalFormatting>
  <conditionalFormatting sqref="E109:M109">
    <cfRule type="expression" dxfId="20" priority="37">
      <formula>$C$109=0</formula>
    </cfRule>
  </conditionalFormatting>
  <conditionalFormatting sqref="K58:M58">
    <cfRule type="expression" dxfId="18" priority="35">
      <formula>$J$58=$L$58</formula>
    </cfRule>
  </conditionalFormatting>
  <conditionalFormatting sqref="Q62:S62">
    <cfRule type="cellIs" dxfId="17" priority="90" operator="greaterThan">
      <formula>$U$62</formula>
    </cfRule>
  </conditionalFormatting>
  <conditionalFormatting sqref="T60:V60">
    <cfRule type="expression" dxfId="15" priority="3">
      <formula>$J$58=$L$58</formula>
    </cfRule>
  </conditionalFormatting>
  <conditionalFormatting sqref="AA16:AC42 M22:O42">
    <cfRule type="cellIs" dxfId="13" priority="89" operator="equal">
      <formula>0</formula>
    </cfRule>
  </conditionalFormatting>
  <dataValidations count="4">
    <dataValidation allowBlank="1" showDropDown="1" showErrorMessage="1" sqref="F52:O52 C113 N113 P113:Q113" xr:uid="{3B60932B-0640-4512-8D3E-AB12DD4BAB33}"/>
    <dataValidation type="whole" allowBlank="1" showInputMessage="1" showErrorMessage="1" sqref="J22:L42 X16:Z42" xr:uid="{90E050A3-E766-414D-819C-D0BD36CC6D19}">
      <formula1>1998</formula1>
      <formula2>2075</formula2>
    </dataValidation>
    <dataValidation type="date" allowBlank="1" showInputMessage="1" showErrorMessage="1" errorTitle="Mauvais format" error="Utilisez le format AAAA-MM-JJ pour votre date de naissance." promptTitle="Date de naissance" prompt="Indiquer votre date de naissance" sqref="H3:Q3" xr:uid="{D9C0AE01-CC3E-4A83-8000-1C494E5C1CDC}">
      <formula1>1</formula1>
      <formula2>402133</formula2>
    </dataValidation>
    <dataValidation allowBlank="1" showInputMessage="1" showErrorMessage="1" errorTitle="Stop!" error="Vous devez utilisez les choix via la liste déroulante." promptTitle="Choisir votre domaine de magie" prompt="Choisissez votre domaine de magie pour votre personnage." sqref="P88" xr:uid="{7E89AE4F-83B7-4199-A9C2-F658969E027E}"/>
  </dataValidations>
  <pageMargins left="0.25" right="0.25" top="0.75" bottom="0.75" header="0" footer="0"/>
  <pageSetup scale="91" fitToHeight="0" orientation="portrait" horizontalDpi="360" verticalDpi="360" r:id="rId1"/>
  <headerFooter>
    <oddHeader>&amp;R00-045Numéro de fiche:</oddHeader>
    <oddFooter>&amp;C00-049Arkadiamédiéval 2019</oddFooter>
  </headerFooter>
  <rowBreaks count="1" manualBreakCount="1">
    <brk id="46" max="16383" man="1"/>
  </rowBreaks>
  <ignoredErrors>
    <ignoredError sqref="M19 M16" evalError="1"/>
  </ignoredErrors>
  <drawing r:id="rId2"/>
  <extLst>
    <ext xmlns:x14="http://schemas.microsoft.com/office/spreadsheetml/2009/9/main" uri="{78C0D931-6437-407d-A8EE-F0AAD7539E65}">
      <x14:conditionalFormattings>
        <x14:conditionalFormatting xmlns:xm="http://schemas.microsoft.com/office/excel/2006/main">
          <x14:cfRule type="expression" priority="20" id="{CEBFFB24-0F62-49D7-911C-A04987441888}">
            <xm:f>Cumulable!E3="X"</xm:f>
            <x14:dxf>
              <fill>
                <patternFill>
                  <bgColor rgb="FFFF0000"/>
                </patternFill>
              </fill>
            </x14:dxf>
          </x14:cfRule>
          <xm:sqref>C66:L85</xm:sqref>
        </x14:conditionalFormatting>
        <x14:conditionalFormatting xmlns:xm="http://schemas.microsoft.com/office/excel/2006/main">
          <x14:cfRule type="expression" priority="116" id="{876BC003-6999-4C17-AD6A-23AA8E6B0DC5}">
            <xm:f>Religion!$D$27=FALSE</xm:f>
            <x14:dxf>
              <fill>
                <patternFill>
                  <bgColor rgb="FFFF0000"/>
                </patternFill>
              </fill>
            </x14:dxf>
          </x14:cfRule>
          <xm:sqref>F54:O54</xm:sqref>
        </x14:conditionalFormatting>
        <x14:conditionalFormatting xmlns:xm="http://schemas.microsoft.com/office/excel/2006/main">
          <x14:cfRule type="expression" priority="19" id="{5FEB2D3F-0321-4E98-848D-C3EF5C9C300D}">
            <xm:f>Cumulable!E23="X"</xm:f>
            <x14:dxf>
              <fill>
                <patternFill>
                  <bgColor rgb="FFFF0000"/>
                </patternFill>
              </fill>
            </x14:dxf>
          </x14:cfRule>
          <xm:sqref>Q66:Z85</xm:sqref>
        </x14:conditionalFormatting>
        <x14:conditionalFormatting xmlns:xm="http://schemas.microsoft.com/office/excel/2006/main">
          <x14:cfRule type="expression" priority="1" id="{549DA58E-7B09-4EBC-A07F-D9108F3A9F55}">
            <xm:f>OR(H88=V88,U51=Données!H26,U51=Données!H10,ISBLANK(V88))=FALSE</xm:f>
            <x14:dxf>
              <fill>
                <patternFill>
                  <bgColor rgb="FFFF0000"/>
                </patternFill>
              </fill>
            </x14:dxf>
          </x14:cfRule>
          <xm:sqref>V88:AC88</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DropDown="1" showErrorMessage="1" xr:uid="{5592FF2A-367D-4D0F-A8BB-960048FE048E}">
          <x14:formula1>
            <xm:f>'Données 2'!$E$1:$E$36</xm:f>
          </x14:formula1>
          <xm:sqref>Q54</xm:sqref>
        </x14:dataValidation>
        <x14:dataValidation type="list" allowBlank="1" showInputMessage="1" showErrorMessage="1" xr:uid="{8FF919EB-3709-42FE-9375-3CBC8E7960B8}">
          <x14:formula1>
            <xm:f>Données!$A$3:$A$12</xm:f>
          </x14:formula1>
          <xm:sqref>C22:I42 Q16:W42</xm:sqref>
        </x14:dataValidation>
        <x14:dataValidation type="list" allowBlank="1" showInputMessage="1" showErrorMessage="1" promptTitle="Choix de la moralité" prompt="Choisissez la moralité de votre personnage." xr:uid="{9387FDED-75B4-4C33-8464-6E4A2775C4F3}">
          <x14:formula1>
            <xm:f>'Restriction de moralité'!$G:$G</xm:f>
          </x14:formula1>
          <xm:sqref>F60:K60</xm:sqref>
        </x14:dataValidation>
        <x14:dataValidation type="list" allowBlank="1" showInputMessage="1" showErrorMessage="1" errorTitle="Stop!" error="Choisissez vos sort selon la liste déroulante." promptTitle="Choisir votre sort" prompt="Choisissez votre sort. N'oublier pas que pour acheter un sort, vous devez connaître un sort du niveau inférieur." xr:uid="{BF021BA1-B4EC-471D-A477-ABAF281E2EC5}">
          <x14:formula1>
            <xm:f>Magie!$AC$3:$AC$242</xm:f>
          </x14:formula1>
          <xm:sqref>E91:M109</xm:sqref>
        </x14:dataValidation>
        <x14:dataValidation type="list" allowBlank="1" showInputMessage="1" showErrorMessage="1" xr:uid="{C769FDCD-094D-4858-A1CA-F5B63982D145}">
          <x14:formula1>
            <xm:f>Compétences!$M$3:$M$1949</xm:f>
          </x14:formula1>
          <xm:sqref>Q66:Z85 C66:L85</xm:sqref>
        </x14:dataValidation>
        <x14:dataValidation type="list" allowBlank="1" showInputMessage="1" showErrorMessage="1" errorTitle="Stop!" error="Choisissez la race de votre personnage via la liste à choix déroulante.  Au besoin, vous référer au Codex des Aventuriers." promptTitle="Choisir la race du personnage" prompt="Choisir la race du personnage" xr:uid="{B2E899CE-C5E9-4FF3-885C-4B7A72B5A46B}">
          <x14:formula1>
            <xm:f>Données!$C$3:$C$32</xm:f>
          </x14:formula1>
          <xm:sqref>F51:O51</xm:sqref>
        </x14:dataValidation>
        <x14:dataValidation type="list" allowBlank="1" showErrorMessage="1" xr:uid="{7DB4CE70-B63E-4B3C-821E-717E22DA69C6}">
          <x14:formula1>
            <xm:f>'Restriction de carrière'!$G$3:$G$105</xm:f>
          </x14:formula1>
          <xm:sqref>U51:AC51</xm:sqref>
        </x14:dataValidation>
        <x14:dataValidation type="list" allowBlank="1" showInputMessage="1" showErrorMessage="1" errorTitle="Stop!" error="Vous devez utilisez les choix via la liste déroulante." promptTitle="Choisir votre domaine de magie" prompt="Choisissez votre domaine de magie pour votre personnage." xr:uid="{92176BF2-AB2A-4E63-88AB-F8356374674C}">
          <x14:formula1>
            <xm:f>'Restriction d''école'!$U$2:$U$10</xm:f>
          </x14:formula1>
          <xm:sqref>H88</xm:sqref>
        </x14:dataValidation>
        <x14:dataValidation type="list" allowBlank="1" showInputMessage="1" showErrorMessage="1" errorTitle="Stop!" error="Vous devez utilisez les choix via la liste déroulante." promptTitle="Choisir votre domaine de magie" prompt="Choisissez votre domaine de magie pour votre personnage." xr:uid="{BDB22CF8-A9C7-4673-889A-04D06277DDAC}">
          <x14:formula1>
            <xm:f>'Restriction d''école'!$V$2:$V$10</xm:f>
          </x14:formula1>
          <xm:sqref>V88:AC88</xm:sqref>
        </x14:dataValidation>
        <x14:dataValidation type="list" allowBlank="1" showInputMessage="1" showErrorMessage="1" errorTitle="Stop!" error="Choisissez vos sort selon la liste déroulante." promptTitle="Choisir votre sort" prompt="Choisissez votre sort. N'oublier pas que pour acheter un sort, vous devez connaître un sort du niveau inférieur." xr:uid="{42C02BD4-7022-4A35-9947-4350179A10A4}">
          <x14:formula1>
            <xm:f>Magie!$AF$3:$AF$242</xm:f>
          </x14:formula1>
          <xm:sqref>S91:AA109</xm:sqref>
        </x14:dataValidation>
        <x14:dataValidation type="list" allowBlank="1" showInputMessage="1" showErrorMessage="1" promptTitle="Nom de la divinité" prompt="Choisir une seule divinité si vous avez la compétence Religion seulement.  Vous pouvez en choisir deux si vous êtes de carrière Sage et que vous avez deux fois la compétence Religion" xr:uid="{9660B602-9D12-4C81-B876-52CF3FFCDEC0}">
          <x14:formula1>
            <xm:f>'Restriction de divinité'!$K:$K</xm:f>
          </x14:formula1>
          <xm:sqref>F54:O54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5F536-F67D-4B71-BB14-5ED27CF6F1D4}">
  <dimension ref="A1:K55"/>
  <sheetViews>
    <sheetView topLeftCell="D1" workbookViewId="0">
      <selection activeCell="I3" sqref="I3"/>
    </sheetView>
  </sheetViews>
  <sheetFormatPr baseColWidth="10" defaultRowHeight="15"/>
  <cols>
    <col min="1" max="1" width="16.6328125" bestFit="1" customWidth="1"/>
    <col min="3" max="3" width="18.36328125" bestFit="1" customWidth="1"/>
    <col min="7" max="7" width="13.7265625" bestFit="1" customWidth="1"/>
    <col min="8" max="8" width="31.26953125" bestFit="1" customWidth="1"/>
    <col min="9" max="9" width="15.08984375" bestFit="1" customWidth="1"/>
  </cols>
  <sheetData>
    <row r="1" spans="1:11">
      <c r="A1" t="s">
        <v>215</v>
      </c>
      <c r="C1" t="s">
        <v>140</v>
      </c>
      <c r="E1" s="2" t="s">
        <v>275</v>
      </c>
      <c r="G1" t="s">
        <v>450</v>
      </c>
      <c r="H1" t="s">
        <v>223</v>
      </c>
      <c r="I1" s="2" t="s">
        <v>950</v>
      </c>
    </row>
    <row r="2" spans="1:11">
      <c r="A2" t="s">
        <v>36</v>
      </c>
      <c r="C2" t="s">
        <v>141</v>
      </c>
      <c r="E2" s="2" t="s">
        <v>276</v>
      </c>
      <c r="G2" t="str">
        <f>C6</f>
        <v>Elfe Sanguinaire</v>
      </c>
      <c r="H2" t="str">
        <f>A33</f>
        <v>Essence Infernale</v>
      </c>
      <c r="I2" t="b">
        <f>'Nom du personnage'!$F$60=$E$4</f>
        <v>0</v>
      </c>
      <c r="K2" cm="1">
        <f t="array" ref="K2">IF(AND(OR($G$2:$G$17='Nom du personnage'!$F$51),'Restriction de divinité'!I2=TRUE),'Restriction de divinité'!H2,0)</f>
        <v>0</v>
      </c>
    </row>
    <row r="3" spans="1:11">
      <c r="A3" t="s">
        <v>40</v>
      </c>
      <c r="C3" t="s">
        <v>142</v>
      </c>
      <c r="E3" s="2" t="s">
        <v>277</v>
      </c>
      <c r="G3" t="s">
        <v>100</v>
      </c>
      <c r="H3" t="s">
        <v>105</v>
      </c>
      <c r="I3" t="b">
        <f>OR('Nom du personnage'!$F$60='Restriction de divinité'!$E$3,'Nom du personnage'!$F$60='Restriction de divinité'!$E$2)</f>
        <v>0</v>
      </c>
      <c r="K3" cm="1">
        <f t="array" ref="K3">IF(AND(OR($G$2:$G$17='Nom du personnage'!$F$51),'Restriction de divinité'!I3=TRUE),'Restriction de divinité'!H3,0)</f>
        <v>0</v>
      </c>
    </row>
    <row r="4" spans="1:11">
      <c r="A4" t="s">
        <v>31</v>
      </c>
      <c r="C4" t="s">
        <v>143</v>
      </c>
      <c r="E4" s="2" t="s">
        <v>664</v>
      </c>
      <c r="G4" t="s">
        <v>100</v>
      </c>
      <c r="H4" t="s">
        <v>117</v>
      </c>
      <c r="I4" t="b">
        <f>TRUE</f>
        <v>1</v>
      </c>
      <c r="K4" cm="1">
        <f t="array" ref="K4">IF(AND(OR($G$2:$G$17='Nom du personnage'!$F$51),'Restriction de divinité'!I4=TRUE),'Restriction de divinité'!H4,0)</f>
        <v>0</v>
      </c>
    </row>
    <row r="5" spans="1:11">
      <c r="A5" t="s">
        <v>216</v>
      </c>
      <c r="C5" t="s">
        <v>145</v>
      </c>
      <c r="G5" t="s">
        <v>100</v>
      </c>
      <c r="H5" s="6" t="s">
        <v>954</v>
      </c>
      <c r="I5" t="b">
        <f>'Nom du personnage'!$F$60=$E$2</f>
        <v>0</v>
      </c>
      <c r="K5" cm="1">
        <f t="array" ref="K5">IF(AND(OR($G$2:$G$17='Nom du personnage'!$F$51),'Restriction de divinité'!I5=TRUE),'Restriction de divinité'!H5,0)</f>
        <v>0</v>
      </c>
    </row>
    <row r="6" spans="1:11">
      <c r="A6" t="s">
        <v>44</v>
      </c>
      <c r="C6" s="6" t="s">
        <v>144</v>
      </c>
      <c r="G6" t="s">
        <v>100</v>
      </c>
      <c r="H6" s="6" t="s">
        <v>953</v>
      </c>
      <c r="I6" t="b">
        <f>'Nom du personnage'!$F$60=$E$3</f>
        <v>0</v>
      </c>
      <c r="K6" cm="1">
        <f t="array" ref="K6">IF(AND(OR($G$2:$G$17='Nom du personnage'!$F$51),'Restriction de divinité'!I6=TRUE),'Restriction de divinité'!H6,0)</f>
        <v>0</v>
      </c>
    </row>
    <row r="7" spans="1:11">
      <c r="A7" t="s">
        <v>48</v>
      </c>
      <c r="C7" t="s">
        <v>146</v>
      </c>
      <c r="G7" t="s">
        <v>100</v>
      </c>
      <c r="H7" s="6" t="s">
        <v>952</v>
      </c>
      <c r="I7" t="b">
        <f>'Nom du personnage'!$F$60=$E$4</f>
        <v>0</v>
      </c>
      <c r="K7" cm="1">
        <f t="array" ref="K7">IF(AND(OR($G$2:$G$17='Nom du personnage'!$F$51),'Restriction de divinité'!I7=TRUE),'Restriction de divinité'!H7,0)</f>
        <v>0</v>
      </c>
    </row>
    <row r="8" spans="1:11">
      <c r="A8" t="s">
        <v>52</v>
      </c>
      <c r="C8" s="2" t="s">
        <v>672</v>
      </c>
      <c r="G8" t="s">
        <v>100</v>
      </c>
      <c r="H8" t="s">
        <v>219</v>
      </c>
      <c r="I8" t="b">
        <f>TRUE</f>
        <v>1</v>
      </c>
      <c r="K8" cm="1">
        <f t="array" ref="K8">IF(AND(OR($G$2:$G$17='Nom du personnage'!$F$51),'Restriction de divinité'!I8=TRUE),'Restriction de divinité'!H8,0)</f>
        <v>0</v>
      </c>
    </row>
    <row r="9" spans="1:11">
      <c r="A9" t="s">
        <v>56</v>
      </c>
      <c r="C9" s="2" t="s">
        <v>671</v>
      </c>
      <c r="G9" t="s">
        <v>100</v>
      </c>
      <c r="H9" t="s">
        <v>220</v>
      </c>
      <c r="I9" t="b">
        <f>TRUE</f>
        <v>1</v>
      </c>
      <c r="K9" cm="1">
        <f t="array" ref="K9">IF(AND(OR($G$2:$G$17='Nom du personnage'!$F$51),'Restriction de divinité'!I9=TRUE),'Restriction de divinité'!H9,0)</f>
        <v>0</v>
      </c>
    </row>
    <row r="10" spans="1:11">
      <c r="A10" t="s">
        <v>60</v>
      </c>
      <c r="C10" s="2" t="s">
        <v>673</v>
      </c>
      <c r="G10" t="s">
        <v>100</v>
      </c>
      <c r="H10" t="s">
        <v>221</v>
      </c>
      <c r="I10" t="b">
        <f>OR('Nom du personnage'!$F$60='Restriction de divinité'!$E$3,'Nom du personnage'!$F$60='Restriction de divinité'!$E$2)</f>
        <v>0</v>
      </c>
      <c r="K10" cm="1">
        <f t="array" ref="K10">IF(AND(OR($G$2:$G$17='Nom du personnage'!$F$51),'Restriction de divinité'!I10=TRUE),'Restriction de divinité'!H10,0)</f>
        <v>0</v>
      </c>
    </row>
    <row r="11" spans="1:11">
      <c r="A11" t="s">
        <v>64</v>
      </c>
      <c r="C11" s="2" t="s">
        <v>674</v>
      </c>
      <c r="G11" t="s">
        <v>100</v>
      </c>
      <c r="H11" t="s">
        <v>222</v>
      </c>
      <c r="I11" t="b">
        <f>'Nom du personnage'!$F$60=$E$4</f>
        <v>0</v>
      </c>
      <c r="K11" cm="1">
        <f t="array" ref="K11">IF(AND(OR($G$2:$G$17='Nom du personnage'!$F$51),'Restriction de divinité'!I11=TRUE),'Restriction de divinité'!H11,0)</f>
        <v>0</v>
      </c>
    </row>
    <row r="12" spans="1:11">
      <c r="A12" t="s">
        <v>68</v>
      </c>
      <c r="C12" t="s">
        <v>147</v>
      </c>
      <c r="G12" t="s">
        <v>112</v>
      </c>
      <c r="H12" t="s">
        <v>74</v>
      </c>
      <c r="I12" t="b">
        <f>OR('Nom du personnage'!$F$60='Restriction de divinité'!$E$3,'Nom du personnage'!$F$60='Restriction de divinité'!$E$4)</f>
        <v>0</v>
      </c>
      <c r="K12" cm="1">
        <f t="array" ref="K12">IF(AND(OR($G$2:$G$17='Nom du personnage'!$F$51),'Restriction de divinité'!I12=TRUE),'Restriction de divinité'!H12,0)</f>
        <v>0</v>
      </c>
    </row>
    <row r="13" spans="1:11">
      <c r="A13" t="s">
        <v>71</v>
      </c>
      <c r="C13" t="s">
        <v>87</v>
      </c>
      <c r="G13" t="s">
        <v>112</v>
      </c>
      <c r="H13" t="s">
        <v>83</v>
      </c>
      <c r="I13" t="b">
        <f>OR('Nom du personnage'!$F$60='Restriction de divinité'!$E$3,'Nom du personnage'!$F$60='Restriction de divinité'!$E$2)</f>
        <v>0</v>
      </c>
      <c r="K13" cm="1">
        <f t="array" ref="K13">IF(AND(OR($G$2:$G$17='Nom du personnage'!$F$51),'Restriction de divinité'!I13=TRUE),'Restriction de divinité'!H13,0)</f>
        <v>0</v>
      </c>
    </row>
    <row r="14" spans="1:11">
      <c r="A14" t="s">
        <v>74</v>
      </c>
      <c r="C14" t="s">
        <v>97</v>
      </c>
      <c r="G14" t="s">
        <v>112</v>
      </c>
      <c r="H14" t="s">
        <v>86</v>
      </c>
      <c r="I14" t="b">
        <f>OR('Nom du personnage'!$F$60='Restriction de divinité'!$E$3,'Nom du personnage'!$F$60='Restriction de divinité'!$E$2)</f>
        <v>0</v>
      </c>
      <c r="K14" cm="1">
        <f t="array" ref="K14">IF(AND(OR($G$2:$G$17='Nom du personnage'!$F$51),'Restriction de divinité'!I14=TRUE),'Restriction de divinité'!H14,0)</f>
        <v>0</v>
      </c>
    </row>
    <row r="15" spans="1:11">
      <c r="A15" t="s">
        <v>77</v>
      </c>
      <c r="C15" t="s">
        <v>81</v>
      </c>
      <c r="G15" t="s">
        <v>112</v>
      </c>
      <c r="H15" t="s">
        <v>89</v>
      </c>
      <c r="I15" t="b">
        <f>OR('Nom du personnage'!$F$60='Restriction de divinité'!$E$4,'Nom du personnage'!$F$60='Restriction de divinité'!$E$2)</f>
        <v>0</v>
      </c>
      <c r="K15" cm="1">
        <f t="array" ref="K15">IF(AND(OR($G$2:$G$17='Nom du personnage'!$F$51),'Restriction de divinité'!I15=TRUE),'Restriction de divinité'!H15,0)</f>
        <v>0</v>
      </c>
    </row>
    <row r="16" spans="1:11">
      <c r="A16" t="s">
        <v>80</v>
      </c>
      <c r="C16" t="s">
        <v>103</v>
      </c>
      <c r="G16" t="s">
        <v>112</v>
      </c>
      <c r="H16" t="s">
        <v>92</v>
      </c>
      <c r="I16" t="b">
        <f>TRUE</f>
        <v>1</v>
      </c>
      <c r="K16" cm="1">
        <f t="array" ref="K16">IF(AND(OR($G$2:$G$17='Nom du personnage'!$F$51),'Restriction de divinité'!I16=TRUE),'Restriction de divinité'!H16,0)</f>
        <v>0</v>
      </c>
    </row>
    <row r="17" spans="1:11">
      <c r="A17" t="s">
        <v>83</v>
      </c>
      <c r="C17" t="s">
        <v>148</v>
      </c>
      <c r="G17" t="s">
        <v>112</v>
      </c>
      <c r="H17" t="s">
        <v>219</v>
      </c>
      <c r="I17" t="b">
        <f>TRUE</f>
        <v>1</v>
      </c>
      <c r="J17" t="s">
        <v>951</v>
      </c>
      <c r="K17" cm="1">
        <f t="array" ref="K17">IF(AND(OR($G$2:$G$17='Nom du personnage'!$F$51),'Restriction de divinité'!I17=TRUE),'Restriction de divinité'!H17,0)</f>
        <v>0</v>
      </c>
    </row>
    <row r="18" spans="1:11">
      <c r="A18" t="s">
        <v>86</v>
      </c>
      <c r="C18" t="s">
        <v>90</v>
      </c>
    </row>
    <row r="19" spans="1:11">
      <c r="A19" t="s">
        <v>89</v>
      </c>
      <c r="C19" t="s">
        <v>100</v>
      </c>
      <c r="G19" t="b">
        <v>1</v>
      </c>
      <c r="H19" t="s">
        <v>36</v>
      </c>
      <c r="I19" t="b">
        <f>OR('Nom du personnage'!$F$60='Restriction de divinité'!$E$2,'Nom du personnage'!$F$60='Restriction de divinité'!$E$4)</f>
        <v>0</v>
      </c>
      <c r="K19" cm="1">
        <f t="array" ref="K19">IF(AND(OR($G$2:$G$17='Nom du personnage'!$F$51)=FALSE,'Restriction de divinité'!G19=TRUE,'Restriction de divinité'!I19=TRUE),'Restriction de divinité'!H19,0)</f>
        <v>0</v>
      </c>
    </row>
    <row r="20" spans="1:11">
      <c r="A20" t="s">
        <v>92</v>
      </c>
      <c r="C20" t="s">
        <v>106</v>
      </c>
      <c r="G20" t="b">
        <v>1</v>
      </c>
      <c r="H20" t="s">
        <v>40</v>
      </c>
      <c r="I20" t="b">
        <f>TRUE</f>
        <v>1</v>
      </c>
      <c r="K20" t="str" cm="1">
        <f t="array" ref="K20">IF(AND(OR($G$2:$G$17='Nom du personnage'!$F$51)=FALSE,'Restriction de divinité'!G20=TRUE,'Restriction de divinité'!I20=TRUE),'Restriction de divinité'!H20,0)</f>
        <v>Argonas</v>
      </c>
    </row>
    <row r="21" spans="1:11">
      <c r="A21" s="2" t="s">
        <v>95</v>
      </c>
      <c r="C21" t="s">
        <v>42</v>
      </c>
      <c r="G21" t="b">
        <v>1</v>
      </c>
      <c r="H21" t="s">
        <v>31</v>
      </c>
      <c r="I21" t="b">
        <f>OR('Nom du personnage'!$F$60='Restriction de divinité'!$E$3,'Nom du personnage'!$F$60='Restriction de divinité'!$E$4)</f>
        <v>0</v>
      </c>
      <c r="K21" cm="1">
        <f t="array" ref="K21">IF(AND(OR($G$2:$G$17='Nom du personnage'!$F$51)=FALSE,'Restriction de divinité'!G21=TRUE,'Restriction de divinité'!I21=TRUE),'Restriction de divinité'!H21,0)</f>
        <v>0</v>
      </c>
    </row>
    <row r="22" spans="1:11">
      <c r="A22" t="s">
        <v>99</v>
      </c>
      <c r="C22" t="s">
        <v>78</v>
      </c>
      <c r="G22" t="b" cm="1">
        <f t="array" ref="G22">OR(C2='Nom du personnage'!$F$51,C16:C17='Nom du personnage'!$F$51,C5='Nom du personnage'!$F$51)</f>
        <v>0</v>
      </c>
      <c r="H22" t="s">
        <v>216</v>
      </c>
      <c r="I22" t="b">
        <f>'Nom du personnage'!$F$60=$E$4</f>
        <v>0</v>
      </c>
      <c r="K22" cm="1">
        <f t="array" ref="K22">IF(AND(OR($G$2:$G$17='Nom du personnage'!$F$51)=FALSE,'Restriction de divinité'!G22=TRUE,'Restriction de divinité'!I22=TRUE),'Restriction de divinité'!H22,0)</f>
        <v>0</v>
      </c>
    </row>
    <row r="23" spans="1:11">
      <c r="A23" t="s">
        <v>102</v>
      </c>
      <c r="C23" t="s">
        <v>34</v>
      </c>
      <c r="G23" t="b">
        <v>1</v>
      </c>
      <c r="H23" t="s">
        <v>44</v>
      </c>
      <c r="I23" t="b">
        <f>'Nom du personnage'!$F$60=$E$3</f>
        <v>0</v>
      </c>
      <c r="K23" cm="1">
        <f t="array" ref="K23">IF(AND(OR($G$2:$G$17='Nom du personnage'!$F$51)=FALSE,'Restriction de divinité'!G23=TRUE,'Restriction de divinité'!I23=TRUE),'Restriction de divinité'!H23,0)</f>
        <v>0</v>
      </c>
    </row>
    <row r="24" spans="1:11">
      <c r="A24" t="s">
        <v>105</v>
      </c>
      <c r="C24" t="s">
        <v>46</v>
      </c>
      <c r="G24" t="b" cm="1">
        <f t="array" ref="G24">OR(C2:C4='Nom du personnage'!$F$51,C7:C13='Nom du personnage'!$F$51,C23='Nom du personnage'!$F$51)</f>
        <v>0</v>
      </c>
      <c r="H24" t="s">
        <v>48</v>
      </c>
      <c r="I24" t="b">
        <f>OR('Nom du personnage'!$F$60='Restriction de divinité'!$E$3,'Nom du personnage'!$F$60='Restriction de divinité'!$E$2)</f>
        <v>0</v>
      </c>
      <c r="K24" cm="1">
        <f t="array" ref="K24">IF(AND(OR($G$2:$G$17='Nom du personnage'!$F$51)=FALSE,'Restriction de divinité'!G24=TRUE,'Restriction de divinité'!I24=TRUE),'Restriction de divinité'!H24,0)</f>
        <v>0</v>
      </c>
    </row>
    <row r="25" spans="1:11">
      <c r="A25" t="s">
        <v>108</v>
      </c>
      <c r="C25" t="s">
        <v>109</v>
      </c>
      <c r="G25" t="b">
        <v>1</v>
      </c>
      <c r="H25" t="s">
        <v>52</v>
      </c>
      <c r="I25" t="b">
        <f>'Nom du personnage'!$F$60=$E$4</f>
        <v>0</v>
      </c>
      <c r="K25" cm="1">
        <f t="array" ref="K25">IF(AND(OR($G$2:$G$17='Nom du personnage'!$F$51)=FALSE,'Restriction de divinité'!G25=TRUE,'Restriction de divinité'!I25=TRUE),'Restriction de divinité'!H25,0)</f>
        <v>0</v>
      </c>
    </row>
    <row r="26" spans="1:11">
      <c r="A26" t="s">
        <v>111</v>
      </c>
      <c r="C26" t="s">
        <v>112</v>
      </c>
      <c r="G26" t="b">
        <f>OR(C2='Nom du personnage'!$F$51,C13='Nom du personnage'!$F$51,C22='Nom du personnage'!$F$51)</f>
        <v>0</v>
      </c>
      <c r="H26" t="s">
        <v>56</v>
      </c>
      <c r="I26" t="b">
        <f>OR('Nom du personnage'!$F$60='Restriction de divinité'!$E$3,'Nom du personnage'!$F$60='Restriction de divinité'!$E$2)</f>
        <v>0</v>
      </c>
      <c r="K26" cm="1">
        <f t="array" ref="K26">IF(AND(OR($G$2:$G$17='Nom du personnage'!$F$51)=FALSE,'Restriction de divinité'!G26=TRUE,'Restriction de divinité'!I26=TRUE),'Restriction de divinité'!H26,0)</f>
        <v>0</v>
      </c>
    </row>
    <row r="27" spans="1:11">
      <c r="A27" t="s">
        <v>114</v>
      </c>
      <c r="C27" s="2" t="s">
        <v>675</v>
      </c>
      <c r="G27" t="b">
        <v>1</v>
      </c>
      <c r="H27" t="s">
        <v>60</v>
      </c>
      <c r="I27" t="b">
        <f>OR('Nom du personnage'!$F$60='Restriction de divinité'!$E$3,'Nom du personnage'!$F$60='Restriction de divinité'!$E$2)</f>
        <v>0</v>
      </c>
      <c r="K27" cm="1">
        <f t="array" ref="K27">IF(AND(OR($G$2:$G$17='Nom du personnage'!$F$51)=FALSE,'Restriction de divinité'!G27=TRUE,'Restriction de divinité'!I27=TRUE),'Restriction de divinité'!H27,0)</f>
        <v>0</v>
      </c>
    </row>
    <row r="28" spans="1:11">
      <c r="A28" t="s">
        <v>117</v>
      </c>
      <c r="C28" s="2" t="s">
        <v>676</v>
      </c>
      <c r="G28" t="b">
        <v>1</v>
      </c>
      <c r="H28" t="s">
        <v>64</v>
      </c>
      <c r="I28" t="b">
        <f>TRUE</f>
        <v>1</v>
      </c>
      <c r="K28" t="str" cm="1">
        <f t="array" ref="K28">IF(AND(OR($G$2:$G$17='Nom du personnage'!$F$51)=FALSE,'Restriction de divinité'!G28=TRUE,'Restriction de divinité'!I28=TRUE),'Restriction de divinité'!H28,0)</f>
        <v>Maskorino</v>
      </c>
    </row>
    <row r="29" spans="1:11">
      <c r="A29" t="s">
        <v>217</v>
      </c>
      <c r="C29" s="2" t="s">
        <v>677</v>
      </c>
      <c r="G29" t="b">
        <v>1</v>
      </c>
      <c r="H29" t="s">
        <v>68</v>
      </c>
      <c r="I29" t="b">
        <f>OR('Nom du personnage'!$F$60='Restriction de divinité'!$E$3,'Nom du personnage'!$F$60='Restriction de divinité'!$E$2)</f>
        <v>0</v>
      </c>
      <c r="K29" cm="1">
        <f t="array" ref="K29">IF(AND(OR($G$2:$G$17='Nom du personnage'!$F$51)=FALSE,'Restriction de divinité'!G29=TRUE,'Restriction de divinité'!I29=TRUE),'Restriction de divinité'!H29,0)</f>
        <v>0</v>
      </c>
    </row>
    <row r="30" spans="1:11">
      <c r="A30" t="s">
        <v>120</v>
      </c>
      <c r="C30" s="2" t="s">
        <v>678</v>
      </c>
      <c r="G30" t="b" cm="1">
        <f t="array" ref="G30">OR(C8:C11='Nom du personnage'!$F$51,C13:C17='Nom du personnage'!$F$51,C18:C31='Nom du personnage'!$F$51)</f>
        <v>0</v>
      </c>
      <c r="H30" t="s">
        <v>71</v>
      </c>
      <c r="I30" t="b">
        <f>OR('Nom du personnage'!$F$60='Restriction de divinité'!$E$3,'Nom du personnage'!$F$60='Restriction de divinité'!$E$2)</f>
        <v>0</v>
      </c>
      <c r="K30" cm="1">
        <f t="array" ref="K30">IF(AND(OR($G$2:$G$17='Nom du personnage'!$F$51)=FALSE,'Restriction de divinité'!G30=TRUE,'Restriction de divinité'!I30=TRUE),'Restriction de divinité'!H30,0)</f>
        <v>0</v>
      </c>
    </row>
    <row r="31" spans="1:11">
      <c r="A31" t="s">
        <v>121</v>
      </c>
      <c r="C31" t="s">
        <v>93</v>
      </c>
      <c r="G31" t="b">
        <v>1</v>
      </c>
      <c r="H31" t="s">
        <v>77</v>
      </c>
      <c r="I31" t="b">
        <f>'Nom du personnage'!$F$60=$E$4</f>
        <v>0</v>
      </c>
      <c r="K31" cm="1">
        <f t="array" ref="K31">IF(AND(OR($G$2:$G$17='Nom du personnage'!$F$51)=FALSE,'Restriction de divinité'!G31=TRUE,'Restriction de divinité'!I31=TRUE),'Restriction de divinité'!H31,0)</f>
        <v>0</v>
      </c>
    </row>
    <row r="32" spans="1:11">
      <c r="A32" t="s">
        <v>122</v>
      </c>
      <c r="G32" t="b">
        <v>1</v>
      </c>
      <c r="H32" t="s">
        <v>80</v>
      </c>
      <c r="I32" t="b">
        <f>OR('Nom du personnage'!$F$60='Restriction de divinité'!$E$4,'Nom du personnage'!$F$60='Restriction de divinité'!$E$2)</f>
        <v>0</v>
      </c>
      <c r="K32" cm="1">
        <f t="array" ref="K32">IF(AND(OR($G$2:$G$17='Nom du personnage'!$F$51)=FALSE,'Restriction de divinité'!G32=TRUE,'Restriction de divinité'!I32=TRUE),'Restriction de divinité'!H32,0)</f>
        <v>0</v>
      </c>
    </row>
    <row r="33" spans="1:11">
      <c r="A33" t="s">
        <v>218</v>
      </c>
      <c r="G33" t="b" cm="1">
        <f t="array" ref="G33">OR(C2:C4='Nom du personnage'!$F$51,C6:C16='Nom du personnage'!$F$51,C18:C30='Nom du personnage'!$F$51)</f>
        <v>0</v>
      </c>
      <c r="H33" t="s">
        <v>83</v>
      </c>
      <c r="I33" t="b">
        <f>OR('Nom du personnage'!$F$60='Restriction de divinité'!$E$3,'Nom du personnage'!$F$60='Restriction de divinité'!$E$2)</f>
        <v>0</v>
      </c>
      <c r="K33" cm="1">
        <f t="array" ref="K33">IF(AND(OR($G$2:$G$17='Nom du personnage'!$F$51)=FALSE,'Restriction de divinité'!G33=TRUE,'Restriction de divinité'!I33=TRUE),'Restriction de divinité'!H33,0)</f>
        <v>0</v>
      </c>
    </row>
    <row r="34" spans="1:11">
      <c r="A34" t="s">
        <v>124</v>
      </c>
      <c r="G34" t="b">
        <v>1</v>
      </c>
      <c r="H34" t="s">
        <v>86</v>
      </c>
      <c r="I34" t="b">
        <f>OR('Nom du personnage'!$F$60='Restriction de divinité'!$E$3,'Nom du personnage'!$F$60='Restriction de divinité'!$E$2)</f>
        <v>0</v>
      </c>
      <c r="K34" cm="1">
        <f t="array" ref="K34">IF(AND(OR($G$2:$G$17='Nom du personnage'!$F$51)=FALSE,'Restriction de divinité'!G34=TRUE,'Restriction de divinité'!I34=TRUE),'Restriction de divinité'!H34,0)</f>
        <v>0</v>
      </c>
    </row>
    <row r="35" spans="1:11">
      <c r="A35" t="s">
        <v>219</v>
      </c>
      <c r="G35" t="b" cm="1">
        <f t="array" ref="G35">OR(C2:C7='Nom du personnage'!$F$51,C13='Nom du personnage'!$F$51,C22='Nom du personnage'!$F$51)</f>
        <v>0</v>
      </c>
      <c r="H35" t="s">
        <v>89</v>
      </c>
      <c r="I35" t="b">
        <f>OR('Nom du personnage'!$F$60='Restriction de divinité'!$E$4,'Nom du personnage'!$F$60='Restriction de divinité'!$E$2)</f>
        <v>0</v>
      </c>
      <c r="K35" cm="1">
        <f t="array" ref="K35">IF(AND(OR($G$2:$G$17='Nom du personnage'!$F$51)=FALSE,'Restriction de divinité'!G35=TRUE,'Restriction de divinité'!I35=TRUE),'Restriction de divinité'!H35,0)</f>
        <v>0</v>
      </c>
    </row>
    <row r="36" spans="1:11">
      <c r="A36" t="s">
        <v>220</v>
      </c>
      <c r="G36" t="b">
        <v>1</v>
      </c>
      <c r="H36" t="s">
        <v>92</v>
      </c>
      <c r="I36" t="b">
        <f>TRUE</f>
        <v>1</v>
      </c>
      <c r="K36" t="str" cm="1">
        <f t="array" ref="K36">IF(AND(OR($G$2:$G$17='Nom du personnage'!$F$51)=FALSE,'Restriction de divinité'!G36=TRUE,'Restriction de divinité'!I36=TRUE),'Restriction de divinité'!H36,0)</f>
        <v>O-Kuni-Nushi</v>
      </c>
    </row>
    <row r="37" spans="1:11">
      <c r="A37" t="s">
        <v>221</v>
      </c>
      <c r="G37" t="b" cm="1">
        <f t="array" ref="G37">OR(C2:C4='Nom du personnage'!$F$51,C7:C15='Nom du personnage'!$F$51,C18:C31='Nom du personnage'!$F$51)</f>
        <v>0</v>
      </c>
      <c r="H37" s="2" t="s">
        <v>95</v>
      </c>
      <c r="I37" t="b">
        <f>'Nom du personnage'!$F$60=$E$2</f>
        <v>0</v>
      </c>
      <c r="K37" cm="1">
        <f t="array" ref="K37">IF(AND(OR($G$2:$G$17='Nom du personnage'!$F$51)=FALSE,'Restriction de divinité'!G37=TRUE,'Restriction de divinité'!I37=TRUE),'Restriction de divinité'!H37,0)</f>
        <v>0</v>
      </c>
    </row>
    <row r="38" spans="1:11">
      <c r="A38" t="s">
        <v>222</v>
      </c>
      <c r="G38" t="b">
        <v>1</v>
      </c>
      <c r="H38" t="s">
        <v>99</v>
      </c>
      <c r="I38" t="b">
        <f>'Nom du personnage'!$F$60=$E$2</f>
        <v>0</v>
      </c>
      <c r="K38" cm="1">
        <f t="array" ref="K38">IF(AND(OR($G$2:$G$17='Nom du personnage'!$F$51)=FALSE,'Restriction de divinité'!G38=TRUE,'Restriction de divinité'!I38=TRUE),'Restriction de divinité'!H38,0)</f>
        <v>0</v>
      </c>
    </row>
    <row r="39" spans="1:11">
      <c r="G39" t="b">
        <f>'Nom du personnage'!$F$51='Restriction de divinité'!C13</f>
        <v>0</v>
      </c>
      <c r="H39" t="s">
        <v>102</v>
      </c>
      <c r="I39" t="b">
        <f>'Nom du personnage'!$F$60=$E$3</f>
        <v>0</v>
      </c>
      <c r="K39" cm="1">
        <f t="array" ref="K39">IF(AND(OR($G$2:$G$17='Nom du personnage'!$F$51)=FALSE,'Restriction de divinité'!G39=TRUE,'Restriction de divinité'!I39=TRUE),'Restriction de divinité'!H39,0)</f>
        <v>0</v>
      </c>
    </row>
    <row r="40" spans="1:11">
      <c r="G40" t="b">
        <v>1</v>
      </c>
      <c r="H40" t="s">
        <v>105</v>
      </c>
      <c r="I40" t="b">
        <f>OR('Nom du personnage'!$F$60='Restriction de divinité'!$E$3,'Nom du personnage'!$F$60='Restriction de divinité'!$E$2)</f>
        <v>0</v>
      </c>
      <c r="K40" cm="1">
        <f t="array" ref="K40">IF(AND(OR($G$2:$G$17='Nom du personnage'!$F$51)=FALSE,'Restriction de divinité'!G40=TRUE,'Restriction de divinité'!I40=TRUE),'Restriction de divinité'!H40,0)</f>
        <v>0</v>
      </c>
    </row>
    <row r="41" spans="1:11">
      <c r="G41" t="b">
        <v>1</v>
      </c>
      <c r="H41" t="s">
        <v>108</v>
      </c>
      <c r="I41" t="b">
        <f>OR('Nom du personnage'!$F$60='Restriction de divinité'!$E$3,'Nom du personnage'!$F$60='Restriction de divinité'!$E$2)</f>
        <v>0</v>
      </c>
      <c r="K41" cm="1">
        <f t="array" ref="K41">IF(AND(OR($G$2:$G$17='Nom du personnage'!$F$51)=FALSE,'Restriction de divinité'!G41=TRUE,'Restriction de divinité'!I41=TRUE),'Restriction de divinité'!H41,0)</f>
        <v>0</v>
      </c>
    </row>
    <row r="42" spans="1:11">
      <c r="G42" t="b">
        <v>1</v>
      </c>
      <c r="H42" t="s">
        <v>111</v>
      </c>
      <c r="I42" t="b">
        <f>OR('Nom du personnage'!$F$60='Restriction de divinité'!$E$3,'Nom du personnage'!$F$60='Restriction de divinité'!$E$2)</f>
        <v>0</v>
      </c>
      <c r="K42" cm="1">
        <f t="array" ref="K42">IF(AND(OR($G$2:$G$17='Nom du personnage'!$F$51)=FALSE,'Restriction de divinité'!G42=TRUE,'Restriction de divinité'!I42=TRUE),'Restriction de divinité'!H42,0)</f>
        <v>0</v>
      </c>
    </row>
    <row r="43" spans="1:11">
      <c r="G43" t="b">
        <v>1</v>
      </c>
      <c r="H43" t="s">
        <v>114</v>
      </c>
      <c r="I43" t="b">
        <f>OR('Nom du personnage'!$F$60='Restriction de divinité'!$E$4,'Nom du personnage'!$F$60='Restriction de divinité'!$E$2)</f>
        <v>0</v>
      </c>
      <c r="K43" cm="1">
        <f t="array" ref="K43">IF(AND(OR($G$2:$G$17='Nom du personnage'!$F$51)=FALSE,'Restriction de divinité'!G43=TRUE,'Restriction de divinité'!I43=TRUE),'Restriction de divinité'!H43,0)</f>
        <v>0</v>
      </c>
    </row>
    <row r="44" spans="1:11">
      <c r="G44" t="b">
        <v>1</v>
      </c>
      <c r="H44" t="s">
        <v>117</v>
      </c>
      <c r="I44" t="b">
        <f>TRUE</f>
        <v>1</v>
      </c>
      <c r="K44" t="str" cm="1">
        <f t="array" ref="K44">IF(AND(OR($G$2:$G$17='Nom du personnage'!$F$51)=FALSE,'Restriction de divinité'!G44=TRUE,'Restriction de divinité'!I44=TRUE),'Restriction de divinité'!H44,0)</f>
        <v>Vidar</v>
      </c>
    </row>
    <row r="45" spans="1:11">
      <c r="G45" t="b">
        <v>1</v>
      </c>
      <c r="H45" t="s">
        <v>217</v>
      </c>
      <c r="I45" t="b">
        <f>'Nom du personnage'!$F$60=$E$4</f>
        <v>0</v>
      </c>
      <c r="K45" cm="1">
        <f t="array" ref="K45">IF(AND(OR($G$2:$G$17='Nom du personnage'!$F$51)=FALSE,'Restriction de divinité'!G45=TRUE,'Restriction de divinité'!I45=TRUE),'Restriction de divinité'!H45,0)</f>
        <v>0</v>
      </c>
    </row>
    <row r="46" spans="1:11">
      <c r="G46" t="b">
        <v>1</v>
      </c>
      <c r="H46" t="s">
        <v>120</v>
      </c>
      <c r="I46" t="b">
        <f>'Nom du personnage'!$F$60=$E$4</f>
        <v>0</v>
      </c>
      <c r="K46" cm="1">
        <f t="array" ref="K46">IF(AND(OR($G$2:$G$17='Nom du personnage'!$F$51)=FALSE,'Restriction de divinité'!G46=TRUE,'Restriction de divinité'!I46=TRUE),'Restriction de divinité'!H46,0)</f>
        <v>0</v>
      </c>
    </row>
    <row r="47" spans="1:11">
      <c r="G47" t="b">
        <v>1</v>
      </c>
      <c r="H47" t="s">
        <v>121</v>
      </c>
      <c r="I47" t="b">
        <f>'Nom du personnage'!$F$60=$E$4</f>
        <v>0</v>
      </c>
      <c r="K47" cm="1">
        <f t="array" ref="K47">IF(AND(OR($G$2:$G$17='Nom du personnage'!$F$51)=FALSE,'Restriction de divinité'!G47=TRUE,'Restriction de divinité'!I47=TRUE),'Restriction de divinité'!H47,0)</f>
        <v>0</v>
      </c>
    </row>
    <row r="48" spans="1:11">
      <c r="G48" t="b">
        <v>1</v>
      </c>
      <c r="H48" t="s">
        <v>122</v>
      </c>
      <c r="I48" t="b">
        <f>'Nom du personnage'!$F$60=$E$4</f>
        <v>0</v>
      </c>
      <c r="K48" cm="1">
        <f t="array" ref="K48">IF(AND(OR($G$2:$G$17='Nom du personnage'!$F$51)=FALSE,'Restriction de divinité'!G48=TRUE,'Restriction de divinité'!I48=TRUE),'Restriction de divinité'!H48,0)</f>
        <v>0</v>
      </c>
    </row>
    <row r="49" spans="7:11">
      <c r="G49" t="b">
        <v>1</v>
      </c>
      <c r="H49" s="6" t="s">
        <v>954</v>
      </c>
      <c r="I49" t="b">
        <f>'Nom du personnage'!$F$60=$E$2</f>
        <v>0</v>
      </c>
      <c r="K49" cm="1">
        <f t="array" ref="K49">IF(AND(OR($G$2:$G$17='Nom du personnage'!$F$51)=FALSE,'Restriction de divinité'!G49=TRUE,'Restriction de divinité'!I49=TRUE),'Restriction de divinité'!H49,0)</f>
        <v>0</v>
      </c>
    </row>
    <row r="50" spans="7:11">
      <c r="G50" t="b">
        <v>1</v>
      </c>
      <c r="H50" s="6" t="s">
        <v>953</v>
      </c>
      <c r="I50" t="b">
        <f>'Nom du personnage'!$F$60=$E$3</f>
        <v>0</v>
      </c>
      <c r="K50" cm="1">
        <f t="array" ref="K50">IF(AND(OR($G$2:$G$17='Nom du personnage'!$F$51)=FALSE,'Restriction de divinité'!G50=TRUE,'Restriction de divinité'!I50=TRUE),'Restriction de divinité'!H50,0)</f>
        <v>0</v>
      </c>
    </row>
    <row r="51" spans="7:11">
      <c r="G51" t="b">
        <v>1</v>
      </c>
      <c r="H51" s="6" t="s">
        <v>952</v>
      </c>
      <c r="I51" t="b">
        <f>'Nom du personnage'!$F$60=$E$4</f>
        <v>0</v>
      </c>
      <c r="K51" cm="1">
        <f t="array" ref="K51">IF(AND(OR($G$2:$G$17='Nom du personnage'!$F$51)=FALSE,'Restriction de divinité'!G51=TRUE,'Restriction de divinité'!I51=TRUE),'Restriction de divinité'!H51,0)</f>
        <v>0</v>
      </c>
    </row>
    <row r="52" spans="7:11">
      <c r="G52" t="b">
        <v>1</v>
      </c>
      <c r="H52" t="s">
        <v>219</v>
      </c>
      <c r="I52" t="b">
        <f>TRUE</f>
        <v>1</v>
      </c>
      <c r="K52" t="str" cm="1">
        <f t="array" ref="K52">IF(AND(OR($G$2:$G$17='Nom du personnage'!$F$51)=FALSE,'Restriction de divinité'!G52=TRUE,'Restriction de divinité'!I52=TRUE),'Restriction de divinité'!H52,0)</f>
        <v>Esprits de la nature</v>
      </c>
    </row>
    <row r="53" spans="7:11">
      <c r="G53" t="b">
        <v>1</v>
      </c>
      <c r="H53" t="s">
        <v>220</v>
      </c>
      <c r="I53" t="b">
        <f>TRUE</f>
        <v>1</v>
      </c>
      <c r="K53" t="str" cm="1">
        <f t="array" ref="K53">IF(AND(OR($G$2:$G$17='Nom du personnage'!$F$51)=FALSE,'Restriction de divinité'!G53=TRUE,'Restriction de divinité'!I53=TRUE),'Restriction de divinité'!H53,0)</f>
        <v>Esprits des morts</v>
      </c>
    </row>
    <row r="54" spans="7:11">
      <c r="G54" t="b">
        <v>1</v>
      </c>
      <c r="H54" t="s">
        <v>221</v>
      </c>
      <c r="I54" t="b">
        <f>OR('Nom du personnage'!$F$60='Restriction de divinité'!$E$3,'Nom du personnage'!$F$60='Restriction de divinité'!$E$2)</f>
        <v>0</v>
      </c>
      <c r="K54" cm="1">
        <f t="array" ref="K54">IF(AND(OR($G$2:$G$17='Nom du personnage'!$F$51)=FALSE,'Restriction de divinité'!G54=TRUE,'Restriction de divinité'!I54=TRUE),'Restriction de divinité'!H54,0)</f>
        <v>0</v>
      </c>
    </row>
    <row r="55" spans="7:11">
      <c r="G55" t="b">
        <v>1</v>
      </c>
      <c r="H55" t="s">
        <v>222</v>
      </c>
      <c r="I55" t="b">
        <f>'Nom du personnage'!$F$60=$E$4</f>
        <v>0</v>
      </c>
      <c r="K55" cm="1">
        <f t="array" ref="K55">IF(AND(OR($G$2:$G$17='Nom du personnage'!$F$51)=FALSE,'Restriction de divinité'!G55=TRUE,'Restriction de divinité'!I55=TRUE),'Restriction de divinité'!H55,0)</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A95E-2D83-41D7-8A91-2DE27EEEA9E1}">
  <sheetPr codeName="Feuil2"/>
  <dimension ref="A2:S39"/>
  <sheetViews>
    <sheetView topLeftCell="I1" zoomScaleNormal="100" workbookViewId="0">
      <selection activeCell="S10" sqref="S10"/>
    </sheetView>
  </sheetViews>
  <sheetFormatPr baseColWidth="10" defaultRowHeight="15"/>
  <cols>
    <col min="1" max="1" width="14.1796875" bestFit="1" customWidth="1"/>
    <col min="2" max="2" width="4.08984375" bestFit="1" customWidth="1"/>
    <col min="3" max="3" width="18.36328125" bestFit="1" customWidth="1"/>
    <col min="4" max="4" width="10.26953125" bestFit="1" customWidth="1"/>
    <col min="5" max="6" width="10.26953125" customWidth="1"/>
    <col min="8" max="8" width="16.6328125" bestFit="1" customWidth="1"/>
    <col min="9" max="9" width="14.26953125" bestFit="1" customWidth="1"/>
    <col min="10" max="10" width="13.54296875" customWidth="1"/>
    <col min="12" max="12" width="16.6328125" bestFit="1" customWidth="1"/>
    <col min="16" max="16" width="16.6328125" bestFit="1" customWidth="1"/>
    <col min="17" max="17" width="13.6328125" bestFit="1" customWidth="1"/>
    <col min="18" max="18" width="12.26953125" bestFit="1" customWidth="1"/>
  </cols>
  <sheetData>
    <row r="2" spans="1:19">
      <c r="A2" t="s">
        <v>150</v>
      </c>
      <c r="B2" s="2" t="s">
        <v>6</v>
      </c>
      <c r="C2" t="s">
        <v>140</v>
      </c>
      <c r="D2" s="2" t="s">
        <v>154</v>
      </c>
      <c r="E2" s="2" t="s">
        <v>454</v>
      </c>
      <c r="F2" s="2" t="s">
        <v>455</v>
      </c>
      <c r="H2" s="2" t="s">
        <v>155</v>
      </c>
      <c r="I2" s="2" t="s">
        <v>314</v>
      </c>
      <c r="J2" s="2" t="s">
        <v>695</v>
      </c>
      <c r="K2" s="2"/>
      <c r="L2" t="s">
        <v>215</v>
      </c>
      <c r="N2" t="s">
        <v>275</v>
      </c>
      <c r="Q2" t="s">
        <v>278</v>
      </c>
      <c r="R2" s="2" t="s">
        <v>449</v>
      </c>
      <c r="S2" s="2" t="s">
        <v>679</v>
      </c>
    </row>
    <row r="3" spans="1:19">
      <c r="A3" t="s">
        <v>707</v>
      </c>
      <c r="B3">
        <v>3</v>
      </c>
      <c r="C3" t="s">
        <v>141</v>
      </c>
      <c r="D3">
        <v>28</v>
      </c>
      <c r="E3">
        <v>3</v>
      </c>
      <c r="F3">
        <v>3</v>
      </c>
      <c r="H3" s="2" t="s">
        <v>30</v>
      </c>
      <c r="I3">
        <v>4</v>
      </c>
      <c r="J3" t="s">
        <v>315</v>
      </c>
      <c r="L3" t="s">
        <v>36</v>
      </c>
      <c r="N3" t="s">
        <v>276</v>
      </c>
      <c r="P3" s="2" t="s">
        <v>30</v>
      </c>
      <c r="Q3">
        <v>0</v>
      </c>
      <c r="R3">
        <v>0</v>
      </c>
    </row>
    <row r="4" spans="1:19">
      <c r="A4" t="s">
        <v>708</v>
      </c>
      <c r="B4">
        <v>3</v>
      </c>
      <c r="C4" t="s">
        <v>142</v>
      </c>
      <c r="D4">
        <v>25</v>
      </c>
      <c r="E4">
        <v>3</v>
      </c>
      <c r="F4">
        <v>3</v>
      </c>
      <c r="H4" s="2" t="s">
        <v>32</v>
      </c>
      <c r="I4">
        <v>8</v>
      </c>
      <c r="J4" t="s">
        <v>315</v>
      </c>
      <c r="L4" t="s">
        <v>40</v>
      </c>
      <c r="N4" t="s">
        <v>277</v>
      </c>
      <c r="P4" s="2" t="s">
        <v>156</v>
      </c>
      <c r="Q4">
        <v>0</v>
      </c>
      <c r="R4">
        <v>0</v>
      </c>
    </row>
    <row r="5" spans="1:19">
      <c r="A5" t="s">
        <v>709</v>
      </c>
      <c r="B5">
        <v>3</v>
      </c>
      <c r="C5" t="s">
        <v>143</v>
      </c>
      <c r="D5">
        <v>25</v>
      </c>
      <c r="E5">
        <v>3</v>
      </c>
      <c r="F5">
        <v>3</v>
      </c>
      <c r="H5" s="2" t="s">
        <v>35</v>
      </c>
      <c r="I5">
        <v>3</v>
      </c>
      <c r="J5" t="s">
        <v>696</v>
      </c>
      <c r="L5" t="s">
        <v>31</v>
      </c>
      <c r="N5" t="s">
        <v>664</v>
      </c>
      <c r="P5" s="2" t="s">
        <v>35</v>
      </c>
      <c r="Q5">
        <v>20</v>
      </c>
      <c r="R5">
        <v>0</v>
      </c>
      <c r="S5">
        <v>10</v>
      </c>
    </row>
    <row r="6" spans="1:19">
      <c r="A6" t="s">
        <v>710</v>
      </c>
      <c r="B6">
        <v>3</v>
      </c>
      <c r="C6" t="s">
        <v>145</v>
      </c>
      <c r="D6">
        <v>25</v>
      </c>
      <c r="E6">
        <v>2</v>
      </c>
      <c r="F6">
        <v>4</v>
      </c>
      <c r="H6" s="2" t="s">
        <v>39</v>
      </c>
      <c r="I6">
        <v>0</v>
      </c>
      <c r="J6" t="s">
        <v>315</v>
      </c>
      <c r="L6" t="s">
        <v>216</v>
      </c>
      <c r="P6" s="2" t="s">
        <v>39</v>
      </c>
      <c r="Q6">
        <v>20</v>
      </c>
      <c r="R6">
        <v>0</v>
      </c>
      <c r="S6">
        <v>10</v>
      </c>
    </row>
    <row r="7" spans="1:19">
      <c r="A7" t="s">
        <v>711</v>
      </c>
      <c r="B7">
        <v>3</v>
      </c>
      <c r="C7" t="s">
        <v>144</v>
      </c>
      <c r="D7">
        <v>25</v>
      </c>
      <c r="E7">
        <v>3</v>
      </c>
      <c r="F7">
        <v>3</v>
      </c>
      <c r="H7" s="2" t="s">
        <v>43</v>
      </c>
      <c r="I7">
        <v>3</v>
      </c>
      <c r="J7" t="s">
        <v>315</v>
      </c>
      <c r="L7" t="s">
        <v>44</v>
      </c>
      <c r="P7" s="2" t="s">
        <v>43</v>
      </c>
      <c r="Q7">
        <v>0</v>
      </c>
      <c r="R7">
        <v>0</v>
      </c>
    </row>
    <row r="8" spans="1:19">
      <c r="A8" t="s">
        <v>1006</v>
      </c>
      <c r="B8">
        <v>3</v>
      </c>
      <c r="C8" t="s">
        <v>146</v>
      </c>
      <c r="D8">
        <v>25</v>
      </c>
      <c r="E8">
        <v>3</v>
      </c>
      <c r="F8">
        <v>3</v>
      </c>
      <c r="H8" s="2" t="s">
        <v>47</v>
      </c>
      <c r="I8">
        <v>5</v>
      </c>
      <c r="J8" t="s">
        <v>315</v>
      </c>
      <c r="L8" t="s">
        <v>48</v>
      </c>
      <c r="P8" s="2" t="s">
        <v>47</v>
      </c>
      <c r="Q8">
        <v>20</v>
      </c>
      <c r="R8">
        <v>0</v>
      </c>
      <c r="S8">
        <v>10</v>
      </c>
    </row>
    <row r="9" spans="1:19">
      <c r="A9" t="s">
        <v>135</v>
      </c>
      <c r="B9">
        <v>3</v>
      </c>
      <c r="C9" s="2" t="s">
        <v>672</v>
      </c>
      <c r="D9">
        <v>25</v>
      </c>
      <c r="E9">
        <v>3</v>
      </c>
      <c r="F9">
        <v>3</v>
      </c>
      <c r="H9" s="2" t="s">
        <v>51</v>
      </c>
      <c r="I9">
        <v>3</v>
      </c>
      <c r="J9" t="s">
        <v>315</v>
      </c>
      <c r="L9" t="s">
        <v>52</v>
      </c>
      <c r="P9" s="2" t="s">
        <v>51</v>
      </c>
      <c r="Q9">
        <v>0</v>
      </c>
      <c r="R9">
        <v>0</v>
      </c>
    </row>
    <row r="10" spans="1:19">
      <c r="A10" t="s">
        <v>151</v>
      </c>
      <c r="B10">
        <v>3</v>
      </c>
      <c r="C10" s="2" t="s">
        <v>671</v>
      </c>
      <c r="D10">
        <v>25</v>
      </c>
      <c r="E10">
        <v>3</v>
      </c>
      <c r="F10">
        <v>3</v>
      </c>
      <c r="H10" s="2" t="s">
        <v>55</v>
      </c>
      <c r="I10">
        <v>2</v>
      </c>
      <c r="J10" t="s">
        <v>315</v>
      </c>
      <c r="L10" t="s">
        <v>56</v>
      </c>
      <c r="P10" s="2" t="s">
        <v>55</v>
      </c>
      <c r="Q10">
        <v>20</v>
      </c>
      <c r="R10">
        <v>0</v>
      </c>
      <c r="S10">
        <v>6</v>
      </c>
    </row>
    <row r="11" spans="1:19">
      <c r="A11" t="s">
        <v>152</v>
      </c>
      <c r="B11">
        <v>2</v>
      </c>
      <c r="C11" s="2" t="s">
        <v>673</v>
      </c>
      <c r="D11">
        <v>25</v>
      </c>
      <c r="E11">
        <v>3</v>
      </c>
      <c r="F11">
        <v>3</v>
      </c>
      <c r="H11" s="2" t="s">
        <v>59</v>
      </c>
      <c r="I11">
        <v>3</v>
      </c>
      <c r="J11" t="s">
        <v>315</v>
      </c>
      <c r="L11" t="s">
        <v>60</v>
      </c>
      <c r="P11" s="2" t="s">
        <v>59</v>
      </c>
      <c r="Q11">
        <v>0</v>
      </c>
      <c r="R11">
        <v>0</v>
      </c>
    </row>
    <row r="12" spans="1:19">
      <c r="A12" t="s">
        <v>153</v>
      </c>
      <c r="B12">
        <v>3</v>
      </c>
      <c r="C12" s="2" t="s">
        <v>674</v>
      </c>
      <c r="D12">
        <v>25</v>
      </c>
      <c r="E12">
        <v>3</v>
      </c>
      <c r="F12">
        <v>3</v>
      </c>
      <c r="H12" s="2" t="s">
        <v>63</v>
      </c>
      <c r="I12">
        <v>3</v>
      </c>
      <c r="J12" t="s">
        <v>315</v>
      </c>
      <c r="L12" t="s">
        <v>64</v>
      </c>
      <c r="P12" s="2" t="s">
        <v>63</v>
      </c>
      <c r="Q12">
        <v>10</v>
      </c>
      <c r="R12">
        <v>1</v>
      </c>
      <c r="S12">
        <v>5</v>
      </c>
    </row>
    <row r="13" spans="1:19">
      <c r="C13" t="s">
        <v>147</v>
      </c>
      <c r="D13">
        <v>25</v>
      </c>
      <c r="E13">
        <v>3</v>
      </c>
      <c r="F13">
        <v>3</v>
      </c>
      <c r="H13" s="2" t="s">
        <v>67</v>
      </c>
      <c r="I13">
        <v>4</v>
      </c>
      <c r="J13" t="s">
        <v>315</v>
      </c>
      <c r="L13" t="s">
        <v>68</v>
      </c>
      <c r="P13" s="2" t="s">
        <v>67</v>
      </c>
      <c r="Q13">
        <v>0</v>
      </c>
      <c r="R13">
        <v>1</v>
      </c>
    </row>
    <row r="14" spans="1:19">
      <c r="C14" t="s">
        <v>87</v>
      </c>
      <c r="D14">
        <v>30</v>
      </c>
      <c r="E14">
        <v>3</v>
      </c>
      <c r="F14">
        <v>3</v>
      </c>
      <c r="H14" s="2" t="s">
        <v>70</v>
      </c>
      <c r="I14">
        <v>3</v>
      </c>
      <c r="J14" t="s">
        <v>315</v>
      </c>
      <c r="L14" t="s">
        <v>71</v>
      </c>
      <c r="P14" s="2" t="s">
        <v>70</v>
      </c>
      <c r="Q14">
        <v>20</v>
      </c>
      <c r="R14">
        <v>0</v>
      </c>
      <c r="S14">
        <v>6</v>
      </c>
    </row>
    <row r="15" spans="1:19">
      <c r="C15" t="s">
        <v>97</v>
      </c>
      <c r="D15">
        <v>25</v>
      </c>
      <c r="E15">
        <v>4</v>
      </c>
      <c r="F15">
        <v>4</v>
      </c>
      <c r="H15" s="2" t="s">
        <v>73</v>
      </c>
      <c r="I15">
        <v>3</v>
      </c>
      <c r="J15" t="s">
        <v>315</v>
      </c>
      <c r="L15" t="s">
        <v>74</v>
      </c>
      <c r="P15" s="2" t="s">
        <v>73</v>
      </c>
      <c r="Q15">
        <v>0</v>
      </c>
      <c r="R15">
        <v>0</v>
      </c>
    </row>
    <row r="16" spans="1:19">
      <c r="C16" t="s">
        <v>81</v>
      </c>
      <c r="D16">
        <v>25</v>
      </c>
      <c r="E16">
        <v>2</v>
      </c>
      <c r="F16">
        <v>4</v>
      </c>
      <c r="H16" s="2" t="s">
        <v>76</v>
      </c>
      <c r="I16">
        <v>2</v>
      </c>
      <c r="J16" t="s">
        <v>315</v>
      </c>
      <c r="L16" t="s">
        <v>77</v>
      </c>
      <c r="P16" s="2" t="s">
        <v>76</v>
      </c>
      <c r="Q16">
        <v>10</v>
      </c>
      <c r="R16">
        <v>1</v>
      </c>
      <c r="S16">
        <v>5</v>
      </c>
    </row>
    <row r="17" spans="3:19">
      <c r="C17" t="s">
        <v>103</v>
      </c>
      <c r="D17">
        <v>25</v>
      </c>
      <c r="E17">
        <v>3</v>
      </c>
      <c r="F17">
        <v>3</v>
      </c>
      <c r="H17" s="2" t="s">
        <v>79</v>
      </c>
      <c r="I17">
        <v>8</v>
      </c>
      <c r="J17" t="s">
        <v>315</v>
      </c>
      <c r="L17" t="s">
        <v>80</v>
      </c>
      <c r="P17" s="2" t="s">
        <v>79</v>
      </c>
      <c r="Q17">
        <v>0</v>
      </c>
      <c r="R17">
        <v>0</v>
      </c>
    </row>
    <row r="18" spans="3:19">
      <c r="C18" t="s">
        <v>148</v>
      </c>
      <c r="D18">
        <v>25</v>
      </c>
      <c r="E18">
        <v>4</v>
      </c>
      <c r="F18">
        <v>4</v>
      </c>
      <c r="H18" s="2" t="s">
        <v>157</v>
      </c>
      <c r="I18">
        <v>3</v>
      </c>
      <c r="J18" t="s">
        <v>696</v>
      </c>
      <c r="L18" t="s">
        <v>83</v>
      </c>
      <c r="P18" s="2" t="s">
        <v>157</v>
      </c>
      <c r="Q18">
        <v>10</v>
      </c>
      <c r="R18">
        <v>1</v>
      </c>
      <c r="S18">
        <v>5</v>
      </c>
    </row>
    <row r="19" spans="3:19">
      <c r="C19" t="s">
        <v>90</v>
      </c>
      <c r="D19">
        <v>25</v>
      </c>
      <c r="E19">
        <v>2</v>
      </c>
      <c r="F19">
        <v>4</v>
      </c>
      <c r="H19" s="2" t="s">
        <v>85</v>
      </c>
      <c r="I19">
        <v>3</v>
      </c>
      <c r="J19" t="s">
        <v>315</v>
      </c>
      <c r="L19" t="s">
        <v>86</v>
      </c>
      <c r="P19" s="2" t="s">
        <v>85</v>
      </c>
      <c r="Q19">
        <v>10</v>
      </c>
      <c r="R19">
        <v>1</v>
      </c>
      <c r="S19">
        <v>5</v>
      </c>
    </row>
    <row r="20" spans="3:19">
      <c r="C20" s="2" t="s">
        <v>100</v>
      </c>
      <c r="D20">
        <v>25</v>
      </c>
      <c r="E20">
        <v>4</v>
      </c>
      <c r="F20">
        <v>4</v>
      </c>
      <c r="H20" s="2" t="s">
        <v>88</v>
      </c>
      <c r="I20">
        <v>4</v>
      </c>
      <c r="J20" t="s">
        <v>315</v>
      </c>
      <c r="L20" t="s">
        <v>89</v>
      </c>
      <c r="P20" s="2" t="s">
        <v>88</v>
      </c>
      <c r="Q20">
        <v>10</v>
      </c>
      <c r="R20">
        <v>1</v>
      </c>
      <c r="S20">
        <v>5</v>
      </c>
    </row>
    <row r="21" spans="3:19">
      <c r="C21" t="s">
        <v>106</v>
      </c>
      <c r="D21">
        <v>25</v>
      </c>
      <c r="E21">
        <v>3</v>
      </c>
      <c r="F21">
        <v>3</v>
      </c>
      <c r="H21" s="2" t="s">
        <v>91</v>
      </c>
      <c r="I21">
        <v>4</v>
      </c>
      <c r="J21" t="s">
        <v>315</v>
      </c>
      <c r="L21" t="s">
        <v>92</v>
      </c>
      <c r="P21" s="2" t="s">
        <v>91</v>
      </c>
      <c r="Q21">
        <v>10</v>
      </c>
      <c r="R21">
        <v>1</v>
      </c>
      <c r="S21">
        <v>5</v>
      </c>
    </row>
    <row r="22" spans="3:19">
      <c r="C22" t="s">
        <v>42</v>
      </c>
      <c r="D22">
        <v>25</v>
      </c>
      <c r="E22">
        <v>4</v>
      </c>
      <c r="F22">
        <v>4</v>
      </c>
      <c r="H22" s="2" t="s">
        <v>94</v>
      </c>
      <c r="I22">
        <v>3</v>
      </c>
      <c r="J22" t="s">
        <v>315</v>
      </c>
      <c r="L22" s="2" t="s">
        <v>95</v>
      </c>
      <c r="P22" s="2" t="s">
        <v>94</v>
      </c>
      <c r="Q22">
        <v>10</v>
      </c>
      <c r="R22">
        <v>1</v>
      </c>
      <c r="S22">
        <v>5</v>
      </c>
    </row>
    <row r="23" spans="3:19">
      <c r="C23" t="s">
        <v>78</v>
      </c>
      <c r="D23">
        <v>25</v>
      </c>
      <c r="E23">
        <v>3</v>
      </c>
      <c r="F23">
        <v>3</v>
      </c>
      <c r="H23" s="2" t="s">
        <v>98</v>
      </c>
      <c r="I23">
        <v>8</v>
      </c>
      <c r="J23" t="s">
        <v>315</v>
      </c>
      <c r="L23" t="s">
        <v>99</v>
      </c>
      <c r="P23" s="2" t="s">
        <v>98</v>
      </c>
      <c r="Q23">
        <v>0</v>
      </c>
      <c r="R23">
        <v>0</v>
      </c>
    </row>
    <row r="24" spans="3:19">
      <c r="C24" t="s">
        <v>34</v>
      </c>
      <c r="D24">
        <v>25</v>
      </c>
      <c r="E24">
        <v>3</v>
      </c>
      <c r="F24">
        <v>3</v>
      </c>
      <c r="H24" s="2" t="s">
        <v>104</v>
      </c>
      <c r="I24">
        <v>8</v>
      </c>
      <c r="J24" t="s">
        <v>315</v>
      </c>
      <c r="L24" t="s">
        <v>102</v>
      </c>
      <c r="P24" s="2" t="s">
        <v>104</v>
      </c>
      <c r="Q24">
        <v>10</v>
      </c>
      <c r="R24">
        <v>1</v>
      </c>
      <c r="S24">
        <v>5</v>
      </c>
    </row>
    <row r="25" spans="3:19">
      <c r="C25" t="s">
        <v>46</v>
      </c>
      <c r="D25">
        <v>25</v>
      </c>
      <c r="E25">
        <v>3</v>
      </c>
      <c r="F25">
        <v>3</v>
      </c>
      <c r="H25" s="2" t="s">
        <v>107</v>
      </c>
      <c r="I25">
        <v>3</v>
      </c>
      <c r="J25" t="s">
        <v>315</v>
      </c>
      <c r="L25" t="s">
        <v>105</v>
      </c>
      <c r="P25" s="2" t="s">
        <v>107</v>
      </c>
      <c r="Q25">
        <v>10</v>
      </c>
      <c r="R25">
        <v>1</v>
      </c>
      <c r="S25">
        <v>5</v>
      </c>
    </row>
    <row r="26" spans="3:19">
      <c r="C26" t="s">
        <v>109</v>
      </c>
      <c r="D26">
        <v>25</v>
      </c>
      <c r="E26">
        <v>4</v>
      </c>
      <c r="F26">
        <v>4</v>
      </c>
      <c r="H26" s="2" t="s">
        <v>110</v>
      </c>
      <c r="I26">
        <v>0</v>
      </c>
      <c r="J26" t="s">
        <v>315</v>
      </c>
      <c r="L26" t="s">
        <v>108</v>
      </c>
      <c r="P26" s="2" t="s">
        <v>110</v>
      </c>
      <c r="Q26">
        <v>20</v>
      </c>
      <c r="R26">
        <v>0</v>
      </c>
      <c r="S26">
        <v>6</v>
      </c>
    </row>
    <row r="27" spans="3:19">
      <c r="C27" t="s">
        <v>112</v>
      </c>
      <c r="D27">
        <v>25</v>
      </c>
      <c r="E27">
        <v>2</v>
      </c>
      <c r="F27">
        <v>4</v>
      </c>
      <c r="H27" s="2" t="s">
        <v>113</v>
      </c>
      <c r="I27">
        <v>0</v>
      </c>
      <c r="J27" t="s">
        <v>315</v>
      </c>
      <c r="L27" t="s">
        <v>111</v>
      </c>
      <c r="P27" s="2" t="s">
        <v>113</v>
      </c>
      <c r="Q27">
        <v>10</v>
      </c>
      <c r="R27">
        <v>1</v>
      </c>
      <c r="S27">
        <v>5</v>
      </c>
    </row>
    <row r="28" spans="3:19">
      <c r="C28" s="2" t="s">
        <v>675</v>
      </c>
      <c r="D28">
        <v>25</v>
      </c>
      <c r="E28">
        <v>3</v>
      </c>
      <c r="F28">
        <v>3</v>
      </c>
      <c r="H28" s="2" t="s">
        <v>158</v>
      </c>
      <c r="I28">
        <v>8</v>
      </c>
      <c r="J28" t="s">
        <v>315</v>
      </c>
      <c r="L28" t="s">
        <v>114</v>
      </c>
      <c r="P28" s="2" t="s">
        <v>158</v>
      </c>
      <c r="Q28">
        <v>0</v>
      </c>
      <c r="R28">
        <v>0</v>
      </c>
    </row>
    <row r="29" spans="3:19">
      <c r="C29" s="2" t="s">
        <v>676</v>
      </c>
      <c r="D29">
        <v>25</v>
      </c>
      <c r="E29">
        <v>3</v>
      </c>
      <c r="F29">
        <v>3</v>
      </c>
      <c r="H29" s="2" t="s">
        <v>159</v>
      </c>
      <c r="I29">
        <v>2</v>
      </c>
      <c r="J29" t="s">
        <v>315</v>
      </c>
      <c r="L29" t="s">
        <v>117</v>
      </c>
      <c r="P29" s="2" t="s">
        <v>159</v>
      </c>
      <c r="Q29">
        <v>10</v>
      </c>
      <c r="R29">
        <v>1</v>
      </c>
      <c r="S29">
        <v>5</v>
      </c>
    </row>
    <row r="30" spans="3:19">
      <c r="C30" s="2" t="s">
        <v>677</v>
      </c>
      <c r="D30">
        <v>25</v>
      </c>
      <c r="E30">
        <v>3</v>
      </c>
      <c r="F30">
        <v>3</v>
      </c>
      <c r="H30" s="2" t="s">
        <v>118</v>
      </c>
      <c r="I30">
        <v>3</v>
      </c>
      <c r="J30" t="s">
        <v>315</v>
      </c>
      <c r="L30" t="s">
        <v>217</v>
      </c>
      <c r="P30" s="2" t="s">
        <v>118</v>
      </c>
      <c r="Q30">
        <v>0</v>
      </c>
      <c r="R30">
        <v>0</v>
      </c>
    </row>
    <row r="31" spans="3:19">
      <c r="C31" s="2" t="s">
        <v>678</v>
      </c>
      <c r="D31">
        <v>25</v>
      </c>
      <c r="E31">
        <v>3</v>
      </c>
      <c r="F31">
        <v>3</v>
      </c>
      <c r="L31" t="s">
        <v>120</v>
      </c>
    </row>
    <row r="32" spans="3:19">
      <c r="C32" t="s">
        <v>93</v>
      </c>
      <c r="D32">
        <v>25</v>
      </c>
      <c r="E32">
        <v>3</v>
      </c>
      <c r="F32">
        <v>3</v>
      </c>
      <c r="L32" t="s">
        <v>121</v>
      </c>
    </row>
    <row r="33" spans="12:12">
      <c r="L33" t="s">
        <v>122</v>
      </c>
    </row>
    <row r="34" spans="12:12">
      <c r="L34" t="s">
        <v>218</v>
      </c>
    </row>
    <row r="35" spans="12:12">
      <c r="L35" t="s">
        <v>124</v>
      </c>
    </row>
    <row r="36" spans="12:12">
      <c r="L36" t="s">
        <v>219</v>
      </c>
    </row>
    <row r="37" spans="12:12">
      <c r="L37" t="s">
        <v>220</v>
      </c>
    </row>
    <row r="38" spans="12:12">
      <c r="L38" t="s">
        <v>221</v>
      </c>
    </row>
    <row r="39" spans="12:12">
      <c r="L39" t="s">
        <v>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4005-65AE-40CF-9628-FF86D95B8348}">
  <sheetPr codeName="Feuil7"/>
  <dimension ref="A2:H105"/>
  <sheetViews>
    <sheetView workbookViewId="0">
      <selection activeCell="K8" sqref="K8"/>
    </sheetView>
  </sheetViews>
  <sheetFormatPr baseColWidth="10" defaultRowHeight="15"/>
  <cols>
    <col min="1" max="1" width="18.36328125" bestFit="1" customWidth="1"/>
    <col min="2" max="2" width="16.6328125" bestFit="1" customWidth="1"/>
    <col min="3" max="3" width="16.1796875" bestFit="1" customWidth="1"/>
    <col min="5" max="5" width="16.6328125" bestFit="1" customWidth="1"/>
    <col min="7" max="7" width="14.453125" bestFit="1" customWidth="1"/>
  </cols>
  <sheetData>
    <row r="2" spans="1:8">
      <c r="A2" t="s">
        <v>140</v>
      </c>
      <c r="B2" s="2" t="s">
        <v>155</v>
      </c>
    </row>
    <row r="3" spans="1:8">
      <c r="A3" t="s">
        <v>141</v>
      </c>
      <c r="B3" s="2" t="s">
        <v>30</v>
      </c>
      <c r="D3" t="s">
        <v>147</v>
      </c>
      <c r="E3" s="2" t="s">
        <v>30</v>
      </c>
      <c r="G3">
        <f>IF(D3='Nom du personnage'!$F$51,'Restriction de carrière'!E3,)</f>
        <v>0</v>
      </c>
      <c r="H3">
        <f>IF(G3=0,0,2)</f>
        <v>0</v>
      </c>
    </row>
    <row r="4" spans="1:8">
      <c r="A4" t="s">
        <v>142</v>
      </c>
      <c r="B4" s="2" t="s">
        <v>32</v>
      </c>
      <c r="D4" t="s">
        <v>147</v>
      </c>
      <c r="E4" s="2" t="s">
        <v>32</v>
      </c>
      <c r="G4">
        <f>IF(D4='Nom du personnage'!$F$51,'Restriction de carrière'!E4,)</f>
        <v>0</v>
      </c>
      <c r="H4">
        <f t="shared" ref="H4:H43" si="0">IF(G4=0,0,2)</f>
        <v>0</v>
      </c>
    </row>
    <row r="5" spans="1:8">
      <c r="A5" t="s">
        <v>143</v>
      </c>
      <c r="B5" s="2" t="s">
        <v>35</v>
      </c>
      <c r="D5" t="s">
        <v>147</v>
      </c>
      <c r="E5" s="2" t="s">
        <v>35</v>
      </c>
      <c r="G5">
        <f>IF(D5='Nom du personnage'!$F$51,'Restriction de carrière'!E5,)</f>
        <v>0</v>
      </c>
      <c r="H5">
        <f t="shared" si="0"/>
        <v>0</v>
      </c>
    </row>
    <row r="6" spans="1:8">
      <c r="A6" t="s">
        <v>145</v>
      </c>
      <c r="B6" s="2" t="s">
        <v>39</v>
      </c>
      <c r="D6" t="s">
        <v>147</v>
      </c>
      <c r="E6" s="2" t="s">
        <v>39</v>
      </c>
      <c r="G6">
        <f>IF(D6='Nom du personnage'!$F$51,'Restriction de carrière'!E6,)</f>
        <v>0</v>
      </c>
      <c r="H6">
        <f t="shared" si="0"/>
        <v>0</v>
      </c>
    </row>
    <row r="7" spans="1:8">
      <c r="A7" t="s">
        <v>144</v>
      </c>
      <c r="B7" s="2" t="s">
        <v>43</v>
      </c>
      <c r="D7" t="s">
        <v>147</v>
      </c>
      <c r="E7" s="2" t="s">
        <v>43</v>
      </c>
      <c r="G7">
        <f>IF(D7='Nom du personnage'!$F$51,'Restriction de carrière'!E7,)</f>
        <v>0</v>
      </c>
      <c r="H7">
        <f t="shared" si="0"/>
        <v>0</v>
      </c>
    </row>
    <row r="8" spans="1:8">
      <c r="A8" t="s">
        <v>146</v>
      </c>
      <c r="B8" s="2" t="s">
        <v>47</v>
      </c>
      <c r="D8" t="s">
        <v>147</v>
      </c>
      <c r="E8" s="2" t="s">
        <v>47</v>
      </c>
      <c r="G8">
        <f>IF(D8='Nom du personnage'!$F$51,'Restriction de carrière'!E8,)</f>
        <v>0</v>
      </c>
      <c r="H8">
        <f t="shared" si="0"/>
        <v>0</v>
      </c>
    </row>
    <row r="9" spans="1:8">
      <c r="A9" s="2" t="s">
        <v>672</v>
      </c>
      <c r="B9" s="2" t="s">
        <v>51</v>
      </c>
      <c r="D9" t="s">
        <v>147</v>
      </c>
      <c r="E9" s="2" t="s">
        <v>51</v>
      </c>
      <c r="G9">
        <f>IF(D9='Nom du personnage'!$F$51,'Restriction de carrière'!E9,)</f>
        <v>0</v>
      </c>
      <c r="H9">
        <f t="shared" si="0"/>
        <v>0</v>
      </c>
    </row>
    <row r="10" spans="1:8">
      <c r="A10" s="2" t="s">
        <v>671</v>
      </c>
      <c r="B10" s="2" t="s">
        <v>55</v>
      </c>
      <c r="D10" t="s">
        <v>147</v>
      </c>
      <c r="E10" s="2" t="s">
        <v>55</v>
      </c>
      <c r="G10">
        <f>IF(D10='Nom du personnage'!$F$51,'Restriction de carrière'!E10,)</f>
        <v>0</v>
      </c>
      <c r="H10">
        <f t="shared" si="0"/>
        <v>0</v>
      </c>
    </row>
    <row r="11" spans="1:8">
      <c r="A11" s="2" t="s">
        <v>673</v>
      </c>
      <c r="B11" s="2" t="s">
        <v>59</v>
      </c>
      <c r="D11" t="s">
        <v>147</v>
      </c>
      <c r="E11" s="2" t="s">
        <v>59</v>
      </c>
      <c r="G11">
        <f>IF(D11='Nom du personnage'!$F$51,'Restriction de carrière'!E11,)</f>
        <v>0</v>
      </c>
      <c r="H11">
        <f t="shared" si="0"/>
        <v>0</v>
      </c>
    </row>
    <row r="12" spans="1:8">
      <c r="A12" s="2" t="s">
        <v>674</v>
      </c>
      <c r="B12" s="2" t="s">
        <v>63</v>
      </c>
      <c r="D12" t="s">
        <v>147</v>
      </c>
      <c r="E12" s="2" t="s">
        <v>70</v>
      </c>
      <c r="G12">
        <f>IF(D12='Nom du personnage'!$F$51,'Restriction de carrière'!E12,)</f>
        <v>0</v>
      </c>
      <c r="H12">
        <f t="shared" si="0"/>
        <v>0</v>
      </c>
    </row>
    <row r="13" spans="1:8">
      <c r="A13" t="s">
        <v>147</v>
      </c>
      <c r="B13" s="2" t="s">
        <v>67</v>
      </c>
      <c r="D13" t="s">
        <v>147</v>
      </c>
      <c r="E13" s="2" t="s">
        <v>73</v>
      </c>
      <c r="G13">
        <f>IF(D13='Nom du personnage'!$F$51,'Restriction de carrière'!E13,)</f>
        <v>0</v>
      </c>
      <c r="H13">
        <f t="shared" si="0"/>
        <v>0</v>
      </c>
    </row>
    <row r="14" spans="1:8">
      <c r="A14" t="s">
        <v>87</v>
      </c>
      <c r="B14" s="2" t="s">
        <v>70</v>
      </c>
      <c r="D14" t="s">
        <v>147</v>
      </c>
      <c r="E14" s="2" t="s">
        <v>76</v>
      </c>
      <c r="G14">
        <f>IF(D14='Nom du personnage'!$F$51,'Restriction de carrière'!E14,)</f>
        <v>0</v>
      </c>
      <c r="H14">
        <f t="shared" si="0"/>
        <v>0</v>
      </c>
    </row>
    <row r="15" spans="1:8">
      <c r="A15" t="s">
        <v>97</v>
      </c>
      <c r="B15" s="2" t="s">
        <v>73</v>
      </c>
      <c r="D15" t="s">
        <v>147</v>
      </c>
      <c r="E15" s="2" t="s">
        <v>79</v>
      </c>
      <c r="G15">
        <f>IF(D15='Nom du personnage'!$F$51,'Restriction de carrière'!E15,)</f>
        <v>0</v>
      </c>
      <c r="H15">
        <f t="shared" si="0"/>
        <v>0</v>
      </c>
    </row>
    <row r="16" spans="1:8">
      <c r="A16" t="s">
        <v>81</v>
      </c>
      <c r="B16" s="2" t="s">
        <v>76</v>
      </c>
      <c r="D16" t="s">
        <v>147</v>
      </c>
      <c r="E16" s="2" t="s">
        <v>85</v>
      </c>
      <c r="G16">
        <f>IF(D16='Nom du personnage'!$F$51,'Restriction de carrière'!E16,)</f>
        <v>0</v>
      </c>
      <c r="H16">
        <f t="shared" si="0"/>
        <v>0</v>
      </c>
    </row>
    <row r="17" spans="1:8">
      <c r="A17" t="s">
        <v>103</v>
      </c>
      <c r="B17" s="2" t="s">
        <v>79</v>
      </c>
      <c r="D17" t="s">
        <v>147</v>
      </c>
      <c r="E17" s="2" t="s">
        <v>88</v>
      </c>
      <c r="G17">
        <f>IF(D17='Nom du personnage'!$F$51,'Restriction de carrière'!E17,)</f>
        <v>0</v>
      </c>
      <c r="H17">
        <f t="shared" si="0"/>
        <v>0</v>
      </c>
    </row>
    <row r="18" spans="1:8">
      <c r="A18" t="s">
        <v>148</v>
      </c>
      <c r="B18" s="2" t="s">
        <v>157</v>
      </c>
      <c r="D18" t="s">
        <v>147</v>
      </c>
      <c r="E18" s="2" t="s">
        <v>91</v>
      </c>
      <c r="G18">
        <f>IF(D18='Nom du personnage'!$F$51,'Restriction de carrière'!E18,)</f>
        <v>0</v>
      </c>
      <c r="H18">
        <f t="shared" si="0"/>
        <v>0</v>
      </c>
    </row>
    <row r="19" spans="1:8">
      <c r="A19" t="s">
        <v>90</v>
      </c>
      <c r="B19" s="2" t="s">
        <v>85</v>
      </c>
      <c r="D19" t="s">
        <v>147</v>
      </c>
      <c r="E19" s="2" t="s">
        <v>104</v>
      </c>
      <c r="G19">
        <f>IF(D19='Nom du personnage'!$F$51,'Restriction de carrière'!E19,)</f>
        <v>0</v>
      </c>
      <c r="H19">
        <f t="shared" si="0"/>
        <v>0</v>
      </c>
    </row>
    <row r="20" spans="1:8">
      <c r="A20" t="s">
        <v>100</v>
      </c>
      <c r="B20" s="2" t="s">
        <v>88</v>
      </c>
      <c r="D20" t="s">
        <v>147</v>
      </c>
      <c r="E20" s="2" t="s">
        <v>107</v>
      </c>
      <c r="G20">
        <f>IF(D20='Nom du personnage'!$F$51,'Restriction de carrière'!E20,)</f>
        <v>0</v>
      </c>
      <c r="H20">
        <f t="shared" si="0"/>
        <v>0</v>
      </c>
    </row>
    <row r="21" spans="1:8">
      <c r="A21" t="s">
        <v>106</v>
      </c>
      <c r="B21" s="2" t="s">
        <v>91</v>
      </c>
      <c r="D21" t="s">
        <v>147</v>
      </c>
      <c r="E21" s="2" t="s">
        <v>110</v>
      </c>
      <c r="G21">
        <f>IF(D21='Nom du personnage'!$F$51,'Restriction de carrière'!E21,)</f>
        <v>0</v>
      </c>
      <c r="H21">
        <f t="shared" si="0"/>
        <v>0</v>
      </c>
    </row>
    <row r="22" spans="1:8">
      <c r="A22" t="s">
        <v>42</v>
      </c>
      <c r="B22" s="2" t="s">
        <v>94</v>
      </c>
      <c r="D22" t="s">
        <v>147</v>
      </c>
      <c r="E22" s="2" t="s">
        <v>113</v>
      </c>
      <c r="G22">
        <f>IF(D22='Nom du personnage'!$F$51,'Restriction de carrière'!E22,)</f>
        <v>0</v>
      </c>
      <c r="H22">
        <f t="shared" si="0"/>
        <v>0</v>
      </c>
    </row>
    <row r="23" spans="1:8">
      <c r="A23" t="s">
        <v>78</v>
      </c>
      <c r="B23" s="2" t="s">
        <v>98</v>
      </c>
      <c r="D23" t="s">
        <v>147</v>
      </c>
      <c r="E23" s="2" t="s">
        <v>158</v>
      </c>
      <c r="G23">
        <f>IF(D23='Nom du personnage'!$F$51,'Restriction de carrière'!E23,)</f>
        <v>0</v>
      </c>
      <c r="H23">
        <f t="shared" si="0"/>
        <v>0</v>
      </c>
    </row>
    <row r="24" spans="1:8">
      <c r="A24" t="s">
        <v>34</v>
      </c>
      <c r="B24" s="2" t="s">
        <v>104</v>
      </c>
      <c r="D24" t="s">
        <v>147</v>
      </c>
      <c r="E24" s="2" t="s">
        <v>159</v>
      </c>
      <c r="G24">
        <f>IF(D24='Nom du personnage'!$F$51,'Restriction de carrière'!E24,)</f>
        <v>0</v>
      </c>
      <c r="H24">
        <f t="shared" si="0"/>
        <v>0</v>
      </c>
    </row>
    <row r="25" spans="1:8">
      <c r="A25" t="s">
        <v>46</v>
      </c>
      <c r="B25" s="2" t="s">
        <v>107</v>
      </c>
      <c r="D25" t="s">
        <v>147</v>
      </c>
      <c r="E25" s="2" t="s">
        <v>118</v>
      </c>
      <c r="G25">
        <f>IF(D25='Nom du personnage'!$F$51,'Restriction de carrière'!E25,)</f>
        <v>0</v>
      </c>
      <c r="H25">
        <f t="shared" si="0"/>
        <v>0</v>
      </c>
    </row>
    <row r="26" spans="1:8">
      <c r="A26" t="s">
        <v>109</v>
      </c>
      <c r="B26" s="2" t="s">
        <v>110</v>
      </c>
      <c r="D26" t="s">
        <v>100</v>
      </c>
      <c r="E26" s="2" t="s">
        <v>30</v>
      </c>
      <c r="G26">
        <f>IF(D26='Nom du personnage'!$F$51,'Restriction de carrière'!E26,)</f>
        <v>0</v>
      </c>
      <c r="H26">
        <f t="shared" si="0"/>
        <v>0</v>
      </c>
    </row>
    <row r="27" spans="1:8">
      <c r="A27" t="s">
        <v>112</v>
      </c>
      <c r="B27" s="2" t="s">
        <v>113</v>
      </c>
      <c r="D27" t="s">
        <v>100</v>
      </c>
      <c r="E27" s="2" t="s">
        <v>35</v>
      </c>
      <c r="G27">
        <f>IF(D27='Nom du personnage'!$F$51,'Restriction de carrière'!E27,)</f>
        <v>0</v>
      </c>
      <c r="H27">
        <f t="shared" si="0"/>
        <v>0</v>
      </c>
    </row>
    <row r="28" spans="1:8">
      <c r="A28" s="2" t="s">
        <v>675</v>
      </c>
      <c r="B28" s="2" t="s">
        <v>158</v>
      </c>
      <c r="D28" t="s">
        <v>100</v>
      </c>
      <c r="E28" s="2" t="s">
        <v>55</v>
      </c>
      <c r="G28">
        <f>IF(D28='Nom du personnage'!$F$51,'Restriction de carrière'!E28,)</f>
        <v>0</v>
      </c>
      <c r="H28">
        <f t="shared" si="0"/>
        <v>0</v>
      </c>
    </row>
    <row r="29" spans="1:8">
      <c r="A29" s="2" t="s">
        <v>676</v>
      </c>
      <c r="B29" s="2" t="s">
        <v>159</v>
      </c>
      <c r="D29" t="s">
        <v>100</v>
      </c>
      <c r="E29" s="2" t="s">
        <v>67</v>
      </c>
      <c r="G29">
        <f>IF(D29='Nom du personnage'!$F$51,'Restriction de carrière'!E29,)</f>
        <v>0</v>
      </c>
      <c r="H29">
        <f t="shared" si="0"/>
        <v>0</v>
      </c>
    </row>
    <row r="30" spans="1:8">
      <c r="A30" s="2" t="s">
        <v>677</v>
      </c>
      <c r="B30" s="2" t="s">
        <v>118</v>
      </c>
      <c r="D30" t="s">
        <v>100</v>
      </c>
      <c r="E30" s="2" t="s">
        <v>70</v>
      </c>
      <c r="G30">
        <f>IF(D30='Nom du personnage'!$F$51,'Restriction de carrière'!E30,)</f>
        <v>0</v>
      </c>
      <c r="H30">
        <f t="shared" si="0"/>
        <v>0</v>
      </c>
    </row>
    <row r="31" spans="1:8">
      <c r="A31" s="2" t="s">
        <v>678</v>
      </c>
      <c r="D31" t="s">
        <v>100</v>
      </c>
      <c r="E31" s="2" t="s">
        <v>76</v>
      </c>
      <c r="G31">
        <f>IF(D31='Nom du personnage'!$F$51,'Restriction de carrière'!E31,)</f>
        <v>0</v>
      </c>
      <c r="H31">
        <f t="shared" si="0"/>
        <v>0</v>
      </c>
    </row>
    <row r="32" spans="1:8">
      <c r="A32" t="s">
        <v>93</v>
      </c>
      <c r="D32" t="s">
        <v>100</v>
      </c>
      <c r="E32" s="2" t="s">
        <v>157</v>
      </c>
      <c r="G32">
        <f>IF(D32='Nom du personnage'!$F$51,'Restriction de carrière'!E32,)</f>
        <v>0</v>
      </c>
      <c r="H32">
        <f t="shared" si="0"/>
        <v>0</v>
      </c>
    </row>
    <row r="33" spans="4:8">
      <c r="D33" t="s">
        <v>100</v>
      </c>
      <c r="E33" s="2" t="s">
        <v>94</v>
      </c>
      <c r="G33">
        <f>IF(D33='Nom du personnage'!$F$51,'Restriction de carrière'!E33,)</f>
        <v>0</v>
      </c>
      <c r="H33">
        <f t="shared" si="0"/>
        <v>0</v>
      </c>
    </row>
    <row r="34" spans="4:8">
      <c r="D34" t="s">
        <v>100</v>
      </c>
      <c r="E34" s="2" t="s">
        <v>104</v>
      </c>
      <c r="G34">
        <f>IF(D34='Nom du personnage'!$F$51,'Restriction de carrière'!E34,)</f>
        <v>0</v>
      </c>
      <c r="H34">
        <f t="shared" si="0"/>
        <v>0</v>
      </c>
    </row>
    <row r="35" spans="4:8">
      <c r="D35" t="s">
        <v>100</v>
      </c>
      <c r="E35" s="2" t="s">
        <v>107</v>
      </c>
      <c r="G35">
        <f>IF(D35='Nom du personnage'!$F$51,'Restriction de carrière'!E35,)</f>
        <v>0</v>
      </c>
      <c r="H35">
        <f t="shared" si="0"/>
        <v>0</v>
      </c>
    </row>
    <row r="36" spans="4:8">
      <c r="D36" t="s">
        <v>100</v>
      </c>
      <c r="E36" s="2" t="s">
        <v>158</v>
      </c>
      <c r="G36">
        <f>IF(D36='Nom du personnage'!$F$51,'Restriction de carrière'!E36,)</f>
        <v>0</v>
      </c>
      <c r="H36">
        <f t="shared" si="0"/>
        <v>0</v>
      </c>
    </row>
    <row r="37" spans="4:8">
      <c r="D37" t="s">
        <v>100</v>
      </c>
      <c r="E37" s="2" t="s">
        <v>159</v>
      </c>
      <c r="G37">
        <f>IF(D37='Nom du personnage'!$F$51,'Restriction de carrière'!E37,)</f>
        <v>0</v>
      </c>
      <c r="H37">
        <f t="shared" si="0"/>
        <v>0</v>
      </c>
    </row>
    <row r="38" spans="4:8">
      <c r="D38" t="s">
        <v>100</v>
      </c>
      <c r="E38" s="2" t="s">
        <v>118</v>
      </c>
      <c r="G38">
        <f>IF(D38='Nom du personnage'!$F$51,'Restriction de carrière'!E38,)</f>
        <v>0</v>
      </c>
      <c r="H38">
        <f t="shared" si="0"/>
        <v>0</v>
      </c>
    </row>
    <row r="39" spans="4:8">
      <c r="D39" t="s">
        <v>142</v>
      </c>
      <c r="E39" s="2" t="s">
        <v>39</v>
      </c>
      <c r="G39">
        <f>IF(D39='Nom du personnage'!$F$51,'Restriction de carrière'!E39,)</f>
        <v>0</v>
      </c>
      <c r="H39">
        <f t="shared" si="0"/>
        <v>0</v>
      </c>
    </row>
    <row r="40" spans="4:8">
      <c r="D40" t="s">
        <v>142</v>
      </c>
      <c r="E40" s="2" t="s">
        <v>63</v>
      </c>
      <c r="G40">
        <f>IF(D40='Nom du personnage'!$F$51,'Restriction de carrière'!E40,)</f>
        <v>0</v>
      </c>
      <c r="H40">
        <f t="shared" si="0"/>
        <v>0</v>
      </c>
    </row>
    <row r="41" spans="4:8">
      <c r="D41" t="s">
        <v>142</v>
      </c>
      <c r="E41" s="2" t="s">
        <v>91</v>
      </c>
      <c r="G41">
        <f>IF(D41='Nom du personnage'!$F$51,'Restriction de carrière'!E41,)</f>
        <v>0</v>
      </c>
      <c r="H41">
        <f t="shared" si="0"/>
        <v>0</v>
      </c>
    </row>
    <row r="42" spans="4:8">
      <c r="D42" t="s">
        <v>142</v>
      </c>
      <c r="E42" s="2" t="s">
        <v>94</v>
      </c>
      <c r="G42">
        <f>IF(D42='Nom du personnage'!$F$51,'Restriction de carrière'!E42,)</f>
        <v>0</v>
      </c>
      <c r="H42">
        <f t="shared" si="0"/>
        <v>0</v>
      </c>
    </row>
    <row r="43" spans="4:8">
      <c r="D43" t="s">
        <v>142</v>
      </c>
      <c r="E43" s="2" t="s">
        <v>113</v>
      </c>
      <c r="G43">
        <f>IF(D43='Nom du personnage'!$F$51,'Restriction de carrière'!E43,)</f>
        <v>0</v>
      </c>
      <c r="H43">
        <f t="shared" si="0"/>
        <v>0</v>
      </c>
    </row>
    <row r="44" spans="4:8">
      <c r="D44" t="s">
        <v>42</v>
      </c>
      <c r="E44" s="2" t="s">
        <v>30</v>
      </c>
      <c r="G44">
        <f>IF(D44='Nom du personnage'!$F$51,'Restriction de carrière'!E44,)</f>
        <v>0</v>
      </c>
      <c r="H44">
        <f>IF(G44=0,0,2)</f>
        <v>0</v>
      </c>
    </row>
    <row r="45" spans="4:8">
      <c r="D45" t="s">
        <v>42</v>
      </c>
      <c r="E45" s="2" t="s">
        <v>32</v>
      </c>
      <c r="G45">
        <f>IF(D45='Nom du personnage'!$F$51,'Restriction de carrière'!E45,)</f>
        <v>0</v>
      </c>
      <c r="H45">
        <f t="shared" ref="H45:H52" si="1">IF(G45=0,0,2)</f>
        <v>0</v>
      </c>
    </row>
    <row r="46" spans="4:8">
      <c r="D46" t="s">
        <v>42</v>
      </c>
      <c r="E46" s="2" t="s">
        <v>43</v>
      </c>
      <c r="G46">
        <f>IF(D46='Nom du personnage'!$F$51,'Restriction de carrière'!E46,)</f>
        <v>0</v>
      </c>
      <c r="H46">
        <f t="shared" si="1"/>
        <v>0</v>
      </c>
    </row>
    <row r="47" spans="4:8">
      <c r="D47" t="s">
        <v>42</v>
      </c>
      <c r="E47" s="2" t="s">
        <v>51</v>
      </c>
      <c r="G47">
        <f>IF(D47='Nom du personnage'!$F$51,'Restriction de carrière'!E47,)</f>
        <v>0</v>
      </c>
      <c r="H47">
        <f t="shared" si="1"/>
        <v>0</v>
      </c>
    </row>
    <row r="48" spans="4:8">
      <c r="D48" t="s">
        <v>42</v>
      </c>
      <c r="E48" s="2" t="s">
        <v>59</v>
      </c>
      <c r="G48">
        <f>IF(D48='Nom du personnage'!$F$51,'Restriction de carrière'!E48,)</f>
        <v>0</v>
      </c>
      <c r="H48">
        <f t="shared" si="1"/>
        <v>0</v>
      </c>
    </row>
    <row r="49" spans="4:8">
      <c r="D49" t="s">
        <v>42</v>
      </c>
      <c r="E49" s="2" t="s">
        <v>73</v>
      </c>
      <c r="G49">
        <f>IF(D49='Nom du personnage'!$F$51,'Restriction de carrière'!E49,)</f>
        <v>0</v>
      </c>
      <c r="H49">
        <f t="shared" si="1"/>
        <v>0</v>
      </c>
    </row>
    <row r="50" spans="4:8">
      <c r="D50" t="s">
        <v>42</v>
      </c>
      <c r="E50" s="2" t="s">
        <v>79</v>
      </c>
      <c r="G50">
        <f>IF(D50='Nom du personnage'!$F$51,'Restriction de carrière'!E50,)</f>
        <v>0</v>
      </c>
      <c r="H50">
        <f t="shared" si="1"/>
        <v>0</v>
      </c>
    </row>
    <row r="51" spans="4:8">
      <c r="D51" t="s">
        <v>42</v>
      </c>
      <c r="E51" s="2" t="s">
        <v>98</v>
      </c>
      <c r="G51">
        <f>IF(D51='Nom du personnage'!$F$51,'Restriction de carrière'!E51,)</f>
        <v>0</v>
      </c>
      <c r="H51">
        <f t="shared" si="1"/>
        <v>0</v>
      </c>
    </row>
    <row r="52" spans="4:8">
      <c r="D52" t="s">
        <v>42</v>
      </c>
      <c r="E52" s="2" t="s">
        <v>118</v>
      </c>
      <c r="G52">
        <f>IF(D52='Nom du personnage'!$F$51,'Restriction de carrière'!E52,)</f>
        <v>0</v>
      </c>
      <c r="H52">
        <f t="shared" si="1"/>
        <v>0</v>
      </c>
    </row>
    <row r="53" spans="4:8">
      <c r="D53" t="s">
        <v>46</v>
      </c>
      <c r="E53" s="2" t="s">
        <v>39</v>
      </c>
      <c r="G53">
        <f>IF(D53='Nom du personnage'!$F$51,'Restriction de carrière'!E53,)</f>
        <v>0</v>
      </c>
      <c r="H53">
        <f t="shared" ref="H53:H68" si="2">IF(G53=0,0,2)</f>
        <v>0</v>
      </c>
    </row>
    <row r="54" spans="4:8">
      <c r="D54" t="s">
        <v>46</v>
      </c>
      <c r="E54" s="2" t="s">
        <v>43</v>
      </c>
      <c r="G54">
        <f>IF(D54='Nom du personnage'!$F$51,'Restriction de carrière'!E54,)</f>
        <v>0</v>
      </c>
      <c r="H54">
        <f t="shared" si="2"/>
        <v>0</v>
      </c>
    </row>
    <row r="55" spans="4:8">
      <c r="D55" t="s">
        <v>46</v>
      </c>
      <c r="E55" s="2" t="s">
        <v>51</v>
      </c>
      <c r="G55">
        <f>IF(D55='Nom du personnage'!$F$51,'Restriction de carrière'!E55,)</f>
        <v>0</v>
      </c>
      <c r="H55">
        <f t="shared" si="2"/>
        <v>0</v>
      </c>
    </row>
    <row r="56" spans="4:8">
      <c r="D56" t="s">
        <v>46</v>
      </c>
      <c r="E56" s="2" t="s">
        <v>59</v>
      </c>
      <c r="G56">
        <f>IF(D56='Nom du personnage'!$F$51,'Restriction de carrière'!E56,)</f>
        <v>0</v>
      </c>
      <c r="H56">
        <f t="shared" si="2"/>
        <v>0</v>
      </c>
    </row>
    <row r="57" spans="4:8">
      <c r="D57" t="s">
        <v>46</v>
      </c>
      <c r="E57" s="2" t="s">
        <v>63</v>
      </c>
      <c r="G57">
        <f>IF(D57='Nom du personnage'!$F$51,'Restriction de carrière'!E57,)</f>
        <v>0</v>
      </c>
      <c r="H57">
        <f t="shared" si="2"/>
        <v>0</v>
      </c>
    </row>
    <row r="58" spans="4:8">
      <c r="D58" t="s">
        <v>46</v>
      </c>
      <c r="E58" s="2" t="s">
        <v>70</v>
      </c>
      <c r="G58">
        <f>IF(D58='Nom du personnage'!$F$51,'Restriction de carrière'!E58,)</f>
        <v>0</v>
      </c>
      <c r="H58">
        <f t="shared" si="2"/>
        <v>0</v>
      </c>
    </row>
    <row r="59" spans="4:8">
      <c r="D59" t="s">
        <v>46</v>
      </c>
      <c r="E59" s="2" t="s">
        <v>76</v>
      </c>
      <c r="G59">
        <f>IF(D59='Nom du personnage'!$F$51,'Restriction de carrière'!E59,)</f>
        <v>0</v>
      </c>
      <c r="H59">
        <f t="shared" si="2"/>
        <v>0</v>
      </c>
    </row>
    <row r="60" spans="4:8">
      <c r="D60" t="s">
        <v>46</v>
      </c>
      <c r="E60" s="2" t="s">
        <v>79</v>
      </c>
      <c r="G60">
        <f>IF(D60='Nom du personnage'!$F$51,'Restriction de carrière'!E60,)</f>
        <v>0</v>
      </c>
      <c r="H60">
        <f t="shared" si="2"/>
        <v>0</v>
      </c>
    </row>
    <row r="61" spans="4:8">
      <c r="D61" t="s">
        <v>46</v>
      </c>
      <c r="E61" s="2" t="s">
        <v>85</v>
      </c>
      <c r="G61">
        <f>IF(D61='Nom du personnage'!$F$51,'Restriction de carrière'!E61,)</f>
        <v>0</v>
      </c>
      <c r="H61">
        <f t="shared" si="2"/>
        <v>0</v>
      </c>
    </row>
    <row r="62" spans="4:8">
      <c r="D62" t="s">
        <v>46</v>
      </c>
      <c r="E62" s="2" t="s">
        <v>88</v>
      </c>
      <c r="G62">
        <f>IF(D62='Nom du personnage'!$F$51,'Restriction de carrière'!E62,)</f>
        <v>0</v>
      </c>
      <c r="H62">
        <f t="shared" si="2"/>
        <v>0</v>
      </c>
    </row>
    <row r="63" spans="4:8">
      <c r="D63" t="s">
        <v>46</v>
      </c>
      <c r="E63" s="2" t="s">
        <v>91</v>
      </c>
      <c r="G63">
        <f>IF(D63='Nom du personnage'!$F$51,'Restriction de carrière'!E63,)</f>
        <v>0</v>
      </c>
      <c r="H63">
        <f t="shared" si="2"/>
        <v>0</v>
      </c>
    </row>
    <row r="64" spans="4:8">
      <c r="D64" t="s">
        <v>46</v>
      </c>
      <c r="E64" s="2" t="s">
        <v>94</v>
      </c>
      <c r="G64">
        <f>IF(D64='Nom du personnage'!$F$51,'Restriction de carrière'!E64,)</f>
        <v>0</v>
      </c>
      <c r="H64">
        <f t="shared" si="2"/>
        <v>0</v>
      </c>
    </row>
    <row r="65" spans="4:8">
      <c r="D65" t="s">
        <v>46</v>
      </c>
      <c r="E65" s="2" t="s">
        <v>98</v>
      </c>
      <c r="G65">
        <f>IF(D65='Nom du personnage'!$F$51,'Restriction de carrière'!E65,)</f>
        <v>0</v>
      </c>
      <c r="H65">
        <f t="shared" si="2"/>
        <v>0</v>
      </c>
    </row>
    <row r="66" spans="4:8">
      <c r="D66" t="s">
        <v>46</v>
      </c>
      <c r="E66" s="2" t="s">
        <v>110</v>
      </c>
      <c r="G66">
        <f>IF(D66='Nom du personnage'!$F$51,'Restriction de carrière'!E66,)</f>
        <v>0</v>
      </c>
      <c r="H66">
        <f t="shared" si="2"/>
        <v>0</v>
      </c>
    </row>
    <row r="67" spans="4:8">
      <c r="D67" t="s">
        <v>46</v>
      </c>
      <c r="E67" s="2" t="s">
        <v>113</v>
      </c>
      <c r="G67">
        <f>IF(D67='Nom du personnage'!$F$51,'Restriction de carrière'!E67,)</f>
        <v>0</v>
      </c>
      <c r="H67">
        <f t="shared" si="2"/>
        <v>0</v>
      </c>
    </row>
    <row r="68" spans="4:8">
      <c r="D68" t="s">
        <v>46</v>
      </c>
      <c r="E68" s="2" t="s">
        <v>118</v>
      </c>
      <c r="G68">
        <f>IF(D68='Nom du personnage'!$F$51,'Restriction de carrière'!E68,)</f>
        <v>0</v>
      </c>
      <c r="H68">
        <f t="shared" si="2"/>
        <v>0</v>
      </c>
    </row>
    <row r="69" spans="4:8">
      <c r="D69" t="s">
        <v>109</v>
      </c>
      <c r="E69" s="2" t="s">
        <v>30</v>
      </c>
      <c r="G69">
        <f>IF(D69='Nom du personnage'!$F$51,'Restriction de carrière'!E69,)</f>
        <v>0</v>
      </c>
      <c r="H69">
        <f t="shared" ref="H69:H77" si="3">IF(G69=0,0,2)</f>
        <v>0</v>
      </c>
    </row>
    <row r="70" spans="4:8">
      <c r="D70" t="s">
        <v>109</v>
      </c>
      <c r="E70" s="2" t="s">
        <v>32</v>
      </c>
      <c r="G70">
        <f>IF(D70='Nom du personnage'!$F$51,'Restriction de carrière'!E70,)</f>
        <v>0</v>
      </c>
      <c r="H70">
        <f t="shared" si="3"/>
        <v>0</v>
      </c>
    </row>
    <row r="71" spans="4:8">
      <c r="D71" t="s">
        <v>109</v>
      </c>
      <c r="E71" s="2" t="s">
        <v>43</v>
      </c>
      <c r="G71">
        <f>IF(D71='Nom du personnage'!$F$51,'Restriction de carrière'!E71,)</f>
        <v>0</v>
      </c>
      <c r="H71">
        <f t="shared" si="3"/>
        <v>0</v>
      </c>
    </row>
    <row r="72" spans="4:8">
      <c r="D72" t="s">
        <v>109</v>
      </c>
      <c r="E72" s="2" t="s">
        <v>51</v>
      </c>
      <c r="G72">
        <f>IF(D72='Nom du personnage'!$F$51,'Restriction de carrière'!E72,)</f>
        <v>0</v>
      </c>
      <c r="H72">
        <f t="shared" si="3"/>
        <v>0</v>
      </c>
    </row>
    <row r="73" spans="4:8">
      <c r="D73" t="s">
        <v>109</v>
      </c>
      <c r="E73" s="2" t="s">
        <v>59</v>
      </c>
      <c r="G73">
        <f>IF(D73='Nom du personnage'!$F$51,'Restriction de carrière'!E73,)</f>
        <v>0</v>
      </c>
      <c r="H73">
        <f t="shared" si="3"/>
        <v>0</v>
      </c>
    </row>
    <row r="74" spans="4:8">
      <c r="D74" t="s">
        <v>109</v>
      </c>
      <c r="E74" s="2" t="s">
        <v>73</v>
      </c>
      <c r="G74">
        <f>IF(D74='Nom du personnage'!$F$51,'Restriction de carrière'!E74,)</f>
        <v>0</v>
      </c>
      <c r="H74">
        <f t="shared" si="3"/>
        <v>0</v>
      </c>
    </row>
    <row r="75" spans="4:8">
      <c r="D75" t="s">
        <v>109</v>
      </c>
      <c r="E75" s="2" t="s">
        <v>79</v>
      </c>
      <c r="G75">
        <f>IF(D75='Nom du personnage'!$F$51,'Restriction de carrière'!E75,)</f>
        <v>0</v>
      </c>
      <c r="H75">
        <f t="shared" si="3"/>
        <v>0</v>
      </c>
    </row>
    <row r="76" spans="4:8">
      <c r="D76" t="s">
        <v>109</v>
      </c>
      <c r="E76" s="2" t="s">
        <v>98</v>
      </c>
      <c r="G76">
        <f>IF(D76='Nom du personnage'!$F$51,'Restriction de carrière'!E76,)</f>
        <v>0</v>
      </c>
      <c r="H76">
        <f t="shared" si="3"/>
        <v>0</v>
      </c>
    </row>
    <row r="77" spans="4:8">
      <c r="D77" t="s">
        <v>109</v>
      </c>
      <c r="E77" s="2" t="s">
        <v>118</v>
      </c>
      <c r="G77">
        <f>IF(D77='Nom du personnage'!$F$51,'Restriction de carrière'!E77,)</f>
        <v>0</v>
      </c>
      <c r="H77">
        <f t="shared" si="3"/>
        <v>0</v>
      </c>
    </row>
    <row r="78" spans="4:8">
      <c r="G78" s="2" t="str">
        <f>IF(SUM($H$3:$H$77)&gt;0,0,B3)</f>
        <v>Barbare</v>
      </c>
    </row>
    <row r="79" spans="4:8">
      <c r="G79" s="2" t="str">
        <f t="shared" ref="G79:G105" si="4">IF(SUM($H$3:$H$68)&gt;0,0,B4)</f>
        <v>Combattant</v>
      </c>
    </row>
    <row r="80" spans="4:8">
      <c r="G80" s="2" t="str">
        <f t="shared" si="4"/>
        <v>Druide</v>
      </c>
    </row>
    <row r="81" spans="7:7">
      <c r="G81" s="2" t="str">
        <f t="shared" si="4"/>
        <v>Mage</v>
      </c>
    </row>
    <row r="82" spans="7:7">
      <c r="G82" s="2" t="str">
        <f t="shared" si="4"/>
        <v>Marchand</v>
      </c>
    </row>
    <row r="83" spans="7:7">
      <c r="G83" s="2" t="str">
        <f t="shared" si="4"/>
        <v>Prêtre</v>
      </c>
    </row>
    <row r="84" spans="7:7">
      <c r="G84" s="2" t="str">
        <f t="shared" si="4"/>
        <v>Roublard</v>
      </c>
    </row>
    <row r="85" spans="7:7">
      <c r="G85" s="2" t="str">
        <f t="shared" si="4"/>
        <v>Animiste</v>
      </c>
    </row>
    <row r="86" spans="7:7">
      <c r="G86" s="2" t="str">
        <f t="shared" si="4"/>
        <v>Archer</v>
      </c>
    </row>
    <row r="87" spans="7:7">
      <c r="G87" s="2" t="str">
        <f t="shared" si="4"/>
        <v>Barde</v>
      </c>
    </row>
    <row r="88" spans="7:7">
      <c r="G88" s="2" t="str">
        <f t="shared" si="4"/>
        <v>Berserker</v>
      </c>
    </row>
    <row r="89" spans="7:7">
      <c r="G89" s="2" t="str">
        <f t="shared" si="4"/>
        <v>Chaman</v>
      </c>
    </row>
    <row r="90" spans="7:7">
      <c r="G90" s="2" t="str">
        <f t="shared" si="4"/>
        <v>Charlatan</v>
      </c>
    </row>
    <row r="91" spans="7:7">
      <c r="G91" s="2" t="str">
        <f t="shared" si="4"/>
        <v>Ermite</v>
      </c>
    </row>
    <row r="92" spans="7:7">
      <c r="G92" s="2" t="str">
        <f t="shared" si="4"/>
        <v>Garde</v>
      </c>
    </row>
    <row r="93" spans="7:7">
      <c r="G93" s="2" t="str">
        <f t="shared" si="4"/>
        <v>Gardien Mystique</v>
      </c>
    </row>
    <row r="94" spans="7:7">
      <c r="G94" s="2" t="str">
        <f t="shared" si="4"/>
        <v>Guérisseur</v>
      </c>
    </row>
    <row r="95" spans="7:7">
      <c r="G95" s="2" t="str">
        <f t="shared" si="4"/>
        <v>Inquisiteur</v>
      </c>
    </row>
    <row r="96" spans="7:7">
      <c r="G96" s="2" t="str">
        <f t="shared" si="4"/>
        <v>Magelame</v>
      </c>
    </row>
    <row r="97" spans="7:7">
      <c r="G97" s="2" t="str">
        <f t="shared" si="4"/>
        <v>Maître des runes</v>
      </c>
    </row>
    <row r="98" spans="7:7">
      <c r="G98" s="2" t="str">
        <f t="shared" si="4"/>
        <v>Maraudeur</v>
      </c>
    </row>
    <row r="99" spans="7:7">
      <c r="G99" s="2" t="str">
        <f t="shared" si="4"/>
        <v>Paladin</v>
      </c>
    </row>
    <row r="100" spans="7:7">
      <c r="G100" s="2" t="str">
        <f t="shared" si="4"/>
        <v>Rôdeur</v>
      </c>
    </row>
    <row r="101" spans="7:7">
      <c r="G101" s="2" t="str">
        <f t="shared" si="4"/>
        <v>Sage</v>
      </c>
    </row>
    <row r="102" spans="7:7">
      <c r="G102" s="2" t="str">
        <f t="shared" si="4"/>
        <v>Scribe</v>
      </c>
    </row>
    <row r="103" spans="7:7">
      <c r="G103" s="2" t="str">
        <f t="shared" si="4"/>
        <v>Seigneur de Guerre</v>
      </c>
    </row>
    <row r="104" spans="7:7">
      <c r="G104" s="2" t="str">
        <f t="shared" si="4"/>
        <v>Totem</v>
      </c>
    </row>
    <row r="105" spans="7:7">
      <c r="G105" s="2" t="str">
        <f t="shared" si="4"/>
        <v>Traqueur</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4019-C7FB-43CD-BFE1-EFC4D55FCA30}">
  <dimension ref="A2:G1081"/>
  <sheetViews>
    <sheetView workbookViewId="0">
      <selection activeCell="J37" sqref="J37"/>
    </sheetView>
  </sheetViews>
  <sheetFormatPr baseColWidth="10" defaultRowHeight="15"/>
  <cols>
    <col min="1" max="1" width="30.90625" bestFit="1" customWidth="1"/>
    <col min="3" max="3" width="28.7265625" bestFit="1" customWidth="1"/>
    <col min="5" max="5" width="14.90625" bestFit="1" customWidth="1"/>
  </cols>
  <sheetData>
    <row r="2" spans="1:7">
      <c r="A2" t="s">
        <v>27</v>
      </c>
    </row>
    <row r="3" spans="1:7">
      <c r="A3" t="s">
        <v>161</v>
      </c>
      <c r="C3" t="s">
        <v>179</v>
      </c>
      <c r="D3">
        <f ca="1">COUNTIF('Nom du personnage'!$C$66:$AC$85,Religion!C3)</f>
        <v>0</v>
      </c>
      <c r="G3" t="b" cm="1">
        <f t="array" ref="G3">OR('Nom du personnage'!$C$65:$L$85=Religion!C3,'Nom du personnage'!$Q$65:$Z$85=Religion!C3)</f>
        <v>0</v>
      </c>
    </row>
    <row r="4" spans="1:7">
      <c r="A4" t="s">
        <v>162</v>
      </c>
      <c r="C4" t="s">
        <v>621</v>
      </c>
      <c r="D4">
        <f ca="1">COUNTIF('Nom du personnage'!$C$66:$AC$85,Religion!C4)</f>
        <v>0</v>
      </c>
      <c r="E4" s="2" t="s">
        <v>35</v>
      </c>
      <c r="F4">
        <f>IF(E4='Nom du personnage'!$U$51,1,0)</f>
        <v>0</v>
      </c>
      <c r="G4" t="b" cm="1">
        <f t="array" ref="G4">OR('Nom du personnage'!$C$65:$L$85=Religion!C4,'Nom du personnage'!$Q$65:$Z$85=Religion!C4)</f>
        <v>0</v>
      </c>
    </row>
    <row r="5" spans="1:7">
      <c r="A5" t="s">
        <v>163</v>
      </c>
      <c r="C5" t="s">
        <v>622</v>
      </c>
      <c r="D5">
        <f ca="1">COUNTIF('Nom du personnage'!$C$66:$AC$85,Religion!C5)</f>
        <v>0</v>
      </c>
      <c r="E5" s="2" t="s">
        <v>39</v>
      </c>
      <c r="F5">
        <f>IF(E5='Nom du personnage'!$U$51,1,0)</f>
        <v>0</v>
      </c>
      <c r="G5" t="b" cm="1">
        <f t="array" ref="G5">OR('Nom du personnage'!$C$65:$L$85=Religion!C5,'Nom du personnage'!$Q$65:$Z$85=Religion!C5)</f>
        <v>0</v>
      </c>
    </row>
    <row r="6" spans="1:7">
      <c r="A6" t="s">
        <v>164</v>
      </c>
      <c r="C6" t="s">
        <v>623</v>
      </c>
      <c r="D6">
        <f ca="1">COUNTIF('Nom du personnage'!$C$66:$AC$85,Religion!C6)</f>
        <v>0</v>
      </c>
      <c r="E6" s="2" t="s">
        <v>47</v>
      </c>
      <c r="F6">
        <f>IF(E6='Nom du personnage'!$U$51,1,0)</f>
        <v>0</v>
      </c>
      <c r="G6" t="b" cm="1">
        <f t="array" ref="G6">OR('Nom du personnage'!$C$65:$L$85=Religion!C6,'Nom du personnage'!$Q$65:$Z$85=Religion!C6)</f>
        <v>0</v>
      </c>
    </row>
    <row r="7" spans="1:7">
      <c r="A7" t="s">
        <v>165</v>
      </c>
      <c r="C7" t="s">
        <v>624</v>
      </c>
      <c r="D7">
        <f ca="1">COUNTIF('Nom du personnage'!$C$66:$AC$85,Religion!C7)</f>
        <v>0</v>
      </c>
      <c r="E7" s="2" t="s">
        <v>55</v>
      </c>
      <c r="F7">
        <f>IF(E7='Nom du personnage'!$U$51,1,0)</f>
        <v>0</v>
      </c>
      <c r="G7" t="b" cm="1">
        <f t="array" ref="G7">OR('Nom du personnage'!$C$65:$L$85=Religion!C7,'Nom du personnage'!$Q$65:$Z$85=Religion!C7)</f>
        <v>0</v>
      </c>
    </row>
    <row r="8" spans="1:7">
      <c r="A8" t="s">
        <v>166</v>
      </c>
      <c r="C8" t="s">
        <v>626</v>
      </c>
      <c r="D8">
        <f ca="1">COUNTIF('Nom du personnage'!$C$66:$AC$85,Religion!C8)</f>
        <v>0</v>
      </c>
      <c r="E8" s="2" t="s">
        <v>63</v>
      </c>
      <c r="F8">
        <f>IF(E8='Nom du personnage'!$U$51,1,0)</f>
        <v>0</v>
      </c>
      <c r="G8" t="b" cm="1">
        <f t="array" ref="G8">OR('Nom du personnage'!$C$65:$L$85=Religion!C8,'Nom du personnage'!$Q$65:$Z$85=Religion!C8)</f>
        <v>0</v>
      </c>
    </row>
    <row r="9" spans="1:7">
      <c r="A9" t="s">
        <v>167</v>
      </c>
      <c r="C9" t="s">
        <v>629</v>
      </c>
      <c r="D9">
        <f ca="1">COUNTIF('Nom du personnage'!$C$66:$AC$85,Religion!C9)</f>
        <v>0</v>
      </c>
      <c r="E9" s="2" t="s">
        <v>67</v>
      </c>
      <c r="F9">
        <f>IF(E9='Nom du personnage'!$U$51,1,0)</f>
        <v>0</v>
      </c>
      <c r="G9" t="b" cm="1">
        <f t="array" ref="G9">OR('Nom du personnage'!$C$65:$L$85=Religion!C9,'Nom du personnage'!$Q$65:$Z$85=Religion!C9)</f>
        <v>0</v>
      </c>
    </row>
    <row r="10" spans="1:7">
      <c r="A10" s="6" t="s">
        <v>168</v>
      </c>
      <c r="C10" t="s">
        <v>630</v>
      </c>
      <c r="D10">
        <f ca="1">COUNTIF('Nom du personnage'!$C$66:$AC$85,Religion!C10)</f>
        <v>0</v>
      </c>
      <c r="E10" s="2" t="s">
        <v>70</v>
      </c>
      <c r="F10">
        <f>IF(E10='Nom du personnage'!$U$51,1,0)</f>
        <v>0</v>
      </c>
      <c r="G10" t="b" cm="1">
        <f t="array" ref="G10">OR('Nom du personnage'!$C$65:$L$85=Religion!C10,'Nom du personnage'!$Q$65:$Z$85=Religion!C10)</f>
        <v>0</v>
      </c>
    </row>
    <row r="11" spans="1:7">
      <c r="A11" t="s">
        <v>169</v>
      </c>
      <c r="C11" t="s">
        <v>632</v>
      </c>
      <c r="D11">
        <f ca="1">COUNTIF('Nom du personnage'!$C$66:$AC$85,Religion!C11)</f>
        <v>0</v>
      </c>
      <c r="E11" s="2" t="s">
        <v>76</v>
      </c>
      <c r="F11">
        <f>IF(E11='Nom du personnage'!$U$51,1,0)</f>
        <v>0</v>
      </c>
      <c r="G11" t="b" cm="1">
        <f t="array" ref="G11">OR('Nom du personnage'!$C$65:$L$85=Religion!C11,'Nom du personnage'!$Q$65:$Z$85=Religion!C11)</f>
        <v>0</v>
      </c>
    </row>
    <row r="12" spans="1:7">
      <c r="A12" t="s">
        <v>170</v>
      </c>
      <c r="C12" t="s">
        <v>635</v>
      </c>
      <c r="D12">
        <f ca="1">COUNTIF('Nom du personnage'!$C$66:$AC$85,Religion!C12)</f>
        <v>0</v>
      </c>
      <c r="E12" s="2" t="s">
        <v>157</v>
      </c>
      <c r="F12">
        <f>IF(E12='Nom du personnage'!$U$51,1,0)</f>
        <v>0</v>
      </c>
      <c r="G12" t="b" cm="1">
        <f t="array" ref="G12">OR('Nom du personnage'!$C$65:$L$85=Religion!C12,'Nom du personnage'!$Q$65:$Z$85=Religion!C12)</f>
        <v>0</v>
      </c>
    </row>
    <row r="13" spans="1:7">
      <c r="A13" t="s">
        <v>136</v>
      </c>
      <c r="C13" t="s">
        <v>636</v>
      </c>
      <c r="D13">
        <f ca="1">COUNTIF('Nom du personnage'!$C$66:$AC$85,Religion!C13)</f>
        <v>0</v>
      </c>
      <c r="E13" s="2" t="s">
        <v>85</v>
      </c>
      <c r="F13">
        <f>IF(E13='Nom du personnage'!$U$51,1,0)</f>
        <v>0</v>
      </c>
      <c r="G13" t="b" cm="1">
        <f t="array" ref="G13">OR('Nom du personnage'!$C$65:$L$85=Religion!C13,'Nom du personnage'!$Q$65:$Z$85=Religion!C13)</f>
        <v>0</v>
      </c>
    </row>
    <row r="14" spans="1:7">
      <c r="A14" s="7" t="s">
        <v>171</v>
      </c>
      <c r="C14" t="s">
        <v>637</v>
      </c>
      <c r="D14">
        <f ca="1">COUNTIF('Nom du personnage'!$C$66:$AC$85,Religion!C14)</f>
        <v>0</v>
      </c>
      <c r="E14" s="2" t="s">
        <v>88</v>
      </c>
      <c r="F14">
        <f>IF(E14='Nom du personnage'!$U$51,1,0)</f>
        <v>0</v>
      </c>
      <c r="G14" t="b" cm="1">
        <f t="array" ref="G14">OR('Nom du personnage'!$C$65:$L$85=Religion!C14,'Nom du personnage'!$Q$65:$Z$85=Religion!C14)</f>
        <v>0</v>
      </c>
    </row>
    <row r="15" spans="1:7">
      <c r="A15" s="7" t="s">
        <v>137</v>
      </c>
      <c r="C15" t="s">
        <v>638</v>
      </c>
      <c r="D15">
        <f ca="1">COUNTIF('Nom du personnage'!$C$66:$AC$85,Religion!C15)</f>
        <v>0</v>
      </c>
      <c r="E15" s="2" t="s">
        <v>91</v>
      </c>
      <c r="F15">
        <f>IF(E15='Nom du personnage'!$U$51,1,0)</f>
        <v>0</v>
      </c>
      <c r="G15" t="b" cm="1">
        <f t="array" ref="G15">OR('Nom du personnage'!$C$65:$L$85=Religion!C15,'Nom du personnage'!$Q$65:$Z$85=Religion!C15)</f>
        <v>0</v>
      </c>
    </row>
    <row r="16" spans="1:7">
      <c r="A16" s="7" t="s">
        <v>138</v>
      </c>
      <c r="C16" t="s">
        <v>639</v>
      </c>
      <c r="D16">
        <f ca="1">COUNTIF('Nom du personnage'!$C$66:$AC$85,Religion!C16)</f>
        <v>0</v>
      </c>
      <c r="E16" s="2" t="s">
        <v>94</v>
      </c>
      <c r="F16">
        <f>IF(E16='Nom du personnage'!$U$51,1,0)</f>
        <v>0</v>
      </c>
      <c r="G16" t="b" cm="1">
        <f t="array" ref="G16">OR('Nom du personnage'!$C$65:$L$85=Religion!C16,'Nom du personnage'!$Q$65:$Z$85=Religion!C16)</f>
        <v>0</v>
      </c>
    </row>
    <row r="17" spans="1:7">
      <c r="A17" s="7" t="s">
        <v>139</v>
      </c>
      <c r="C17" t="s">
        <v>640</v>
      </c>
      <c r="D17">
        <f ca="1">COUNTIF('Nom du personnage'!$C$66:$AC$85,Religion!C17)</f>
        <v>0</v>
      </c>
      <c r="E17" s="2" t="s">
        <v>104</v>
      </c>
      <c r="F17">
        <f>IF(E17='Nom du personnage'!$U$51,1,0)</f>
        <v>0</v>
      </c>
      <c r="G17" t="b" cm="1">
        <f t="array" ref="G17">OR('Nom du personnage'!$C$65:$L$85=Religion!C17,'Nom du personnage'!$Q$65:$Z$85=Religion!C17)</f>
        <v>0</v>
      </c>
    </row>
    <row r="18" spans="1:7">
      <c r="A18" t="s">
        <v>172</v>
      </c>
      <c r="C18" t="s">
        <v>642</v>
      </c>
      <c r="D18">
        <f ca="1">COUNTIF('Nom du personnage'!$C$66:$AC$85,Religion!C18)</f>
        <v>0</v>
      </c>
      <c r="E18" s="2" t="s">
        <v>107</v>
      </c>
      <c r="F18">
        <f>IF(E18='Nom du personnage'!$U$51,1,0)</f>
        <v>0</v>
      </c>
      <c r="G18" t="b" cm="1">
        <f t="array" ref="G18">OR('Nom du personnage'!$C$65:$L$85=Religion!C18,'Nom du personnage'!$Q$65:$Z$85=Religion!C18)</f>
        <v>0</v>
      </c>
    </row>
    <row r="19" spans="1:7">
      <c r="A19" t="s">
        <v>173</v>
      </c>
      <c r="C19" t="s">
        <v>644</v>
      </c>
      <c r="D19">
        <f ca="1">COUNTIF('Nom du personnage'!$C$66:$AC$85,Religion!C19)</f>
        <v>0</v>
      </c>
      <c r="E19" s="2"/>
      <c r="G19" t="b" cm="1">
        <f t="array" ref="G19">OR('Nom du personnage'!$C$65:$L$85=Religion!C19,'Nom du personnage'!$Q$65:$Z$85=Religion!C19)</f>
        <v>0</v>
      </c>
    </row>
    <row r="20" spans="1:7">
      <c r="A20" t="s">
        <v>134</v>
      </c>
      <c r="C20" t="s">
        <v>645</v>
      </c>
      <c r="D20">
        <f ca="1">COUNTIF('Nom du personnage'!$C$66:$AC$85,Religion!C20)</f>
        <v>0</v>
      </c>
      <c r="E20" s="2" t="s">
        <v>113</v>
      </c>
      <c r="F20">
        <f>IF(E20='Nom du personnage'!$U$51,1,0)</f>
        <v>0</v>
      </c>
      <c r="G20" t="b" cm="1">
        <f t="array" ref="G20">OR('Nom du personnage'!$C$65:$L$85=Religion!C20,'Nom du personnage'!$Q$65:$Z$85=Religion!C20)</f>
        <v>0</v>
      </c>
    </row>
    <row r="21" spans="1:7">
      <c r="A21" s="6" t="s">
        <v>174</v>
      </c>
      <c r="C21" t="s">
        <v>647</v>
      </c>
      <c r="D21">
        <f ca="1">COUNTIF('Nom du personnage'!$C$66:$AC$85,Religion!C21)</f>
        <v>0</v>
      </c>
      <c r="E21" s="2" t="s">
        <v>159</v>
      </c>
      <c r="F21">
        <f>IF(E21='Nom du personnage'!$U$51,1,0)</f>
        <v>0</v>
      </c>
      <c r="G21" t="b" cm="1">
        <f t="array" ref="G21">OR('Nom du personnage'!$C$65:$L$85=Religion!C21,'Nom du personnage'!$Q$65:$Z$85=Religion!C21)</f>
        <v>0</v>
      </c>
    </row>
    <row r="22" spans="1:7">
      <c r="A22" t="s">
        <v>186</v>
      </c>
      <c r="C22" s="2" t="s">
        <v>735</v>
      </c>
      <c r="D22">
        <f ca="1">SUM(D3:D21)</f>
        <v>0</v>
      </c>
      <c r="F22">
        <f>SUM(F3:F21)</f>
        <v>0</v>
      </c>
    </row>
    <row r="23" spans="1:7">
      <c r="A23" t="s">
        <v>187</v>
      </c>
      <c r="C23" t="s">
        <v>736</v>
      </c>
      <c r="D23" s="4" t="b">
        <f ca="1">+D22&gt;=1</f>
        <v>0</v>
      </c>
    </row>
    <row r="24" spans="1:7">
      <c r="A24" t="s">
        <v>188</v>
      </c>
      <c r="C24" t="s">
        <v>736</v>
      </c>
      <c r="D24" t="b">
        <f ca="1">+D22=2</f>
        <v>0</v>
      </c>
    </row>
    <row r="25" spans="1:7">
      <c r="A25" t="s">
        <v>189</v>
      </c>
      <c r="C25" t="s">
        <v>737</v>
      </c>
      <c r="D25" t="b">
        <f>ISBLANK('Nom du personnage'!F54)</f>
        <v>1</v>
      </c>
    </row>
    <row r="26" spans="1:7">
      <c r="A26" t="s">
        <v>190</v>
      </c>
      <c r="C26" t="s">
        <v>738</v>
      </c>
      <c r="D26" t="b">
        <f>ISBLANK('Nom du personnage'!K54)</f>
        <v>1</v>
      </c>
    </row>
    <row r="27" spans="1:7">
      <c r="A27" t="s">
        <v>191</v>
      </c>
      <c r="C27" t="s">
        <v>739</v>
      </c>
      <c r="D27" t="b">
        <f>IF(D25=TRUE,TRUE,IF(AND(D23=TRUE,D25=FALSE),TRUE,FALSE))</f>
        <v>1</v>
      </c>
    </row>
    <row r="28" spans="1:7">
      <c r="A28" t="s">
        <v>192</v>
      </c>
      <c r="C28" t="s">
        <v>740</v>
      </c>
      <c r="D28" t="b">
        <f>IF(D26=TRUE,TRUE,IF(AND(D24=TRUE,D26=FALSE),TRUE,FALSE))</f>
        <v>1</v>
      </c>
    </row>
    <row r="29" spans="1:7">
      <c r="A29" t="s">
        <v>193</v>
      </c>
      <c r="C29" s="2" t="s">
        <v>955</v>
      </c>
      <c r="D29" t="b" cm="1">
        <f t="array" ref="D29">OR(G3:G21=TRUE)</f>
        <v>0</v>
      </c>
    </row>
    <row r="30" spans="1:7">
      <c r="A30" t="s">
        <v>194</v>
      </c>
    </row>
    <row r="31" spans="1:7">
      <c r="A31" t="s">
        <v>195</v>
      </c>
    </row>
    <row r="32" spans="1:7">
      <c r="A32" t="s">
        <v>196</v>
      </c>
    </row>
    <row r="33" spans="1:1">
      <c r="A33" t="s">
        <v>197</v>
      </c>
    </row>
    <row r="34" spans="1:1">
      <c r="A34" t="s">
        <v>175</v>
      </c>
    </row>
    <row r="35" spans="1:1">
      <c r="A35" t="s">
        <v>176</v>
      </c>
    </row>
    <row r="36" spans="1:1">
      <c r="A36" s="7" t="s">
        <v>177</v>
      </c>
    </row>
    <row r="37" spans="1:1">
      <c r="A37" s="7" t="s">
        <v>178</v>
      </c>
    </row>
    <row r="38" spans="1:1">
      <c r="A38" t="s">
        <v>179</v>
      </c>
    </row>
    <row r="39" spans="1:1">
      <c r="A39" t="s">
        <v>180</v>
      </c>
    </row>
    <row r="40" spans="1:1">
      <c r="A40" t="s">
        <v>181</v>
      </c>
    </row>
    <row r="41" spans="1:1">
      <c r="A41" s="6" t="s">
        <v>182</v>
      </c>
    </row>
    <row r="42" spans="1:1">
      <c r="A42" s="6" t="s">
        <v>183</v>
      </c>
    </row>
    <row r="43" spans="1:1">
      <c r="A43" s="6" t="s">
        <v>184</v>
      </c>
    </row>
    <row r="44" spans="1:1">
      <c r="A44" t="s">
        <v>185</v>
      </c>
    </row>
    <row r="45" spans="1:1">
      <c r="A45" t="s">
        <v>199</v>
      </c>
    </row>
    <row r="46" spans="1:1">
      <c r="A46" t="s">
        <v>200</v>
      </c>
    </row>
    <row r="47" spans="1:1">
      <c r="A47" t="s">
        <v>201</v>
      </c>
    </row>
    <row r="48" spans="1:1">
      <c r="A48" t="s">
        <v>202</v>
      </c>
    </row>
    <row r="49" spans="1:1">
      <c r="A49" t="s">
        <v>203</v>
      </c>
    </row>
    <row r="50" spans="1:1">
      <c r="A50" t="s">
        <v>204</v>
      </c>
    </row>
    <row r="51" spans="1:1">
      <c r="A51" t="s">
        <v>205</v>
      </c>
    </row>
    <row r="52" spans="1:1">
      <c r="A52" t="s">
        <v>206</v>
      </c>
    </row>
    <row r="53" spans="1:1">
      <c r="A53" t="s">
        <v>207</v>
      </c>
    </row>
    <row r="54" spans="1:1">
      <c r="A54" t="s">
        <v>208</v>
      </c>
    </row>
    <row r="55" spans="1:1">
      <c r="A55" t="s">
        <v>209</v>
      </c>
    </row>
    <row r="56" spans="1:1">
      <c r="A56" t="s">
        <v>211</v>
      </c>
    </row>
    <row r="57" spans="1:1">
      <c r="A57" t="s">
        <v>210</v>
      </c>
    </row>
    <row r="58" spans="1:1">
      <c r="A58" t="s">
        <v>212</v>
      </c>
    </row>
    <row r="59" spans="1:1">
      <c r="A59" t="s">
        <v>213</v>
      </c>
    </row>
    <row r="60" spans="1:1">
      <c r="A60" t="s">
        <v>227</v>
      </c>
    </row>
    <row r="61" spans="1:1">
      <c r="A61" t="s">
        <v>199</v>
      </c>
    </row>
    <row r="62" spans="1:1">
      <c r="A62" t="s">
        <v>200</v>
      </c>
    </row>
    <row r="63" spans="1:1">
      <c r="A63" t="s">
        <v>202</v>
      </c>
    </row>
    <row r="64" spans="1:1">
      <c r="A64" t="s">
        <v>203</v>
      </c>
    </row>
    <row r="65" spans="1:1">
      <c r="A65" t="s">
        <v>228</v>
      </c>
    </row>
    <row r="66" spans="1:1">
      <c r="A66" t="s">
        <v>204</v>
      </c>
    </row>
    <row r="67" spans="1:1">
      <c r="A67" t="s">
        <v>205</v>
      </c>
    </row>
    <row r="68" spans="1:1">
      <c r="A68" t="s">
        <v>229</v>
      </c>
    </row>
    <row r="69" spans="1:1">
      <c r="A69" t="s">
        <v>206</v>
      </c>
    </row>
    <row r="70" spans="1:1">
      <c r="A70" t="s">
        <v>230</v>
      </c>
    </row>
    <row r="71" spans="1:1">
      <c r="A71" t="s">
        <v>207</v>
      </c>
    </row>
    <row r="72" spans="1:1">
      <c r="A72" t="s">
        <v>231</v>
      </c>
    </row>
    <row r="73" spans="1:1">
      <c r="A73" t="s">
        <v>211</v>
      </c>
    </row>
    <row r="74" spans="1:1">
      <c r="A74" t="s">
        <v>210</v>
      </c>
    </row>
    <row r="75" spans="1:1">
      <c r="A75" t="s">
        <v>213</v>
      </c>
    </row>
    <row r="76" spans="1:1">
      <c r="A76" t="s">
        <v>232</v>
      </c>
    </row>
    <row r="77" spans="1:1">
      <c r="A77" t="s">
        <v>233</v>
      </c>
    </row>
    <row r="78" spans="1:1">
      <c r="A78" t="s">
        <v>234</v>
      </c>
    </row>
    <row r="79" spans="1:1">
      <c r="A79" t="s">
        <v>235</v>
      </c>
    </row>
    <row r="80" spans="1:1">
      <c r="A80" t="s">
        <v>236</v>
      </c>
    </row>
    <row r="81" spans="1:1">
      <c r="A81" t="s">
        <v>237</v>
      </c>
    </row>
    <row r="82" spans="1:1">
      <c r="A82" t="s">
        <v>209</v>
      </c>
    </row>
    <row r="83" spans="1:1">
      <c r="A83" t="s">
        <v>238</v>
      </c>
    </row>
    <row r="84" spans="1:1">
      <c r="A84" t="s">
        <v>239</v>
      </c>
    </row>
    <row r="85" spans="1:1">
      <c r="A85" t="s">
        <v>212</v>
      </c>
    </row>
    <row r="86" spans="1:1">
      <c r="A86" t="s">
        <v>240</v>
      </c>
    </row>
    <row r="87" spans="1:1">
      <c r="A87" t="s">
        <v>241</v>
      </c>
    </row>
    <row r="88" spans="1:1">
      <c r="A88" t="s">
        <v>242</v>
      </c>
    </row>
    <row r="89" spans="1:1">
      <c r="A89" t="s">
        <v>243</v>
      </c>
    </row>
    <row r="90" spans="1:1">
      <c r="A90" t="s">
        <v>244</v>
      </c>
    </row>
    <row r="91" spans="1:1">
      <c r="A91" t="s">
        <v>245</v>
      </c>
    </row>
    <row r="92" spans="1:1">
      <c r="A92" t="s">
        <v>232</v>
      </c>
    </row>
    <row r="93" spans="1:1">
      <c r="A93" t="s">
        <v>233</v>
      </c>
    </row>
    <row r="94" spans="1:1">
      <c r="A94" t="s">
        <v>234</v>
      </c>
    </row>
    <row r="95" spans="1:1">
      <c r="A95" t="s">
        <v>235</v>
      </c>
    </row>
    <row r="96" spans="1:1">
      <c r="A96" t="s">
        <v>236</v>
      </c>
    </row>
    <row r="97" spans="1:1">
      <c r="A97" t="s">
        <v>237</v>
      </c>
    </row>
    <row r="98" spans="1:1">
      <c r="A98" t="s">
        <v>238</v>
      </c>
    </row>
    <row r="99" spans="1:1">
      <c r="A99" t="s">
        <v>246</v>
      </c>
    </row>
    <row r="100" spans="1:1">
      <c r="A100" t="s">
        <v>239</v>
      </c>
    </row>
    <row r="101" spans="1:1">
      <c r="A101" t="s">
        <v>240</v>
      </c>
    </row>
    <row r="102" spans="1:1">
      <c r="A102" t="s">
        <v>241</v>
      </c>
    </row>
    <row r="103" spans="1:1">
      <c r="A103" t="s">
        <v>242</v>
      </c>
    </row>
    <row r="104" spans="1:1">
      <c r="A104" t="s">
        <v>243</v>
      </c>
    </row>
    <row r="105" spans="1:1">
      <c r="A105" t="s">
        <v>244</v>
      </c>
    </row>
    <row r="106" spans="1:1">
      <c r="A106" t="s">
        <v>245</v>
      </c>
    </row>
    <row r="107" spans="1:1">
      <c r="A107" t="s">
        <v>247</v>
      </c>
    </row>
    <row r="108" spans="1:1">
      <c r="A108" t="s">
        <v>248</v>
      </c>
    </row>
    <row r="109" spans="1:1">
      <c r="A109" t="s">
        <v>249</v>
      </c>
    </row>
    <row r="110" spans="1:1">
      <c r="A110" t="s">
        <v>250</v>
      </c>
    </row>
    <row r="111" spans="1:1">
      <c r="A111" t="s">
        <v>251</v>
      </c>
    </row>
    <row r="112" spans="1:1">
      <c r="A112" t="s">
        <v>252</v>
      </c>
    </row>
    <row r="113" spans="1:1">
      <c r="A113" t="s">
        <v>253</v>
      </c>
    </row>
    <row r="114" spans="1:1">
      <c r="A114" t="s">
        <v>254</v>
      </c>
    </row>
    <row r="115" spans="1:1">
      <c r="A115" t="s">
        <v>255</v>
      </c>
    </row>
    <row r="116" spans="1:1">
      <c r="A116" t="s">
        <v>256</v>
      </c>
    </row>
    <row r="117" spans="1:1">
      <c r="A117" t="s">
        <v>257</v>
      </c>
    </row>
    <row r="118" spans="1:1">
      <c r="A118" t="s">
        <v>207</v>
      </c>
    </row>
    <row r="119" spans="1:1">
      <c r="A119" t="s">
        <v>212</v>
      </c>
    </row>
    <row r="120" spans="1:1">
      <c r="A120" t="s">
        <v>241</v>
      </c>
    </row>
    <row r="121" spans="1:1">
      <c r="A121" t="s">
        <v>258</v>
      </c>
    </row>
    <row r="122" spans="1:1">
      <c r="A122" t="s">
        <v>259</v>
      </c>
    </row>
    <row r="123" spans="1:1">
      <c r="A123" t="s">
        <v>260</v>
      </c>
    </row>
    <row r="124" spans="1:1">
      <c r="A124" t="s">
        <v>261</v>
      </c>
    </row>
    <row r="125" spans="1:1">
      <c r="A125" t="s">
        <v>232</v>
      </c>
    </row>
    <row r="126" spans="1:1">
      <c r="A126" t="s">
        <v>262</v>
      </c>
    </row>
    <row r="127" spans="1:1">
      <c r="A127" t="s">
        <v>233</v>
      </c>
    </row>
    <row r="128" spans="1:1">
      <c r="A128" t="s">
        <v>235</v>
      </c>
    </row>
    <row r="129" spans="1:1">
      <c r="A129" t="s">
        <v>236</v>
      </c>
    </row>
    <row r="130" spans="1:1">
      <c r="A130" t="s">
        <v>237</v>
      </c>
    </row>
    <row r="131" spans="1:1">
      <c r="A131" t="s">
        <v>238</v>
      </c>
    </row>
    <row r="132" spans="1:1">
      <c r="A132" t="s">
        <v>240</v>
      </c>
    </row>
    <row r="133" spans="1:1">
      <c r="A133" t="s">
        <v>241</v>
      </c>
    </row>
    <row r="134" spans="1:1">
      <c r="A134" t="s">
        <v>242</v>
      </c>
    </row>
    <row r="135" spans="1:1">
      <c r="A135" t="s">
        <v>243</v>
      </c>
    </row>
    <row r="136" spans="1:1">
      <c r="A136" t="s">
        <v>244</v>
      </c>
    </row>
    <row r="137" spans="1:1">
      <c r="A137" t="s">
        <v>245</v>
      </c>
    </row>
    <row r="138" spans="1:1">
      <c r="A138" t="s">
        <v>263</v>
      </c>
    </row>
    <row r="139" spans="1:1">
      <c r="A139" t="s">
        <v>264</v>
      </c>
    </row>
    <row r="140" spans="1:1">
      <c r="A140" t="s">
        <v>265</v>
      </c>
    </row>
    <row r="141" spans="1:1">
      <c r="A141" t="s">
        <v>254</v>
      </c>
    </row>
    <row r="142" spans="1:1">
      <c r="A142" t="s">
        <v>266</v>
      </c>
    </row>
    <row r="143" spans="1:1">
      <c r="A143" t="s">
        <v>267</v>
      </c>
    </row>
    <row r="144" spans="1:1">
      <c r="A144" t="s">
        <v>256</v>
      </c>
    </row>
    <row r="145" spans="1:1">
      <c r="A145" t="s">
        <v>268</v>
      </c>
    </row>
    <row r="146" spans="1:1">
      <c r="A146" t="s">
        <v>269</v>
      </c>
    </row>
    <row r="147" spans="1:1">
      <c r="A147" t="s">
        <v>207</v>
      </c>
    </row>
    <row r="148" spans="1:1">
      <c r="A148" t="s">
        <v>270</v>
      </c>
    </row>
    <row r="149" spans="1:1">
      <c r="A149" t="s">
        <v>271</v>
      </c>
    </row>
    <row r="150" spans="1:1">
      <c r="A150" t="s">
        <v>272</v>
      </c>
    </row>
    <row r="151" spans="1:1">
      <c r="A151" t="s">
        <v>211</v>
      </c>
    </row>
    <row r="152" spans="1:1">
      <c r="A152" t="s">
        <v>212</v>
      </c>
    </row>
    <row r="153" spans="1:1">
      <c r="A153" t="s">
        <v>213</v>
      </c>
    </row>
    <row r="154" spans="1:1">
      <c r="A154" t="s">
        <v>274</v>
      </c>
    </row>
    <row r="155" spans="1:1">
      <c r="A155" t="s">
        <v>259</v>
      </c>
    </row>
    <row r="156" spans="1:1">
      <c r="A156" t="s">
        <v>232</v>
      </c>
    </row>
    <row r="157" spans="1:1">
      <c r="A157" t="s">
        <v>233</v>
      </c>
    </row>
    <row r="158" spans="1:1">
      <c r="A158" t="s">
        <v>234</v>
      </c>
    </row>
    <row r="159" spans="1:1">
      <c r="A159" t="s">
        <v>235</v>
      </c>
    </row>
    <row r="160" spans="1:1">
      <c r="A160" t="s">
        <v>236</v>
      </c>
    </row>
    <row r="161" spans="1:1">
      <c r="A161" t="s">
        <v>237</v>
      </c>
    </row>
    <row r="162" spans="1:1">
      <c r="A162" t="s">
        <v>209</v>
      </c>
    </row>
    <row r="163" spans="1:1">
      <c r="A163" t="s">
        <v>238</v>
      </c>
    </row>
    <row r="164" spans="1:1">
      <c r="A164" t="s">
        <v>239</v>
      </c>
    </row>
    <row r="165" spans="1:1">
      <c r="A165" t="s">
        <v>212</v>
      </c>
    </row>
    <row r="166" spans="1:1">
      <c r="A166" t="s">
        <v>240</v>
      </c>
    </row>
    <row r="167" spans="1:1">
      <c r="A167" t="s">
        <v>241</v>
      </c>
    </row>
    <row r="168" spans="1:1">
      <c r="A168" t="s">
        <v>242</v>
      </c>
    </row>
    <row r="169" spans="1:1">
      <c r="A169" t="s">
        <v>243</v>
      </c>
    </row>
    <row r="170" spans="1:1">
      <c r="A170" t="s">
        <v>244</v>
      </c>
    </row>
    <row r="171" spans="1:1">
      <c r="A171" t="s">
        <v>245</v>
      </c>
    </row>
    <row r="172" spans="1:1">
      <c r="A172" t="s">
        <v>260</v>
      </c>
    </row>
    <row r="173" spans="1:1">
      <c r="A173" t="s">
        <v>261</v>
      </c>
    </row>
    <row r="174" spans="1:1">
      <c r="A174" t="s">
        <v>262</v>
      </c>
    </row>
    <row r="175" spans="1:1">
      <c r="A175" t="s">
        <v>227</v>
      </c>
    </row>
    <row r="176" spans="1:1">
      <c r="A176" t="s">
        <v>199</v>
      </c>
    </row>
    <row r="177" spans="1:1">
      <c r="A177" t="s">
        <v>200</v>
      </c>
    </row>
    <row r="178" spans="1:1">
      <c r="A178" t="s">
        <v>202</v>
      </c>
    </row>
    <row r="179" spans="1:1">
      <c r="A179" t="s">
        <v>203</v>
      </c>
    </row>
    <row r="180" spans="1:1">
      <c r="A180" t="s">
        <v>228</v>
      </c>
    </row>
    <row r="181" spans="1:1">
      <c r="A181" t="s">
        <v>204</v>
      </c>
    </row>
    <row r="182" spans="1:1">
      <c r="A182" t="s">
        <v>205</v>
      </c>
    </row>
    <row r="183" spans="1:1">
      <c r="A183" t="s">
        <v>229</v>
      </c>
    </row>
    <row r="184" spans="1:1">
      <c r="A184" t="s">
        <v>206</v>
      </c>
    </row>
    <row r="185" spans="1:1">
      <c r="A185" t="s">
        <v>230</v>
      </c>
    </row>
    <row r="186" spans="1:1">
      <c r="A186" t="s">
        <v>207</v>
      </c>
    </row>
    <row r="187" spans="1:1">
      <c r="A187" t="s">
        <v>231</v>
      </c>
    </row>
    <row r="188" spans="1:1">
      <c r="A188" t="s">
        <v>211</v>
      </c>
    </row>
    <row r="189" spans="1:1">
      <c r="A189" t="s">
        <v>210</v>
      </c>
    </row>
    <row r="190" spans="1:1">
      <c r="A190" t="s">
        <v>213</v>
      </c>
    </row>
    <row r="191" spans="1:1">
      <c r="A191" t="s">
        <v>263</v>
      </c>
    </row>
    <row r="192" spans="1:1">
      <c r="A192" t="s">
        <v>264</v>
      </c>
    </row>
    <row r="193" spans="1:1">
      <c r="A193" t="s">
        <v>265</v>
      </c>
    </row>
    <row r="194" spans="1:1">
      <c r="A194" t="s">
        <v>254</v>
      </c>
    </row>
    <row r="195" spans="1:1">
      <c r="A195" t="s">
        <v>266</v>
      </c>
    </row>
    <row r="196" spans="1:1">
      <c r="A196" t="s">
        <v>267</v>
      </c>
    </row>
    <row r="197" spans="1:1">
      <c r="A197" t="s">
        <v>256</v>
      </c>
    </row>
    <row r="198" spans="1:1">
      <c r="A198" t="s">
        <v>268</v>
      </c>
    </row>
    <row r="199" spans="1:1">
      <c r="A199" t="s">
        <v>269</v>
      </c>
    </row>
    <row r="200" spans="1:1">
      <c r="A200" t="s">
        <v>270</v>
      </c>
    </row>
    <row r="201" spans="1:1">
      <c r="A201" t="s">
        <v>271</v>
      </c>
    </row>
    <row r="202" spans="1:1">
      <c r="A202" t="s">
        <v>272</v>
      </c>
    </row>
    <row r="203" spans="1:1">
      <c r="A203" t="s">
        <v>211</v>
      </c>
    </row>
    <row r="204" spans="1:1">
      <c r="A204" t="s">
        <v>212</v>
      </c>
    </row>
    <row r="205" spans="1:1">
      <c r="A205" t="s">
        <v>274</v>
      </c>
    </row>
    <row r="206" spans="1:1">
      <c r="A206" t="s">
        <v>259</v>
      </c>
    </row>
    <row r="207" spans="1:1">
      <c r="A207" t="s">
        <v>232</v>
      </c>
    </row>
    <row r="208" spans="1:1">
      <c r="A208" t="s">
        <v>233</v>
      </c>
    </row>
    <row r="209" spans="1:1">
      <c r="A209" t="s">
        <v>234</v>
      </c>
    </row>
    <row r="210" spans="1:1">
      <c r="A210" t="s">
        <v>235</v>
      </c>
    </row>
    <row r="211" spans="1:1">
      <c r="A211" t="s">
        <v>236</v>
      </c>
    </row>
    <row r="212" spans="1:1">
      <c r="A212" t="s">
        <v>237</v>
      </c>
    </row>
    <row r="213" spans="1:1">
      <c r="A213" t="s">
        <v>238</v>
      </c>
    </row>
    <row r="214" spans="1:1">
      <c r="A214" t="s">
        <v>246</v>
      </c>
    </row>
    <row r="215" spans="1:1">
      <c r="A215" t="s">
        <v>239</v>
      </c>
    </row>
    <row r="216" spans="1:1">
      <c r="A216" t="s">
        <v>240</v>
      </c>
    </row>
    <row r="217" spans="1:1">
      <c r="A217" t="s">
        <v>241</v>
      </c>
    </row>
    <row r="218" spans="1:1">
      <c r="A218" t="s">
        <v>242</v>
      </c>
    </row>
    <row r="219" spans="1:1">
      <c r="A219" t="s">
        <v>243</v>
      </c>
    </row>
    <row r="220" spans="1:1">
      <c r="A220" t="s">
        <v>244</v>
      </c>
    </row>
    <row r="221" spans="1:1">
      <c r="A221" t="s">
        <v>245</v>
      </c>
    </row>
    <row r="222" spans="1:1">
      <c r="A222" t="s">
        <v>263</v>
      </c>
    </row>
    <row r="223" spans="1:1">
      <c r="A223" t="s">
        <v>264</v>
      </c>
    </row>
    <row r="224" spans="1:1">
      <c r="A224" t="s">
        <v>265</v>
      </c>
    </row>
    <row r="225" spans="1:1">
      <c r="A225" t="s">
        <v>254</v>
      </c>
    </row>
    <row r="226" spans="1:1">
      <c r="A226" t="s">
        <v>266</v>
      </c>
    </row>
    <row r="227" spans="1:1">
      <c r="A227" t="s">
        <v>267</v>
      </c>
    </row>
    <row r="228" spans="1:1">
      <c r="A228" t="s">
        <v>256</v>
      </c>
    </row>
    <row r="229" spans="1:1">
      <c r="A229" t="s">
        <v>268</v>
      </c>
    </row>
    <row r="230" spans="1:1">
      <c r="A230" t="s">
        <v>269</v>
      </c>
    </row>
    <row r="231" spans="1:1">
      <c r="A231" t="s">
        <v>207</v>
      </c>
    </row>
    <row r="232" spans="1:1">
      <c r="A232" t="s">
        <v>270</v>
      </c>
    </row>
    <row r="233" spans="1:1">
      <c r="A233" t="s">
        <v>271</v>
      </c>
    </row>
    <row r="234" spans="1:1">
      <c r="A234" t="s">
        <v>272</v>
      </c>
    </row>
    <row r="235" spans="1:1">
      <c r="A235" t="s">
        <v>211</v>
      </c>
    </row>
    <row r="236" spans="1:1">
      <c r="A236" t="s">
        <v>212</v>
      </c>
    </row>
    <row r="237" spans="1:1">
      <c r="A237" t="s">
        <v>213</v>
      </c>
    </row>
    <row r="238" spans="1:1">
      <c r="A238" t="s">
        <v>274</v>
      </c>
    </row>
    <row r="239" spans="1:1">
      <c r="A239" t="s">
        <v>259</v>
      </c>
    </row>
    <row r="240" spans="1:1">
      <c r="A240" t="s">
        <v>232</v>
      </c>
    </row>
    <row r="241" spans="1:1">
      <c r="A241" t="s">
        <v>233</v>
      </c>
    </row>
    <row r="242" spans="1:1">
      <c r="A242" t="s">
        <v>234</v>
      </c>
    </row>
    <row r="243" spans="1:1">
      <c r="A243" t="s">
        <v>235</v>
      </c>
    </row>
    <row r="244" spans="1:1">
      <c r="A244" t="s">
        <v>236</v>
      </c>
    </row>
    <row r="245" spans="1:1">
      <c r="A245" t="s">
        <v>237</v>
      </c>
    </row>
    <row r="246" spans="1:1">
      <c r="A246" t="s">
        <v>209</v>
      </c>
    </row>
    <row r="247" spans="1:1">
      <c r="A247" t="s">
        <v>238</v>
      </c>
    </row>
    <row r="248" spans="1:1">
      <c r="A248" t="s">
        <v>239</v>
      </c>
    </row>
    <row r="249" spans="1:1">
      <c r="A249" t="s">
        <v>212</v>
      </c>
    </row>
    <row r="250" spans="1:1">
      <c r="A250" t="s">
        <v>240</v>
      </c>
    </row>
    <row r="251" spans="1:1">
      <c r="A251" t="s">
        <v>241</v>
      </c>
    </row>
    <row r="252" spans="1:1">
      <c r="A252" t="s">
        <v>242</v>
      </c>
    </row>
    <row r="253" spans="1:1">
      <c r="A253" t="s">
        <v>243</v>
      </c>
    </row>
    <row r="254" spans="1:1">
      <c r="A254" t="s">
        <v>244</v>
      </c>
    </row>
    <row r="255" spans="1:1">
      <c r="A255" t="s">
        <v>245</v>
      </c>
    </row>
    <row r="256" spans="1:1">
      <c r="A256" t="s">
        <v>246</v>
      </c>
    </row>
    <row r="257" spans="1:1">
      <c r="A257" t="s">
        <v>247</v>
      </c>
    </row>
    <row r="258" spans="1:1">
      <c r="A258" t="s">
        <v>248</v>
      </c>
    </row>
    <row r="259" spans="1:1">
      <c r="A259" t="s">
        <v>249</v>
      </c>
    </row>
    <row r="260" spans="1:1">
      <c r="A260" t="s">
        <v>250</v>
      </c>
    </row>
    <row r="261" spans="1:1">
      <c r="A261" t="s">
        <v>251</v>
      </c>
    </row>
    <row r="262" spans="1:1">
      <c r="A262" t="s">
        <v>252</v>
      </c>
    </row>
    <row r="263" spans="1:1">
      <c r="A263" t="s">
        <v>253</v>
      </c>
    </row>
    <row r="264" spans="1:1">
      <c r="A264" t="s">
        <v>254</v>
      </c>
    </row>
    <row r="265" spans="1:1">
      <c r="A265" t="s">
        <v>255</v>
      </c>
    </row>
    <row r="266" spans="1:1">
      <c r="A266" t="s">
        <v>256</v>
      </c>
    </row>
    <row r="267" spans="1:1">
      <c r="A267" t="s">
        <v>257</v>
      </c>
    </row>
    <row r="268" spans="1:1">
      <c r="A268" t="s">
        <v>207</v>
      </c>
    </row>
    <row r="269" spans="1:1">
      <c r="A269" t="s">
        <v>212</v>
      </c>
    </row>
    <row r="270" spans="1:1">
      <c r="A270" t="s">
        <v>241</v>
      </c>
    </row>
    <row r="271" spans="1:1">
      <c r="A271" t="s">
        <v>258</v>
      </c>
    </row>
    <row r="272" spans="1:1">
      <c r="A272" t="s">
        <v>259</v>
      </c>
    </row>
    <row r="273" spans="1:1">
      <c r="A273" t="s">
        <v>263</v>
      </c>
    </row>
    <row r="274" spans="1:1">
      <c r="A274" t="s">
        <v>264</v>
      </c>
    </row>
    <row r="275" spans="1:1">
      <c r="A275" t="s">
        <v>265</v>
      </c>
    </row>
    <row r="276" spans="1:1">
      <c r="A276" t="s">
        <v>266</v>
      </c>
    </row>
    <row r="277" spans="1:1">
      <c r="A277" t="s">
        <v>267</v>
      </c>
    </row>
    <row r="278" spans="1:1">
      <c r="A278" t="s">
        <v>268</v>
      </c>
    </row>
    <row r="279" spans="1:1">
      <c r="A279" t="s">
        <v>269</v>
      </c>
    </row>
    <row r="280" spans="1:1">
      <c r="A280" t="s">
        <v>270</v>
      </c>
    </row>
    <row r="281" spans="1:1">
      <c r="A281" t="s">
        <v>272</v>
      </c>
    </row>
    <row r="282" spans="1:1">
      <c r="A282" t="s">
        <v>211</v>
      </c>
    </row>
    <row r="283" spans="1:1">
      <c r="A283" t="s">
        <v>213</v>
      </c>
    </row>
    <row r="284" spans="1:1">
      <c r="A284" t="s">
        <v>274</v>
      </c>
    </row>
    <row r="285" spans="1:1">
      <c r="A285" t="s">
        <v>271</v>
      </c>
    </row>
    <row r="286" spans="1:1">
      <c r="A286" t="s">
        <v>232</v>
      </c>
    </row>
    <row r="287" spans="1:1">
      <c r="A287" t="s">
        <v>233</v>
      </c>
    </row>
    <row r="288" spans="1:1">
      <c r="A288" t="s">
        <v>234</v>
      </c>
    </row>
    <row r="289" spans="1:1">
      <c r="A289" t="s">
        <v>235</v>
      </c>
    </row>
    <row r="290" spans="1:1">
      <c r="A290" t="s">
        <v>236</v>
      </c>
    </row>
    <row r="291" spans="1:1">
      <c r="A291" t="s">
        <v>237</v>
      </c>
    </row>
    <row r="292" spans="1:1">
      <c r="A292" t="s">
        <v>209</v>
      </c>
    </row>
    <row r="293" spans="1:1">
      <c r="A293" t="s">
        <v>238</v>
      </c>
    </row>
    <row r="294" spans="1:1">
      <c r="A294" t="s">
        <v>239</v>
      </c>
    </row>
    <row r="295" spans="1:1">
      <c r="A295" t="s">
        <v>212</v>
      </c>
    </row>
    <row r="296" spans="1:1">
      <c r="A296" t="s">
        <v>240</v>
      </c>
    </row>
    <row r="297" spans="1:1">
      <c r="A297" t="s">
        <v>241</v>
      </c>
    </row>
    <row r="298" spans="1:1">
      <c r="A298" t="s">
        <v>242</v>
      </c>
    </row>
    <row r="299" spans="1:1">
      <c r="A299" t="s">
        <v>243</v>
      </c>
    </row>
    <row r="300" spans="1:1">
      <c r="A300" t="s">
        <v>244</v>
      </c>
    </row>
    <row r="301" spans="1:1">
      <c r="A301" t="s">
        <v>245</v>
      </c>
    </row>
    <row r="302" spans="1:1">
      <c r="A302" t="s">
        <v>247</v>
      </c>
    </row>
    <row r="303" spans="1:1">
      <c r="A303" t="s">
        <v>248</v>
      </c>
    </row>
    <row r="304" spans="1:1">
      <c r="A304" t="s">
        <v>249</v>
      </c>
    </row>
    <row r="305" spans="1:1">
      <c r="A305" t="s">
        <v>250</v>
      </c>
    </row>
    <row r="306" spans="1:1">
      <c r="A306" t="s">
        <v>251</v>
      </c>
    </row>
    <row r="307" spans="1:1">
      <c r="A307" t="s">
        <v>252</v>
      </c>
    </row>
    <row r="308" spans="1:1">
      <c r="A308" t="s">
        <v>253</v>
      </c>
    </row>
    <row r="309" spans="1:1">
      <c r="A309" t="s">
        <v>254</v>
      </c>
    </row>
    <row r="310" spans="1:1">
      <c r="A310" t="s">
        <v>255</v>
      </c>
    </row>
    <row r="311" spans="1:1">
      <c r="A311" t="s">
        <v>256</v>
      </c>
    </row>
    <row r="312" spans="1:1">
      <c r="A312" t="s">
        <v>257</v>
      </c>
    </row>
    <row r="313" spans="1:1">
      <c r="A313" t="s">
        <v>207</v>
      </c>
    </row>
    <row r="314" spans="1:1">
      <c r="A314" t="s">
        <v>258</v>
      </c>
    </row>
    <row r="315" spans="1:1">
      <c r="A315" t="s">
        <v>259</v>
      </c>
    </row>
    <row r="316" spans="1:1">
      <c r="A316" t="s">
        <v>227</v>
      </c>
    </row>
    <row r="317" spans="1:1">
      <c r="A317" t="s">
        <v>199</v>
      </c>
    </row>
    <row r="318" spans="1:1">
      <c r="A318" t="s">
        <v>200</v>
      </c>
    </row>
    <row r="319" spans="1:1">
      <c r="A319" t="s">
        <v>202</v>
      </c>
    </row>
    <row r="320" spans="1:1">
      <c r="A320" t="s">
        <v>203</v>
      </c>
    </row>
    <row r="321" spans="1:1">
      <c r="A321" t="s">
        <v>228</v>
      </c>
    </row>
    <row r="322" spans="1:1">
      <c r="A322" t="s">
        <v>204</v>
      </c>
    </row>
    <row r="323" spans="1:1">
      <c r="A323" t="s">
        <v>205</v>
      </c>
    </row>
    <row r="324" spans="1:1">
      <c r="A324" t="s">
        <v>229</v>
      </c>
    </row>
    <row r="325" spans="1:1">
      <c r="A325" t="s">
        <v>206</v>
      </c>
    </row>
    <row r="326" spans="1:1">
      <c r="A326" t="s">
        <v>230</v>
      </c>
    </row>
    <row r="327" spans="1:1">
      <c r="A327" t="s">
        <v>207</v>
      </c>
    </row>
    <row r="328" spans="1:1">
      <c r="A328" t="s">
        <v>231</v>
      </c>
    </row>
    <row r="329" spans="1:1">
      <c r="A329" t="s">
        <v>211</v>
      </c>
    </row>
    <row r="330" spans="1:1">
      <c r="A330" t="s">
        <v>210</v>
      </c>
    </row>
    <row r="331" spans="1:1">
      <c r="A331" t="s">
        <v>213</v>
      </c>
    </row>
    <row r="332" spans="1:1">
      <c r="A332" t="s">
        <v>247</v>
      </c>
    </row>
    <row r="333" spans="1:1">
      <c r="A333" t="s">
        <v>248</v>
      </c>
    </row>
    <row r="334" spans="1:1">
      <c r="A334" t="s">
        <v>249</v>
      </c>
    </row>
    <row r="335" spans="1:1">
      <c r="A335" t="s">
        <v>250</v>
      </c>
    </row>
    <row r="336" spans="1:1">
      <c r="A336" t="s">
        <v>251</v>
      </c>
    </row>
    <row r="337" spans="1:1">
      <c r="A337" t="s">
        <v>252</v>
      </c>
    </row>
    <row r="338" spans="1:1">
      <c r="A338" t="s">
        <v>253</v>
      </c>
    </row>
    <row r="339" spans="1:1">
      <c r="A339" t="s">
        <v>254</v>
      </c>
    </row>
    <row r="340" spans="1:1">
      <c r="A340" t="s">
        <v>255</v>
      </c>
    </row>
    <row r="341" spans="1:1">
      <c r="A341" t="s">
        <v>256</v>
      </c>
    </row>
    <row r="342" spans="1:1">
      <c r="A342" t="s">
        <v>257</v>
      </c>
    </row>
    <row r="343" spans="1:1">
      <c r="A343" t="s">
        <v>212</v>
      </c>
    </row>
    <row r="344" spans="1:1">
      <c r="A344" t="s">
        <v>241</v>
      </c>
    </row>
    <row r="345" spans="1:1">
      <c r="A345" t="s">
        <v>258</v>
      </c>
    </row>
    <row r="346" spans="1:1">
      <c r="A346" t="s">
        <v>259</v>
      </c>
    </row>
    <row r="347" spans="1:1">
      <c r="A347" t="s">
        <v>185</v>
      </c>
    </row>
    <row r="348" spans="1:1">
      <c r="A348" t="s">
        <v>199</v>
      </c>
    </row>
    <row r="349" spans="1:1">
      <c r="A349" t="s">
        <v>200</v>
      </c>
    </row>
    <row r="350" spans="1:1">
      <c r="A350" t="s">
        <v>201</v>
      </c>
    </row>
    <row r="351" spans="1:1">
      <c r="A351" t="s">
        <v>202</v>
      </c>
    </row>
    <row r="352" spans="1:1">
      <c r="A352" t="s">
        <v>203</v>
      </c>
    </row>
    <row r="353" spans="1:1">
      <c r="A353" t="s">
        <v>204</v>
      </c>
    </row>
    <row r="354" spans="1:1">
      <c r="A354" t="s">
        <v>205</v>
      </c>
    </row>
    <row r="355" spans="1:1">
      <c r="A355" t="s">
        <v>206</v>
      </c>
    </row>
    <row r="356" spans="1:1">
      <c r="A356" t="s">
        <v>207</v>
      </c>
    </row>
    <row r="357" spans="1:1">
      <c r="A357" t="s">
        <v>208</v>
      </c>
    </row>
    <row r="358" spans="1:1">
      <c r="A358" t="s">
        <v>211</v>
      </c>
    </row>
    <row r="359" spans="1:1">
      <c r="A359" t="s">
        <v>210</v>
      </c>
    </row>
    <row r="360" spans="1:1">
      <c r="A360" t="s">
        <v>213</v>
      </c>
    </row>
    <row r="361" spans="1:1">
      <c r="A361" t="s">
        <v>232</v>
      </c>
    </row>
    <row r="362" spans="1:1">
      <c r="A362" t="s">
        <v>233</v>
      </c>
    </row>
    <row r="363" spans="1:1">
      <c r="A363" t="s">
        <v>234</v>
      </c>
    </row>
    <row r="364" spans="1:1">
      <c r="A364" t="s">
        <v>235</v>
      </c>
    </row>
    <row r="365" spans="1:1">
      <c r="A365" t="s">
        <v>236</v>
      </c>
    </row>
    <row r="366" spans="1:1">
      <c r="A366" t="s">
        <v>237</v>
      </c>
    </row>
    <row r="367" spans="1:1">
      <c r="A367" t="s">
        <v>209</v>
      </c>
    </row>
    <row r="368" spans="1:1">
      <c r="A368" t="s">
        <v>238</v>
      </c>
    </row>
    <row r="369" spans="1:1">
      <c r="A369" t="s">
        <v>239</v>
      </c>
    </row>
    <row r="370" spans="1:1">
      <c r="A370" t="s">
        <v>212</v>
      </c>
    </row>
    <row r="371" spans="1:1">
      <c r="A371" t="s">
        <v>240</v>
      </c>
    </row>
    <row r="372" spans="1:1">
      <c r="A372" t="s">
        <v>241</v>
      </c>
    </row>
    <row r="373" spans="1:1">
      <c r="A373" t="s">
        <v>242</v>
      </c>
    </row>
    <row r="374" spans="1:1">
      <c r="A374" t="s">
        <v>243</v>
      </c>
    </row>
    <row r="375" spans="1:1">
      <c r="A375" t="s">
        <v>244</v>
      </c>
    </row>
    <row r="376" spans="1:1">
      <c r="A376" t="s">
        <v>245</v>
      </c>
    </row>
    <row r="377" spans="1:1">
      <c r="A377" t="s">
        <v>247</v>
      </c>
    </row>
    <row r="378" spans="1:1">
      <c r="A378" t="s">
        <v>248</v>
      </c>
    </row>
    <row r="379" spans="1:1">
      <c r="A379" t="s">
        <v>249</v>
      </c>
    </row>
    <row r="380" spans="1:1">
      <c r="A380" t="s">
        <v>250</v>
      </c>
    </row>
    <row r="381" spans="1:1">
      <c r="A381" t="s">
        <v>251</v>
      </c>
    </row>
    <row r="382" spans="1:1">
      <c r="A382" t="s">
        <v>252</v>
      </c>
    </row>
    <row r="383" spans="1:1">
      <c r="A383" t="s">
        <v>253</v>
      </c>
    </row>
    <row r="384" spans="1:1">
      <c r="A384" t="s">
        <v>254</v>
      </c>
    </row>
    <row r="385" spans="1:1">
      <c r="A385" t="s">
        <v>255</v>
      </c>
    </row>
    <row r="386" spans="1:1">
      <c r="A386" t="s">
        <v>256</v>
      </c>
    </row>
    <row r="387" spans="1:1">
      <c r="A387" t="s">
        <v>257</v>
      </c>
    </row>
    <row r="388" spans="1:1">
      <c r="A388" t="s">
        <v>207</v>
      </c>
    </row>
    <row r="389" spans="1:1">
      <c r="A389" t="s">
        <v>212</v>
      </c>
    </row>
    <row r="390" spans="1:1">
      <c r="A390" t="s">
        <v>241</v>
      </c>
    </row>
    <row r="391" spans="1:1">
      <c r="A391" t="s">
        <v>258</v>
      </c>
    </row>
    <row r="392" spans="1:1">
      <c r="A392" t="s">
        <v>259</v>
      </c>
    </row>
    <row r="393" spans="1:1">
      <c r="A393" t="s">
        <v>260</v>
      </c>
    </row>
    <row r="394" spans="1:1">
      <c r="A394" t="s">
        <v>261</v>
      </c>
    </row>
    <row r="395" spans="1:1">
      <c r="A395" t="s">
        <v>232</v>
      </c>
    </row>
    <row r="396" spans="1:1">
      <c r="A396" t="s">
        <v>262</v>
      </c>
    </row>
    <row r="397" spans="1:1">
      <c r="A397" t="s">
        <v>233</v>
      </c>
    </row>
    <row r="398" spans="1:1">
      <c r="A398" t="s">
        <v>235</v>
      </c>
    </row>
    <row r="399" spans="1:1">
      <c r="A399" t="s">
        <v>236</v>
      </c>
    </row>
    <row r="400" spans="1:1">
      <c r="A400" t="s">
        <v>237</v>
      </c>
    </row>
    <row r="401" spans="1:1">
      <c r="A401" t="s">
        <v>238</v>
      </c>
    </row>
    <row r="402" spans="1:1">
      <c r="A402" t="s">
        <v>240</v>
      </c>
    </row>
    <row r="403" spans="1:1">
      <c r="A403" t="s">
        <v>241</v>
      </c>
    </row>
    <row r="404" spans="1:1">
      <c r="A404" t="s">
        <v>242</v>
      </c>
    </row>
    <row r="405" spans="1:1">
      <c r="A405" t="s">
        <v>243</v>
      </c>
    </row>
    <row r="406" spans="1:1">
      <c r="A406" t="s">
        <v>244</v>
      </c>
    </row>
    <row r="407" spans="1:1">
      <c r="A407" t="s">
        <v>245</v>
      </c>
    </row>
    <row r="408" spans="1:1">
      <c r="A408" t="s">
        <v>260</v>
      </c>
    </row>
    <row r="409" spans="1:1">
      <c r="A409" t="s">
        <v>261</v>
      </c>
    </row>
    <row r="410" spans="1:1">
      <c r="A410" t="s">
        <v>232</v>
      </c>
    </row>
    <row r="411" spans="1:1">
      <c r="A411" t="s">
        <v>262</v>
      </c>
    </row>
    <row r="412" spans="1:1">
      <c r="A412" t="s">
        <v>233</v>
      </c>
    </row>
    <row r="413" spans="1:1">
      <c r="A413" t="s">
        <v>235</v>
      </c>
    </row>
    <row r="414" spans="1:1">
      <c r="A414" t="s">
        <v>236</v>
      </c>
    </row>
    <row r="415" spans="1:1">
      <c r="A415" t="s">
        <v>237</v>
      </c>
    </row>
    <row r="416" spans="1:1">
      <c r="A416" t="s">
        <v>238</v>
      </c>
    </row>
    <row r="417" spans="1:1">
      <c r="A417" t="s">
        <v>240</v>
      </c>
    </row>
    <row r="418" spans="1:1">
      <c r="A418" t="s">
        <v>241</v>
      </c>
    </row>
    <row r="419" spans="1:1">
      <c r="A419" t="s">
        <v>242</v>
      </c>
    </row>
    <row r="420" spans="1:1">
      <c r="A420" t="s">
        <v>243</v>
      </c>
    </row>
    <row r="421" spans="1:1">
      <c r="A421" t="s">
        <v>244</v>
      </c>
    </row>
    <row r="422" spans="1:1">
      <c r="A422" t="s">
        <v>245</v>
      </c>
    </row>
    <row r="423" spans="1:1">
      <c r="A423" t="s">
        <v>263</v>
      </c>
    </row>
    <row r="424" spans="1:1">
      <c r="A424" t="s">
        <v>264</v>
      </c>
    </row>
    <row r="425" spans="1:1">
      <c r="A425" t="s">
        <v>265</v>
      </c>
    </row>
    <row r="426" spans="1:1">
      <c r="A426" t="s">
        <v>254</v>
      </c>
    </row>
    <row r="427" spans="1:1">
      <c r="A427" t="s">
        <v>266</v>
      </c>
    </row>
    <row r="428" spans="1:1">
      <c r="A428" t="s">
        <v>267</v>
      </c>
    </row>
    <row r="429" spans="1:1">
      <c r="A429" t="s">
        <v>256</v>
      </c>
    </row>
    <row r="430" spans="1:1">
      <c r="A430" t="s">
        <v>268</v>
      </c>
    </row>
    <row r="431" spans="1:1">
      <c r="A431" t="s">
        <v>269</v>
      </c>
    </row>
    <row r="432" spans="1:1">
      <c r="A432" t="s">
        <v>207</v>
      </c>
    </row>
    <row r="433" spans="1:1">
      <c r="A433" t="s">
        <v>270</v>
      </c>
    </row>
    <row r="434" spans="1:1">
      <c r="A434" t="s">
        <v>271</v>
      </c>
    </row>
    <row r="435" spans="1:1">
      <c r="A435" t="s">
        <v>272</v>
      </c>
    </row>
    <row r="436" spans="1:1">
      <c r="A436" t="s">
        <v>211</v>
      </c>
    </row>
    <row r="437" spans="1:1">
      <c r="A437" t="s">
        <v>212</v>
      </c>
    </row>
    <row r="438" spans="1:1">
      <c r="A438" t="s">
        <v>213</v>
      </c>
    </row>
    <row r="439" spans="1:1">
      <c r="A439" t="s">
        <v>274</v>
      </c>
    </row>
    <row r="440" spans="1:1">
      <c r="A440" t="s">
        <v>259</v>
      </c>
    </row>
    <row r="441" spans="1:1">
      <c r="A441" t="s">
        <v>227</v>
      </c>
    </row>
    <row r="442" spans="1:1">
      <c r="A442" t="s">
        <v>199</v>
      </c>
    </row>
    <row r="443" spans="1:1">
      <c r="A443" t="s">
        <v>200</v>
      </c>
    </row>
    <row r="444" spans="1:1">
      <c r="A444" t="s">
        <v>202</v>
      </c>
    </row>
    <row r="445" spans="1:1">
      <c r="A445" t="s">
        <v>203</v>
      </c>
    </row>
    <row r="446" spans="1:1">
      <c r="A446" t="s">
        <v>228</v>
      </c>
    </row>
    <row r="447" spans="1:1">
      <c r="A447" t="s">
        <v>204</v>
      </c>
    </row>
    <row r="448" spans="1:1">
      <c r="A448" t="s">
        <v>205</v>
      </c>
    </row>
    <row r="449" spans="1:1">
      <c r="A449" t="s">
        <v>229</v>
      </c>
    </row>
    <row r="450" spans="1:1">
      <c r="A450" t="s">
        <v>206</v>
      </c>
    </row>
    <row r="451" spans="1:1">
      <c r="A451" t="s">
        <v>230</v>
      </c>
    </row>
    <row r="452" spans="1:1">
      <c r="A452" t="s">
        <v>207</v>
      </c>
    </row>
    <row r="453" spans="1:1">
      <c r="A453" t="s">
        <v>231</v>
      </c>
    </row>
    <row r="454" spans="1:1">
      <c r="A454" t="s">
        <v>211</v>
      </c>
    </row>
    <row r="455" spans="1:1">
      <c r="A455" t="s">
        <v>210</v>
      </c>
    </row>
    <row r="456" spans="1:1">
      <c r="A456" t="s">
        <v>213</v>
      </c>
    </row>
    <row r="457" spans="1:1">
      <c r="A457" t="s">
        <v>232</v>
      </c>
    </row>
    <row r="458" spans="1:1">
      <c r="A458" t="s">
        <v>233</v>
      </c>
    </row>
    <row r="459" spans="1:1">
      <c r="A459" t="s">
        <v>234</v>
      </c>
    </row>
    <row r="460" spans="1:1">
      <c r="A460" t="s">
        <v>235</v>
      </c>
    </row>
    <row r="461" spans="1:1">
      <c r="A461" t="s">
        <v>236</v>
      </c>
    </row>
    <row r="462" spans="1:1">
      <c r="A462" t="s">
        <v>237</v>
      </c>
    </row>
    <row r="463" spans="1:1">
      <c r="A463" t="s">
        <v>238</v>
      </c>
    </row>
    <row r="464" spans="1:1">
      <c r="A464" t="s">
        <v>246</v>
      </c>
    </row>
    <row r="465" spans="1:1">
      <c r="A465" t="s">
        <v>239</v>
      </c>
    </row>
    <row r="466" spans="1:1">
      <c r="A466" t="s">
        <v>240</v>
      </c>
    </row>
    <row r="467" spans="1:1">
      <c r="A467" t="s">
        <v>241</v>
      </c>
    </row>
    <row r="468" spans="1:1">
      <c r="A468" t="s">
        <v>242</v>
      </c>
    </row>
    <row r="469" spans="1:1">
      <c r="A469" t="s">
        <v>243</v>
      </c>
    </row>
    <row r="470" spans="1:1">
      <c r="A470" t="s">
        <v>244</v>
      </c>
    </row>
    <row r="471" spans="1:1">
      <c r="A471" t="s">
        <v>245</v>
      </c>
    </row>
    <row r="472" spans="1:1">
      <c r="A472" t="s">
        <v>185</v>
      </c>
    </row>
    <row r="473" spans="1:1">
      <c r="A473" t="s">
        <v>199</v>
      </c>
    </row>
    <row r="474" spans="1:1">
      <c r="A474" t="s">
        <v>200</v>
      </c>
    </row>
    <row r="475" spans="1:1">
      <c r="A475" t="s">
        <v>201</v>
      </c>
    </row>
    <row r="476" spans="1:1">
      <c r="A476" t="s">
        <v>202</v>
      </c>
    </row>
    <row r="477" spans="1:1">
      <c r="A477" t="s">
        <v>203</v>
      </c>
    </row>
    <row r="478" spans="1:1">
      <c r="A478" t="s">
        <v>204</v>
      </c>
    </row>
    <row r="479" spans="1:1">
      <c r="A479" t="s">
        <v>205</v>
      </c>
    </row>
    <row r="480" spans="1:1">
      <c r="A480" t="s">
        <v>206</v>
      </c>
    </row>
    <row r="481" spans="1:1">
      <c r="A481" t="s">
        <v>207</v>
      </c>
    </row>
    <row r="482" spans="1:1">
      <c r="A482" t="s">
        <v>208</v>
      </c>
    </row>
    <row r="483" spans="1:1">
      <c r="A483" t="s">
        <v>209</v>
      </c>
    </row>
    <row r="484" spans="1:1">
      <c r="A484" t="s">
        <v>211</v>
      </c>
    </row>
    <row r="485" spans="1:1">
      <c r="A485" t="s">
        <v>210</v>
      </c>
    </row>
    <row r="486" spans="1:1">
      <c r="A486" t="s">
        <v>212</v>
      </c>
    </row>
    <row r="487" spans="1:1">
      <c r="A487" t="s">
        <v>213</v>
      </c>
    </row>
    <row r="488" spans="1:1">
      <c r="A488" t="s">
        <v>232</v>
      </c>
    </row>
    <row r="489" spans="1:1">
      <c r="A489" t="s">
        <v>233</v>
      </c>
    </row>
    <row r="490" spans="1:1">
      <c r="A490" t="s">
        <v>234</v>
      </c>
    </row>
    <row r="491" spans="1:1">
      <c r="A491" t="s">
        <v>235</v>
      </c>
    </row>
    <row r="492" spans="1:1">
      <c r="A492" t="s">
        <v>236</v>
      </c>
    </row>
    <row r="493" spans="1:1">
      <c r="A493" t="s">
        <v>237</v>
      </c>
    </row>
    <row r="494" spans="1:1">
      <c r="A494" t="s">
        <v>238</v>
      </c>
    </row>
    <row r="495" spans="1:1">
      <c r="A495" t="s">
        <v>246</v>
      </c>
    </row>
    <row r="496" spans="1:1">
      <c r="A496" t="s">
        <v>239</v>
      </c>
    </row>
    <row r="497" spans="1:1">
      <c r="A497" t="s">
        <v>240</v>
      </c>
    </row>
    <row r="498" spans="1:1">
      <c r="A498" t="s">
        <v>241</v>
      </c>
    </row>
    <row r="499" spans="1:1">
      <c r="A499" t="s">
        <v>242</v>
      </c>
    </row>
    <row r="500" spans="1:1">
      <c r="A500" t="s">
        <v>243</v>
      </c>
    </row>
    <row r="501" spans="1:1">
      <c r="A501" t="s">
        <v>244</v>
      </c>
    </row>
    <row r="502" spans="1:1">
      <c r="A502" t="s">
        <v>245</v>
      </c>
    </row>
    <row r="503" spans="1:1">
      <c r="A503" t="s">
        <v>185</v>
      </c>
    </row>
    <row r="504" spans="1:1">
      <c r="A504" t="s">
        <v>199</v>
      </c>
    </row>
    <row r="505" spans="1:1">
      <c r="A505" t="s">
        <v>200</v>
      </c>
    </row>
    <row r="506" spans="1:1">
      <c r="A506" t="s">
        <v>201</v>
      </c>
    </row>
    <row r="507" spans="1:1">
      <c r="A507" t="s">
        <v>202</v>
      </c>
    </row>
    <row r="508" spans="1:1">
      <c r="A508" t="s">
        <v>203</v>
      </c>
    </row>
    <row r="509" spans="1:1">
      <c r="A509" t="s">
        <v>204</v>
      </c>
    </row>
    <row r="510" spans="1:1">
      <c r="A510" t="s">
        <v>205</v>
      </c>
    </row>
    <row r="511" spans="1:1">
      <c r="A511" t="s">
        <v>206</v>
      </c>
    </row>
    <row r="512" spans="1:1">
      <c r="A512" t="s">
        <v>207</v>
      </c>
    </row>
    <row r="513" spans="1:1">
      <c r="A513" t="s">
        <v>208</v>
      </c>
    </row>
    <row r="514" spans="1:1">
      <c r="A514" t="s">
        <v>209</v>
      </c>
    </row>
    <row r="515" spans="1:1">
      <c r="A515" t="s">
        <v>211</v>
      </c>
    </row>
    <row r="516" spans="1:1">
      <c r="A516" t="s">
        <v>210</v>
      </c>
    </row>
    <row r="517" spans="1:1">
      <c r="A517" t="s">
        <v>212</v>
      </c>
    </row>
    <row r="518" spans="1:1">
      <c r="A518" t="s">
        <v>213</v>
      </c>
    </row>
    <row r="519" spans="1:1">
      <c r="A519" t="s">
        <v>247</v>
      </c>
    </row>
    <row r="520" spans="1:1">
      <c r="A520" t="s">
        <v>248</v>
      </c>
    </row>
    <row r="521" spans="1:1">
      <c r="A521" t="s">
        <v>249</v>
      </c>
    </row>
    <row r="522" spans="1:1">
      <c r="A522" t="s">
        <v>250</v>
      </c>
    </row>
    <row r="523" spans="1:1">
      <c r="A523" t="s">
        <v>251</v>
      </c>
    </row>
    <row r="524" spans="1:1">
      <c r="A524" t="s">
        <v>252</v>
      </c>
    </row>
    <row r="525" spans="1:1">
      <c r="A525" t="s">
        <v>253</v>
      </c>
    </row>
    <row r="526" spans="1:1">
      <c r="A526" t="s">
        <v>254</v>
      </c>
    </row>
    <row r="527" spans="1:1">
      <c r="A527" t="s">
        <v>255</v>
      </c>
    </row>
    <row r="528" spans="1:1">
      <c r="A528" t="s">
        <v>256</v>
      </c>
    </row>
    <row r="529" spans="1:1">
      <c r="A529" t="s">
        <v>257</v>
      </c>
    </row>
    <row r="530" spans="1:1">
      <c r="A530" t="s">
        <v>241</v>
      </c>
    </row>
    <row r="531" spans="1:1">
      <c r="A531" t="s">
        <v>258</v>
      </c>
    </row>
    <row r="532" spans="1:1">
      <c r="A532" t="s">
        <v>259</v>
      </c>
    </row>
    <row r="533" spans="1:1">
      <c r="A533" t="s">
        <v>227</v>
      </c>
    </row>
    <row r="534" spans="1:1">
      <c r="A534" t="s">
        <v>199</v>
      </c>
    </row>
    <row r="535" spans="1:1">
      <c r="A535" t="s">
        <v>200</v>
      </c>
    </row>
    <row r="536" spans="1:1">
      <c r="A536" t="s">
        <v>202</v>
      </c>
    </row>
    <row r="537" spans="1:1">
      <c r="A537" t="s">
        <v>203</v>
      </c>
    </row>
    <row r="538" spans="1:1">
      <c r="A538" t="s">
        <v>228</v>
      </c>
    </row>
    <row r="539" spans="1:1">
      <c r="A539" t="s">
        <v>204</v>
      </c>
    </row>
    <row r="540" spans="1:1">
      <c r="A540" t="s">
        <v>205</v>
      </c>
    </row>
    <row r="541" spans="1:1">
      <c r="A541" t="s">
        <v>229</v>
      </c>
    </row>
    <row r="542" spans="1:1">
      <c r="A542" t="s">
        <v>206</v>
      </c>
    </row>
    <row r="543" spans="1:1">
      <c r="A543" t="s">
        <v>230</v>
      </c>
    </row>
    <row r="544" spans="1:1">
      <c r="A544" t="s">
        <v>207</v>
      </c>
    </row>
    <row r="545" spans="1:1">
      <c r="A545" t="s">
        <v>231</v>
      </c>
    </row>
    <row r="546" spans="1:1">
      <c r="A546" t="s">
        <v>211</v>
      </c>
    </row>
    <row r="547" spans="1:1">
      <c r="A547" t="s">
        <v>210</v>
      </c>
    </row>
    <row r="548" spans="1:1">
      <c r="A548" t="s">
        <v>213</v>
      </c>
    </row>
    <row r="549" spans="1:1">
      <c r="A549" t="s">
        <v>260</v>
      </c>
    </row>
    <row r="550" spans="1:1">
      <c r="A550" t="s">
        <v>261</v>
      </c>
    </row>
    <row r="551" spans="1:1">
      <c r="A551" t="s">
        <v>232</v>
      </c>
    </row>
    <row r="552" spans="1:1">
      <c r="A552" t="s">
        <v>262</v>
      </c>
    </row>
    <row r="553" spans="1:1">
      <c r="A553" t="s">
        <v>233</v>
      </c>
    </row>
    <row r="554" spans="1:1">
      <c r="A554" t="s">
        <v>235</v>
      </c>
    </row>
    <row r="555" spans="1:1">
      <c r="A555" t="s">
        <v>236</v>
      </c>
    </row>
    <row r="556" spans="1:1">
      <c r="A556" t="s">
        <v>237</v>
      </c>
    </row>
    <row r="557" spans="1:1">
      <c r="A557" t="s">
        <v>238</v>
      </c>
    </row>
    <row r="558" spans="1:1">
      <c r="A558" t="s">
        <v>240</v>
      </c>
    </row>
    <row r="559" spans="1:1">
      <c r="A559" t="s">
        <v>241</v>
      </c>
    </row>
    <row r="560" spans="1:1">
      <c r="A560" t="s">
        <v>242</v>
      </c>
    </row>
    <row r="561" spans="1:1">
      <c r="A561" t="s">
        <v>243</v>
      </c>
    </row>
    <row r="562" spans="1:1">
      <c r="A562" t="s">
        <v>244</v>
      </c>
    </row>
    <row r="563" spans="1:1">
      <c r="A563" t="s">
        <v>245</v>
      </c>
    </row>
    <row r="564" spans="1:1">
      <c r="A564" t="s">
        <v>227</v>
      </c>
    </row>
    <row r="565" spans="1:1">
      <c r="A565" t="s">
        <v>199</v>
      </c>
    </row>
    <row r="566" spans="1:1">
      <c r="A566" t="s">
        <v>200</v>
      </c>
    </row>
    <row r="567" spans="1:1">
      <c r="A567" t="s">
        <v>202</v>
      </c>
    </row>
    <row r="568" spans="1:1">
      <c r="A568" t="s">
        <v>203</v>
      </c>
    </row>
    <row r="569" spans="1:1">
      <c r="A569" t="s">
        <v>228</v>
      </c>
    </row>
    <row r="570" spans="1:1">
      <c r="A570" t="s">
        <v>204</v>
      </c>
    </row>
    <row r="571" spans="1:1">
      <c r="A571" t="s">
        <v>205</v>
      </c>
    </row>
    <row r="572" spans="1:1">
      <c r="A572" t="s">
        <v>229</v>
      </c>
    </row>
    <row r="573" spans="1:1">
      <c r="A573" t="s">
        <v>206</v>
      </c>
    </row>
    <row r="574" spans="1:1">
      <c r="A574" t="s">
        <v>230</v>
      </c>
    </row>
    <row r="575" spans="1:1">
      <c r="A575" t="s">
        <v>207</v>
      </c>
    </row>
    <row r="576" spans="1:1">
      <c r="A576" t="s">
        <v>231</v>
      </c>
    </row>
    <row r="577" spans="1:1">
      <c r="A577" t="s">
        <v>211</v>
      </c>
    </row>
    <row r="578" spans="1:1">
      <c r="A578" t="s">
        <v>210</v>
      </c>
    </row>
    <row r="579" spans="1:1">
      <c r="A579" t="s">
        <v>213</v>
      </c>
    </row>
    <row r="580" spans="1:1">
      <c r="A580" t="s">
        <v>232</v>
      </c>
    </row>
    <row r="581" spans="1:1">
      <c r="A581" t="s">
        <v>233</v>
      </c>
    </row>
    <row r="582" spans="1:1">
      <c r="A582" t="s">
        <v>234</v>
      </c>
    </row>
    <row r="583" spans="1:1">
      <c r="A583" t="s">
        <v>235</v>
      </c>
    </row>
    <row r="584" spans="1:1">
      <c r="A584" t="s">
        <v>236</v>
      </c>
    </row>
    <row r="585" spans="1:1">
      <c r="A585" t="s">
        <v>237</v>
      </c>
    </row>
    <row r="586" spans="1:1">
      <c r="A586" t="s">
        <v>209</v>
      </c>
    </row>
    <row r="587" spans="1:1">
      <c r="A587" t="s">
        <v>238</v>
      </c>
    </row>
    <row r="588" spans="1:1">
      <c r="A588" t="s">
        <v>239</v>
      </c>
    </row>
    <row r="589" spans="1:1">
      <c r="A589" t="s">
        <v>212</v>
      </c>
    </row>
    <row r="590" spans="1:1">
      <c r="A590" t="s">
        <v>240</v>
      </c>
    </row>
    <row r="591" spans="1:1">
      <c r="A591" t="s">
        <v>241</v>
      </c>
    </row>
    <row r="592" spans="1:1">
      <c r="A592" t="s">
        <v>242</v>
      </c>
    </row>
    <row r="593" spans="1:1">
      <c r="A593" t="s">
        <v>243</v>
      </c>
    </row>
    <row r="594" spans="1:1">
      <c r="A594" t="s">
        <v>244</v>
      </c>
    </row>
    <row r="595" spans="1:1">
      <c r="A595" t="s">
        <v>245</v>
      </c>
    </row>
    <row r="596" spans="1:1">
      <c r="A596" t="s">
        <v>232</v>
      </c>
    </row>
    <row r="597" spans="1:1">
      <c r="A597" t="s">
        <v>233</v>
      </c>
    </row>
    <row r="598" spans="1:1">
      <c r="A598" t="s">
        <v>234</v>
      </c>
    </row>
    <row r="599" spans="1:1">
      <c r="A599" t="s">
        <v>235</v>
      </c>
    </row>
    <row r="600" spans="1:1">
      <c r="A600" t="s">
        <v>236</v>
      </c>
    </row>
    <row r="601" spans="1:1">
      <c r="A601" t="s">
        <v>237</v>
      </c>
    </row>
    <row r="602" spans="1:1">
      <c r="A602" t="s">
        <v>238</v>
      </c>
    </row>
    <row r="603" spans="1:1">
      <c r="A603" t="s">
        <v>246</v>
      </c>
    </row>
    <row r="604" spans="1:1">
      <c r="A604" t="s">
        <v>239</v>
      </c>
    </row>
    <row r="605" spans="1:1">
      <c r="A605" t="s">
        <v>240</v>
      </c>
    </row>
    <row r="606" spans="1:1">
      <c r="A606" t="s">
        <v>241</v>
      </c>
    </row>
    <row r="607" spans="1:1">
      <c r="A607" t="s">
        <v>242</v>
      </c>
    </row>
    <row r="608" spans="1:1">
      <c r="A608" t="s">
        <v>243</v>
      </c>
    </row>
    <row r="609" spans="1:1">
      <c r="A609" t="s">
        <v>244</v>
      </c>
    </row>
    <row r="610" spans="1:1">
      <c r="A610" t="s">
        <v>245</v>
      </c>
    </row>
    <row r="611" spans="1:1">
      <c r="A611" t="s">
        <v>260</v>
      </c>
    </row>
    <row r="612" spans="1:1">
      <c r="A612" t="s">
        <v>261</v>
      </c>
    </row>
    <row r="613" spans="1:1">
      <c r="A613" t="s">
        <v>262</v>
      </c>
    </row>
    <row r="614" spans="1:1">
      <c r="A614" t="s">
        <v>232</v>
      </c>
    </row>
    <row r="615" spans="1:1">
      <c r="A615" t="s">
        <v>233</v>
      </c>
    </row>
    <row r="616" spans="1:1">
      <c r="A616" t="s">
        <v>234</v>
      </c>
    </row>
    <row r="617" spans="1:1">
      <c r="A617" t="s">
        <v>235</v>
      </c>
    </row>
    <row r="618" spans="1:1">
      <c r="A618" t="s">
        <v>236</v>
      </c>
    </row>
    <row r="619" spans="1:1">
      <c r="A619" t="s">
        <v>237</v>
      </c>
    </row>
    <row r="620" spans="1:1">
      <c r="A620" t="s">
        <v>238</v>
      </c>
    </row>
    <row r="621" spans="1:1">
      <c r="A621" t="s">
        <v>246</v>
      </c>
    </row>
    <row r="622" spans="1:1">
      <c r="A622" t="s">
        <v>239</v>
      </c>
    </row>
    <row r="623" spans="1:1">
      <c r="A623" t="s">
        <v>240</v>
      </c>
    </row>
    <row r="624" spans="1:1">
      <c r="A624" t="s">
        <v>241</v>
      </c>
    </row>
    <row r="625" spans="1:1">
      <c r="A625" t="s">
        <v>242</v>
      </c>
    </row>
    <row r="626" spans="1:1">
      <c r="A626" t="s">
        <v>243</v>
      </c>
    </row>
    <row r="627" spans="1:1">
      <c r="A627" t="s">
        <v>244</v>
      </c>
    </row>
    <row r="628" spans="1:1">
      <c r="A628" t="s">
        <v>245</v>
      </c>
    </row>
    <row r="629" spans="1:1">
      <c r="A629" t="s">
        <v>247</v>
      </c>
    </row>
    <row r="630" spans="1:1">
      <c r="A630" t="s">
        <v>248</v>
      </c>
    </row>
    <row r="631" spans="1:1">
      <c r="A631" t="s">
        <v>249</v>
      </c>
    </row>
    <row r="632" spans="1:1">
      <c r="A632" t="s">
        <v>250</v>
      </c>
    </row>
    <row r="633" spans="1:1">
      <c r="A633" t="s">
        <v>251</v>
      </c>
    </row>
    <row r="634" spans="1:1">
      <c r="A634" t="s">
        <v>252</v>
      </c>
    </row>
    <row r="635" spans="1:1">
      <c r="A635" t="s">
        <v>253</v>
      </c>
    </row>
    <row r="636" spans="1:1">
      <c r="A636" t="s">
        <v>254</v>
      </c>
    </row>
    <row r="637" spans="1:1">
      <c r="A637" t="s">
        <v>255</v>
      </c>
    </row>
    <row r="638" spans="1:1">
      <c r="A638" t="s">
        <v>256</v>
      </c>
    </row>
    <row r="639" spans="1:1">
      <c r="A639" t="s">
        <v>257</v>
      </c>
    </row>
    <row r="640" spans="1:1">
      <c r="A640" t="s">
        <v>207</v>
      </c>
    </row>
    <row r="641" spans="1:1">
      <c r="A641" t="s">
        <v>212</v>
      </c>
    </row>
    <row r="642" spans="1:1">
      <c r="A642" t="s">
        <v>258</v>
      </c>
    </row>
    <row r="643" spans="1:1">
      <c r="A643" t="s">
        <v>259</v>
      </c>
    </row>
    <row r="644" spans="1:1">
      <c r="A644" t="s">
        <v>185</v>
      </c>
    </row>
    <row r="645" spans="1:1">
      <c r="A645" t="s">
        <v>199</v>
      </c>
    </row>
    <row r="646" spans="1:1">
      <c r="A646" t="s">
        <v>200</v>
      </c>
    </row>
    <row r="647" spans="1:1">
      <c r="A647" t="s">
        <v>201</v>
      </c>
    </row>
    <row r="648" spans="1:1">
      <c r="A648" t="s">
        <v>202</v>
      </c>
    </row>
    <row r="649" spans="1:1">
      <c r="A649" t="s">
        <v>203</v>
      </c>
    </row>
    <row r="650" spans="1:1">
      <c r="A650" t="s">
        <v>204</v>
      </c>
    </row>
    <row r="651" spans="1:1">
      <c r="A651" t="s">
        <v>205</v>
      </c>
    </row>
    <row r="652" spans="1:1">
      <c r="A652" t="s">
        <v>206</v>
      </c>
    </row>
    <row r="653" spans="1:1">
      <c r="A653" t="s">
        <v>207</v>
      </c>
    </row>
    <row r="654" spans="1:1">
      <c r="A654" t="s">
        <v>208</v>
      </c>
    </row>
    <row r="655" spans="1:1">
      <c r="A655" t="s">
        <v>209</v>
      </c>
    </row>
    <row r="656" spans="1:1">
      <c r="A656" t="s">
        <v>211</v>
      </c>
    </row>
    <row r="657" spans="1:1">
      <c r="A657" t="s">
        <v>210</v>
      </c>
    </row>
    <row r="658" spans="1:1">
      <c r="A658" t="s">
        <v>212</v>
      </c>
    </row>
    <row r="659" spans="1:1">
      <c r="A659" t="s">
        <v>213</v>
      </c>
    </row>
    <row r="660" spans="1:1">
      <c r="A660" t="s">
        <v>227</v>
      </c>
    </row>
    <row r="661" spans="1:1">
      <c r="A661" t="s">
        <v>228</v>
      </c>
    </row>
    <row r="662" spans="1:1">
      <c r="A662" t="s">
        <v>229</v>
      </c>
    </row>
    <row r="663" spans="1:1">
      <c r="A663" t="s">
        <v>230</v>
      </c>
    </row>
    <row r="664" spans="1:1">
      <c r="A664" t="s">
        <v>231</v>
      </c>
    </row>
    <row r="665" spans="1:1">
      <c r="A665" t="s">
        <v>232</v>
      </c>
    </row>
    <row r="666" spans="1:1">
      <c r="A666" t="s">
        <v>233</v>
      </c>
    </row>
    <row r="667" spans="1:1">
      <c r="A667" t="s">
        <v>234</v>
      </c>
    </row>
    <row r="668" spans="1:1">
      <c r="A668" t="s">
        <v>235</v>
      </c>
    </row>
    <row r="669" spans="1:1">
      <c r="A669" t="s">
        <v>236</v>
      </c>
    </row>
    <row r="670" spans="1:1">
      <c r="A670" t="s">
        <v>237</v>
      </c>
    </row>
    <row r="671" spans="1:1">
      <c r="A671" t="s">
        <v>209</v>
      </c>
    </row>
    <row r="672" spans="1:1">
      <c r="A672" t="s">
        <v>238</v>
      </c>
    </row>
    <row r="673" spans="1:1">
      <c r="A673" t="s">
        <v>239</v>
      </c>
    </row>
    <row r="674" spans="1:1">
      <c r="A674" t="s">
        <v>212</v>
      </c>
    </row>
    <row r="675" spans="1:1">
      <c r="A675" t="s">
        <v>240</v>
      </c>
    </row>
    <row r="676" spans="1:1">
      <c r="A676" t="s">
        <v>241</v>
      </c>
    </row>
    <row r="677" spans="1:1">
      <c r="A677" t="s">
        <v>242</v>
      </c>
    </row>
    <row r="678" spans="1:1">
      <c r="A678" t="s">
        <v>243</v>
      </c>
    </row>
    <row r="679" spans="1:1">
      <c r="A679" t="s">
        <v>244</v>
      </c>
    </row>
    <row r="680" spans="1:1">
      <c r="A680" t="s">
        <v>245</v>
      </c>
    </row>
    <row r="681" spans="1:1">
      <c r="A681" t="s">
        <v>263</v>
      </c>
    </row>
    <row r="682" spans="1:1">
      <c r="A682" t="s">
        <v>264</v>
      </c>
    </row>
    <row r="683" spans="1:1">
      <c r="A683" t="s">
        <v>265</v>
      </c>
    </row>
    <row r="684" spans="1:1">
      <c r="A684" t="s">
        <v>254</v>
      </c>
    </row>
    <row r="685" spans="1:1">
      <c r="A685" t="s">
        <v>266</v>
      </c>
    </row>
    <row r="686" spans="1:1">
      <c r="A686" t="s">
        <v>267</v>
      </c>
    </row>
    <row r="687" spans="1:1">
      <c r="A687" t="s">
        <v>256</v>
      </c>
    </row>
    <row r="688" spans="1:1">
      <c r="A688" t="s">
        <v>268</v>
      </c>
    </row>
    <row r="689" spans="1:1">
      <c r="A689" t="s">
        <v>269</v>
      </c>
    </row>
    <row r="690" spans="1:1">
      <c r="A690" t="s">
        <v>207</v>
      </c>
    </row>
    <row r="691" spans="1:1">
      <c r="A691" t="s">
        <v>270</v>
      </c>
    </row>
    <row r="692" spans="1:1">
      <c r="A692" t="s">
        <v>271</v>
      </c>
    </row>
    <row r="693" spans="1:1">
      <c r="A693" t="s">
        <v>272</v>
      </c>
    </row>
    <row r="694" spans="1:1">
      <c r="A694" t="s">
        <v>211</v>
      </c>
    </row>
    <row r="695" spans="1:1">
      <c r="A695" t="s">
        <v>213</v>
      </c>
    </row>
    <row r="696" spans="1:1">
      <c r="A696" t="s">
        <v>274</v>
      </c>
    </row>
    <row r="697" spans="1:1">
      <c r="A697" t="s">
        <v>259</v>
      </c>
    </row>
    <row r="698" spans="1:1">
      <c r="A698" t="s">
        <v>185</v>
      </c>
    </row>
    <row r="699" spans="1:1">
      <c r="A699" t="s">
        <v>199</v>
      </c>
    </row>
    <row r="700" spans="1:1">
      <c r="A700" t="s">
        <v>200</v>
      </c>
    </row>
    <row r="701" spans="1:1">
      <c r="A701" t="s">
        <v>201</v>
      </c>
    </row>
    <row r="702" spans="1:1">
      <c r="A702" t="s">
        <v>202</v>
      </c>
    </row>
    <row r="703" spans="1:1">
      <c r="A703" t="s">
        <v>203</v>
      </c>
    </row>
    <row r="704" spans="1:1">
      <c r="A704" t="s">
        <v>204</v>
      </c>
    </row>
    <row r="705" spans="1:1">
      <c r="A705" t="s">
        <v>205</v>
      </c>
    </row>
    <row r="706" spans="1:1">
      <c r="A706" t="s">
        <v>206</v>
      </c>
    </row>
    <row r="707" spans="1:1">
      <c r="A707" t="s">
        <v>207</v>
      </c>
    </row>
    <row r="708" spans="1:1">
      <c r="A708" t="s">
        <v>208</v>
      </c>
    </row>
    <row r="709" spans="1:1">
      <c r="A709" t="s">
        <v>209</v>
      </c>
    </row>
    <row r="710" spans="1:1">
      <c r="A710" t="s">
        <v>211</v>
      </c>
    </row>
    <row r="711" spans="1:1">
      <c r="A711" t="s">
        <v>210</v>
      </c>
    </row>
    <row r="712" spans="1:1">
      <c r="A712" t="s">
        <v>212</v>
      </c>
    </row>
    <row r="713" spans="1:1">
      <c r="A713" t="s">
        <v>213</v>
      </c>
    </row>
    <row r="714" spans="1:1">
      <c r="A714" t="s">
        <v>263</v>
      </c>
    </row>
    <row r="715" spans="1:1">
      <c r="A715" t="s">
        <v>264</v>
      </c>
    </row>
    <row r="716" spans="1:1">
      <c r="A716" t="s">
        <v>265</v>
      </c>
    </row>
    <row r="717" spans="1:1">
      <c r="A717" t="s">
        <v>254</v>
      </c>
    </row>
    <row r="718" spans="1:1">
      <c r="A718" t="s">
        <v>266</v>
      </c>
    </row>
    <row r="719" spans="1:1">
      <c r="A719" t="s">
        <v>267</v>
      </c>
    </row>
    <row r="720" spans="1:1">
      <c r="A720" t="s">
        <v>256</v>
      </c>
    </row>
    <row r="721" spans="1:1">
      <c r="A721" t="s">
        <v>268</v>
      </c>
    </row>
    <row r="722" spans="1:1">
      <c r="A722" t="s">
        <v>269</v>
      </c>
    </row>
    <row r="723" spans="1:1">
      <c r="A723" t="s">
        <v>270</v>
      </c>
    </row>
    <row r="724" spans="1:1">
      <c r="A724" t="s">
        <v>271</v>
      </c>
    </row>
    <row r="725" spans="1:1">
      <c r="A725" t="s">
        <v>272</v>
      </c>
    </row>
    <row r="726" spans="1:1">
      <c r="A726" t="s">
        <v>274</v>
      </c>
    </row>
    <row r="727" spans="1:1">
      <c r="A727" t="s">
        <v>259</v>
      </c>
    </row>
    <row r="728" spans="1:1">
      <c r="A728" t="s">
        <v>280</v>
      </c>
    </row>
    <row r="729" spans="1:1">
      <c r="A729" t="s">
        <v>281</v>
      </c>
    </row>
    <row r="730" spans="1:1">
      <c r="A730" t="s">
        <v>282</v>
      </c>
    </row>
    <row r="731" spans="1:1">
      <c r="A731" t="s">
        <v>283</v>
      </c>
    </row>
    <row r="732" spans="1:1">
      <c r="A732" t="s">
        <v>284</v>
      </c>
    </row>
    <row r="733" spans="1:1">
      <c r="A733" t="s">
        <v>285</v>
      </c>
    </row>
    <row r="734" spans="1:1">
      <c r="A734" t="s">
        <v>286</v>
      </c>
    </row>
    <row r="735" spans="1:1">
      <c r="A735" t="s">
        <v>287</v>
      </c>
    </row>
    <row r="736" spans="1:1">
      <c r="A736" t="s">
        <v>288</v>
      </c>
    </row>
    <row r="737" spans="1:1">
      <c r="A737" t="s">
        <v>289</v>
      </c>
    </row>
    <row r="738" spans="1:1">
      <c r="A738" t="s">
        <v>290</v>
      </c>
    </row>
    <row r="739" spans="1:1">
      <c r="A739" t="s">
        <v>291</v>
      </c>
    </row>
    <row r="740" spans="1:1">
      <c r="A740" t="s">
        <v>292</v>
      </c>
    </row>
    <row r="741" spans="1:1">
      <c r="A741" t="s">
        <v>293</v>
      </c>
    </row>
    <row r="742" spans="1:1">
      <c r="A742" t="s">
        <v>294</v>
      </c>
    </row>
    <row r="743" spans="1:1">
      <c r="A743" t="s">
        <v>295</v>
      </c>
    </row>
    <row r="744" spans="1:1">
      <c r="A744" t="s">
        <v>296</v>
      </c>
    </row>
    <row r="745" spans="1:1">
      <c r="A745" t="s">
        <v>297</v>
      </c>
    </row>
    <row r="746" spans="1:1">
      <c r="A746" t="s">
        <v>298</v>
      </c>
    </row>
    <row r="747" spans="1:1">
      <c r="A747" t="s">
        <v>299</v>
      </c>
    </row>
    <row r="748" spans="1:1">
      <c r="A748" t="s">
        <v>300</v>
      </c>
    </row>
    <row r="749" spans="1:1">
      <c r="A749" t="s">
        <v>301</v>
      </c>
    </row>
    <row r="750" spans="1:1">
      <c r="A750" t="s">
        <v>302</v>
      </c>
    </row>
    <row r="751" spans="1:1">
      <c r="A751" t="s">
        <v>303</v>
      </c>
    </row>
    <row r="752" spans="1:1">
      <c r="A752" t="s">
        <v>304</v>
      </c>
    </row>
    <row r="753" spans="1:1">
      <c r="A753" t="s">
        <v>305</v>
      </c>
    </row>
    <row r="754" spans="1:1">
      <c r="A754" t="s">
        <v>306</v>
      </c>
    </row>
    <row r="755" spans="1:1">
      <c r="A755" t="s">
        <v>307</v>
      </c>
    </row>
    <row r="756" spans="1:1">
      <c r="A756" t="s">
        <v>308</v>
      </c>
    </row>
    <row r="757" spans="1:1">
      <c r="A757" t="s">
        <v>309</v>
      </c>
    </row>
    <row r="758" spans="1:1">
      <c r="A758" t="s">
        <v>310</v>
      </c>
    </row>
    <row r="759" spans="1:1">
      <c r="A759" t="s">
        <v>311</v>
      </c>
    </row>
    <row r="760" spans="1:1">
      <c r="A760" t="s">
        <v>312</v>
      </c>
    </row>
    <row r="761" spans="1:1">
      <c r="A761" t="s">
        <v>313</v>
      </c>
    </row>
    <row r="762" spans="1:1">
      <c r="A762" t="s">
        <v>185</v>
      </c>
    </row>
    <row r="763" spans="1:1">
      <c r="A763" t="s">
        <v>199</v>
      </c>
    </row>
    <row r="764" spans="1:1">
      <c r="A764" t="s">
        <v>200</v>
      </c>
    </row>
    <row r="765" spans="1:1">
      <c r="A765" t="s">
        <v>201</v>
      </c>
    </row>
    <row r="766" spans="1:1">
      <c r="A766" t="s">
        <v>202</v>
      </c>
    </row>
    <row r="767" spans="1:1">
      <c r="A767" t="s">
        <v>203</v>
      </c>
    </row>
    <row r="768" spans="1:1">
      <c r="A768" t="s">
        <v>204</v>
      </c>
    </row>
    <row r="769" spans="1:1">
      <c r="A769" t="s">
        <v>205</v>
      </c>
    </row>
    <row r="770" spans="1:1">
      <c r="A770" t="s">
        <v>206</v>
      </c>
    </row>
    <row r="771" spans="1:1">
      <c r="A771" t="s">
        <v>207</v>
      </c>
    </row>
    <row r="772" spans="1:1">
      <c r="A772" t="s">
        <v>208</v>
      </c>
    </row>
    <row r="773" spans="1:1">
      <c r="A773" t="s">
        <v>209</v>
      </c>
    </row>
    <row r="774" spans="1:1">
      <c r="A774" t="s">
        <v>211</v>
      </c>
    </row>
    <row r="775" spans="1:1">
      <c r="A775" t="s">
        <v>210</v>
      </c>
    </row>
    <row r="776" spans="1:1">
      <c r="A776" t="s">
        <v>212</v>
      </c>
    </row>
    <row r="777" spans="1:1">
      <c r="A777" t="s">
        <v>213</v>
      </c>
    </row>
    <row r="778" spans="1:1">
      <c r="A778" t="s">
        <v>260</v>
      </c>
    </row>
    <row r="779" spans="1:1">
      <c r="A779" t="s">
        <v>261</v>
      </c>
    </row>
    <row r="780" spans="1:1">
      <c r="A780" t="s">
        <v>232</v>
      </c>
    </row>
    <row r="781" spans="1:1">
      <c r="A781" t="s">
        <v>233</v>
      </c>
    </row>
    <row r="782" spans="1:1">
      <c r="A782" t="s">
        <v>241</v>
      </c>
    </row>
    <row r="783" spans="1:1">
      <c r="A783" t="s">
        <v>242</v>
      </c>
    </row>
    <row r="784" spans="1:1">
      <c r="A784" t="s">
        <v>243</v>
      </c>
    </row>
    <row r="785" spans="1:1">
      <c r="A785" t="s">
        <v>244</v>
      </c>
    </row>
    <row r="786" spans="1:1">
      <c r="A786" t="s">
        <v>599</v>
      </c>
    </row>
    <row r="787" spans="1:1">
      <c r="A787" t="s">
        <v>556</v>
      </c>
    </row>
    <row r="788" spans="1:1">
      <c r="A788" t="s">
        <v>600</v>
      </c>
    </row>
    <row r="789" spans="1:1">
      <c r="A789" t="s">
        <v>569</v>
      </c>
    </row>
    <row r="790" spans="1:1">
      <c r="A790" t="s">
        <v>557</v>
      </c>
    </row>
    <row r="791" spans="1:1">
      <c r="A791" t="s">
        <v>558</v>
      </c>
    </row>
    <row r="792" spans="1:1">
      <c r="A792" t="s">
        <v>560</v>
      </c>
    </row>
    <row r="793" spans="1:1">
      <c r="A793" t="s">
        <v>561</v>
      </c>
    </row>
    <row r="794" spans="1:1">
      <c r="A794" t="s">
        <v>562</v>
      </c>
    </row>
    <row r="795" spans="1:1">
      <c r="A795" t="s">
        <v>574</v>
      </c>
    </row>
    <row r="796" spans="1:1">
      <c r="A796" t="s">
        <v>591</v>
      </c>
    </row>
    <row r="797" spans="1:1">
      <c r="A797" t="s">
        <v>595</v>
      </c>
    </row>
    <row r="798" spans="1:1">
      <c r="A798" t="s">
        <v>590</v>
      </c>
    </row>
    <row r="799" spans="1:1">
      <c r="A799" t="s">
        <v>592</v>
      </c>
    </row>
    <row r="800" spans="1:1">
      <c r="A800" t="s">
        <v>589</v>
      </c>
    </row>
    <row r="801" spans="1:1">
      <c r="A801" t="s">
        <v>593</v>
      </c>
    </row>
    <row r="802" spans="1:1">
      <c r="A802" t="s">
        <v>594</v>
      </c>
    </row>
    <row r="803" spans="1:1">
      <c r="A803" t="s">
        <v>570</v>
      </c>
    </row>
    <row r="804" spans="1:1">
      <c r="A804" t="s">
        <v>563</v>
      </c>
    </row>
    <row r="805" spans="1:1">
      <c r="A805" t="s">
        <v>564</v>
      </c>
    </row>
    <row r="806" spans="1:1">
      <c r="A806" t="s">
        <v>571</v>
      </c>
    </row>
    <row r="807" spans="1:1">
      <c r="A807" t="s">
        <v>601</v>
      </c>
    </row>
    <row r="808" spans="1:1">
      <c r="A808" t="s">
        <v>565</v>
      </c>
    </row>
    <row r="809" spans="1:1">
      <c r="A809" t="s">
        <v>575</v>
      </c>
    </row>
    <row r="810" spans="1:1">
      <c r="A810" t="s">
        <v>596</v>
      </c>
    </row>
    <row r="811" spans="1:1">
      <c r="A811" t="s">
        <v>576</v>
      </c>
    </row>
    <row r="812" spans="1:1">
      <c r="A812" t="s">
        <v>577</v>
      </c>
    </row>
    <row r="813" spans="1:1">
      <c r="A813" t="s">
        <v>572</v>
      </c>
    </row>
    <row r="814" spans="1:1">
      <c r="A814" t="s">
        <v>597</v>
      </c>
    </row>
    <row r="815" spans="1:1">
      <c r="A815" t="s">
        <v>578</v>
      </c>
    </row>
    <row r="816" spans="1:1">
      <c r="A816" t="s">
        <v>579</v>
      </c>
    </row>
    <row r="817" spans="1:1">
      <c r="A817" t="s">
        <v>566</v>
      </c>
    </row>
    <row r="818" spans="1:1">
      <c r="A818" t="s">
        <v>567</v>
      </c>
    </row>
    <row r="819" spans="1:1">
      <c r="A819" t="s">
        <v>573</v>
      </c>
    </row>
    <row r="820" spans="1:1">
      <c r="A820" t="s">
        <v>580</v>
      </c>
    </row>
    <row r="821" spans="1:1">
      <c r="A821" t="s">
        <v>588</v>
      </c>
    </row>
    <row r="822" spans="1:1">
      <c r="A822" t="s">
        <v>581</v>
      </c>
    </row>
    <row r="823" spans="1:1">
      <c r="A823" t="s">
        <v>582</v>
      </c>
    </row>
    <row r="824" spans="1:1">
      <c r="A824" t="s">
        <v>583</v>
      </c>
    </row>
    <row r="825" spans="1:1">
      <c r="A825" t="s">
        <v>568</v>
      </c>
    </row>
    <row r="826" spans="1:1">
      <c r="A826" t="s">
        <v>584</v>
      </c>
    </row>
    <row r="827" spans="1:1">
      <c r="A827" t="s">
        <v>598</v>
      </c>
    </row>
    <row r="828" spans="1:1">
      <c r="A828" t="s">
        <v>585</v>
      </c>
    </row>
    <row r="829" spans="1:1">
      <c r="A829" t="s">
        <v>586</v>
      </c>
    </row>
    <row r="830" spans="1:1">
      <c r="A830" t="s">
        <v>587</v>
      </c>
    </row>
    <row r="831" spans="1:1">
      <c r="A831" t="s">
        <v>599</v>
      </c>
    </row>
    <row r="832" spans="1:1">
      <c r="A832" t="s">
        <v>556</v>
      </c>
    </row>
    <row r="833" spans="1:1">
      <c r="A833" t="s">
        <v>600</v>
      </c>
    </row>
    <row r="834" spans="1:1">
      <c r="A834" t="s">
        <v>560</v>
      </c>
    </row>
    <row r="835" spans="1:1">
      <c r="A835" t="s">
        <v>574</v>
      </c>
    </row>
    <row r="836" spans="1:1">
      <c r="A836" t="s">
        <v>591</v>
      </c>
    </row>
    <row r="837" spans="1:1">
      <c r="A837" t="s">
        <v>595</v>
      </c>
    </row>
    <row r="838" spans="1:1">
      <c r="A838" t="s">
        <v>590</v>
      </c>
    </row>
    <row r="839" spans="1:1">
      <c r="A839" t="s">
        <v>592</v>
      </c>
    </row>
    <row r="840" spans="1:1">
      <c r="A840" t="s">
        <v>589</v>
      </c>
    </row>
    <row r="841" spans="1:1">
      <c r="A841" t="s">
        <v>593</v>
      </c>
    </row>
    <row r="842" spans="1:1">
      <c r="A842" t="s">
        <v>594</v>
      </c>
    </row>
    <row r="843" spans="1:1">
      <c r="A843" t="s">
        <v>563</v>
      </c>
    </row>
    <row r="844" spans="1:1">
      <c r="A844" t="s">
        <v>564</v>
      </c>
    </row>
    <row r="845" spans="1:1">
      <c r="A845" t="s">
        <v>571</v>
      </c>
    </row>
    <row r="846" spans="1:1">
      <c r="A846" t="s">
        <v>601</v>
      </c>
    </row>
    <row r="847" spans="1:1">
      <c r="A847" t="s">
        <v>565</v>
      </c>
    </row>
    <row r="848" spans="1:1">
      <c r="A848" t="s">
        <v>575</v>
      </c>
    </row>
    <row r="849" spans="1:1">
      <c r="A849" t="s">
        <v>596</v>
      </c>
    </row>
    <row r="850" spans="1:1">
      <c r="A850" t="s">
        <v>576</v>
      </c>
    </row>
    <row r="851" spans="1:1">
      <c r="A851" t="s">
        <v>577</v>
      </c>
    </row>
    <row r="852" spans="1:1">
      <c r="A852" t="s">
        <v>572</v>
      </c>
    </row>
    <row r="853" spans="1:1">
      <c r="A853" t="s">
        <v>597</v>
      </c>
    </row>
    <row r="854" spans="1:1">
      <c r="A854" t="s">
        <v>578</v>
      </c>
    </row>
    <row r="855" spans="1:1">
      <c r="A855" t="s">
        <v>579</v>
      </c>
    </row>
    <row r="856" spans="1:1">
      <c r="A856" t="s">
        <v>566</v>
      </c>
    </row>
    <row r="857" spans="1:1">
      <c r="A857" t="s">
        <v>567</v>
      </c>
    </row>
    <row r="858" spans="1:1">
      <c r="A858" t="s">
        <v>573</v>
      </c>
    </row>
    <row r="859" spans="1:1">
      <c r="A859" t="s">
        <v>580</v>
      </c>
    </row>
    <row r="860" spans="1:1">
      <c r="A860" t="s">
        <v>588</v>
      </c>
    </row>
    <row r="861" spans="1:1">
      <c r="A861" t="s">
        <v>581</v>
      </c>
    </row>
    <row r="862" spans="1:1">
      <c r="A862" t="s">
        <v>582</v>
      </c>
    </row>
    <row r="863" spans="1:1">
      <c r="A863" t="s">
        <v>583</v>
      </c>
    </row>
    <row r="864" spans="1:1">
      <c r="A864" t="s">
        <v>568</v>
      </c>
    </row>
    <row r="865" spans="1:1">
      <c r="A865" t="s">
        <v>584</v>
      </c>
    </row>
    <row r="866" spans="1:1">
      <c r="A866" t="s">
        <v>598</v>
      </c>
    </row>
    <row r="867" spans="1:1">
      <c r="A867" t="s">
        <v>585</v>
      </c>
    </row>
    <row r="868" spans="1:1">
      <c r="A868" t="s">
        <v>586</v>
      </c>
    </row>
    <row r="869" spans="1:1">
      <c r="A869" t="s">
        <v>587</v>
      </c>
    </row>
    <row r="870" spans="1:1">
      <c r="A870" t="s">
        <v>599</v>
      </c>
    </row>
    <row r="871" spans="1:1">
      <c r="A871" t="s">
        <v>556</v>
      </c>
    </row>
    <row r="872" spans="1:1">
      <c r="A872" t="s">
        <v>600</v>
      </c>
    </row>
    <row r="873" spans="1:1">
      <c r="A873" t="s">
        <v>569</v>
      </c>
    </row>
    <row r="874" spans="1:1">
      <c r="A874" t="s">
        <v>557</v>
      </c>
    </row>
    <row r="875" spans="1:1">
      <c r="A875" t="s">
        <v>558</v>
      </c>
    </row>
    <row r="876" spans="1:1">
      <c r="A876" t="s">
        <v>560</v>
      </c>
    </row>
    <row r="877" spans="1:1">
      <c r="A877" t="s">
        <v>561</v>
      </c>
    </row>
    <row r="878" spans="1:1">
      <c r="A878" t="s">
        <v>562</v>
      </c>
    </row>
    <row r="879" spans="1:1">
      <c r="A879" t="s">
        <v>591</v>
      </c>
    </row>
    <row r="880" spans="1:1">
      <c r="A880" t="s">
        <v>595</v>
      </c>
    </row>
    <row r="881" spans="1:1">
      <c r="A881" t="s">
        <v>590</v>
      </c>
    </row>
    <row r="882" spans="1:1">
      <c r="A882" t="s">
        <v>592</v>
      </c>
    </row>
    <row r="883" spans="1:1">
      <c r="A883" t="s">
        <v>589</v>
      </c>
    </row>
    <row r="884" spans="1:1">
      <c r="A884" t="s">
        <v>593</v>
      </c>
    </row>
    <row r="885" spans="1:1">
      <c r="A885" t="s">
        <v>594</v>
      </c>
    </row>
    <row r="886" spans="1:1">
      <c r="A886" t="s">
        <v>570</v>
      </c>
    </row>
    <row r="887" spans="1:1">
      <c r="A887" t="s">
        <v>563</v>
      </c>
    </row>
    <row r="888" spans="1:1">
      <c r="A888" t="s">
        <v>564</v>
      </c>
    </row>
    <row r="889" spans="1:1">
      <c r="A889" t="s">
        <v>571</v>
      </c>
    </row>
    <row r="890" spans="1:1">
      <c r="A890" t="s">
        <v>601</v>
      </c>
    </row>
    <row r="891" spans="1:1">
      <c r="A891" t="s">
        <v>565</v>
      </c>
    </row>
    <row r="892" spans="1:1">
      <c r="A892" t="s">
        <v>596</v>
      </c>
    </row>
    <row r="893" spans="1:1">
      <c r="A893" t="s">
        <v>572</v>
      </c>
    </row>
    <row r="894" spans="1:1">
      <c r="A894" t="s">
        <v>597</v>
      </c>
    </row>
    <row r="895" spans="1:1">
      <c r="A895" t="s">
        <v>566</v>
      </c>
    </row>
    <row r="896" spans="1:1">
      <c r="A896" t="s">
        <v>567</v>
      </c>
    </row>
    <row r="897" spans="1:1">
      <c r="A897" t="s">
        <v>573</v>
      </c>
    </row>
    <row r="898" spans="1:1">
      <c r="A898" t="s">
        <v>580</v>
      </c>
    </row>
    <row r="899" spans="1:1">
      <c r="A899" t="s">
        <v>588</v>
      </c>
    </row>
    <row r="900" spans="1:1">
      <c r="A900" t="s">
        <v>581</v>
      </c>
    </row>
    <row r="901" spans="1:1">
      <c r="A901" t="s">
        <v>583</v>
      </c>
    </row>
    <row r="902" spans="1:1">
      <c r="A902" t="s">
        <v>568</v>
      </c>
    </row>
    <row r="903" spans="1:1">
      <c r="A903" t="s">
        <v>584</v>
      </c>
    </row>
    <row r="904" spans="1:1">
      <c r="A904" t="s">
        <v>598</v>
      </c>
    </row>
    <row r="905" spans="1:1">
      <c r="A905" t="s">
        <v>585</v>
      </c>
    </row>
    <row r="906" spans="1:1">
      <c r="A906" t="s">
        <v>586</v>
      </c>
    </row>
    <row r="907" spans="1:1">
      <c r="A907" t="s">
        <v>587</v>
      </c>
    </row>
    <row r="908" spans="1:1">
      <c r="A908" t="s">
        <v>599</v>
      </c>
    </row>
    <row r="909" spans="1:1">
      <c r="A909" t="s">
        <v>556</v>
      </c>
    </row>
    <row r="910" spans="1:1">
      <c r="A910" t="s">
        <v>600</v>
      </c>
    </row>
    <row r="911" spans="1:1">
      <c r="A911" t="s">
        <v>569</v>
      </c>
    </row>
    <row r="912" spans="1:1">
      <c r="A912" t="s">
        <v>557</v>
      </c>
    </row>
    <row r="913" spans="1:1">
      <c r="A913" t="s">
        <v>558</v>
      </c>
    </row>
    <row r="914" spans="1:1">
      <c r="A914" t="s">
        <v>560</v>
      </c>
    </row>
    <row r="915" spans="1:1">
      <c r="A915" t="s">
        <v>561</v>
      </c>
    </row>
    <row r="916" spans="1:1">
      <c r="A916" t="s">
        <v>562</v>
      </c>
    </row>
    <row r="917" spans="1:1">
      <c r="A917" t="s">
        <v>574</v>
      </c>
    </row>
    <row r="918" spans="1:1">
      <c r="A918" t="s">
        <v>570</v>
      </c>
    </row>
    <row r="919" spans="1:1">
      <c r="A919" t="s">
        <v>563</v>
      </c>
    </row>
    <row r="920" spans="1:1">
      <c r="A920" t="s">
        <v>564</v>
      </c>
    </row>
    <row r="921" spans="1:1">
      <c r="A921" t="s">
        <v>571</v>
      </c>
    </row>
    <row r="922" spans="1:1">
      <c r="A922" t="s">
        <v>601</v>
      </c>
    </row>
    <row r="923" spans="1:1">
      <c r="A923" t="s">
        <v>565</v>
      </c>
    </row>
    <row r="924" spans="1:1">
      <c r="A924" t="s">
        <v>575</v>
      </c>
    </row>
    <row r="925" spans="1:1">
      <c r="A925" t="s">
        <v>576</v>
      </c>
    </row>
    <row r="926" spans="1:1">
      <c r="A926" t="s">
        <v>577</v>
      </c>
    </row>
    <row r="927" spans="1:1">
      <c r="A927" t="s">
        <v>572</v>
      </c>
    </row>
    <row r="928" spans="1:1">
      <c r="A928" t="s">
        <v>578</v>
      </c>
    </row>
    <row r="929" spans="1:1">
      <c r="A929" t="s">
        <v>579</v>
      </c>
    </row>
    <row r="930" spans="1:1">
      <c r="A930" t="s">
        <v>566</v>
      </c>
    </row>
    <row r="931" spans="1:1">
      <c r="A931" t="s">
        <v>567</v>
      </c>
    </row>
    <row r="932" spans="1:1">
      <c r="A932" t="s">
        <v>573</v>
      </c>
    </row>
    <row r="933" spans="1:1">
      <c r="A933" t="s">
        <v>580</v>
      </c>
    </row>
    <row r="934" spans="1:1">
      <c r="A934" t="s">
        <v>588</v>
      </c>
    </row>
    <row r="935" spans="1:1">
      <c r="A935" t="s">
        <v>581</v>
      </c>
    </row>
    <row r="936" spans="1:1">
      <c r="A936" t="s">
        <v>582</v>
      </c>
    </row>
    <row r="937" spans="1:1">
      <c r="A937" t="s">
        <v>568</v>
      </c>
    </row>
    <row r="938" spans="1:1">
      <c r="A938" t="s">
        <v>584</v>
      </c>
    </row>
    <row r="939" spans="1:1">
      <c r="A939" t="s">
        <v>585</v>
      </c>
    </row>
    <row r="940" spans="1:1">
      <c r="A940" t="s">
        <v>586</v>
      </c>
    </row>
    <row r="941" spans="1:1">
      <c r="A941" t="s">
        <v>587</v>
      </c>
    </row>
    <row r="942" spans="1:1">
      <c r="A942" t="s">
        <v>556</v>
      </c>
    </row>
    <row r="943" spans="1:1">
      <c r="A943" t="s">
        <v>569</v>
      </c>
    </row>
    <row r="944" spans="1:1">
      <c r="A944" t="s">
        <v>557</v>
      </c>
    </row>
    <row r="945" spans="1:1">
      <c r="A945" t="s">
        <v>558</v>
      </c>
    </row>
    <row r="946" spans="1:1">
      <c r="A946" t="s">
        <v>560</v>
      </c>
    </row>
    <row r="947" spans="1:1">
      <c r="A947" t="s">
        <v>561</v>
      </c>
    </row>
    <row r="948" spans="1:1">
      <c r="A948" t="s">
        <v>562</v>
      </c>
    </row>
    <row r="949" spans="1:1">
      <c r="A949" t="s">
        <v>591</v>
      </c>
    </row>
    <row r="950" spans="1:1">
      <c r="A950" t="s">
        <v>595</v>
      </c>
    </row>
    <row r="951" spans="1:1">
      <c r="A951" t="s">
        <v>590</v>
      </c>
    </row>
    <row r="952" spans="1:1">
      <c r="A952" t="s">
        <v>592</v>
      </c>
    </row>
    <row r="953" spans="1:1">
      <c r="A953" t="s">
        <v>589</v>
      </c>
    </row>
    <row r="954" spans="1:1">
      <c r="A954" t="s">
        <v>593</v>
      </c>
    </row>
    <row r="955" spans="1:1">
      <c r="A955" t="s">
        <v>594</v>
      </c>
    </row>
    <row r="956" spans="1:1">
      <c r="A956" t="s">
        <v>570</v>
      </c>
    </row>
    <row r="957" spans="1:1">
      <c r="A957" t="s">
        <v>563</v>
      </c>
    </row>
    <row r="958" spans="1:1">
      <c r="A958" t="s">
        <v>564</v>
      </c>
    </row>
    <row r="959" spans="1:1">
      <c r="A959" t="s">
        <v>571</v>
      </c>
    </row>
    <row r="960" spans="1:1">
      <c r="A960" t="s">
        <v>565</v>
      </c>
    </row>
    <row r="961" spans="1:1">
      <c r="A961" t="s">
        <v>596</v>
      </c>
    </row>
    <row r="962" spans="1:1">
      <c r="A962" t="s">
        <v>576</v>
      </c>
    </row>
    <row r="963" spans="1:1">
      <c r="A963" t="s">
        <v>572</v>
      </c>
    </row>
    <row r="964" spans="1:1">
      <c r="A964" t="s">
        <v>597</v>
      </c>
    </row>
    <row r="965" spans="1:1">
      <c r="A965" t="s">
        <v>566</v>
      </c>
    </row>
    <row r="966" spans="1:1">
      <c r="A966" t="s">
        <v>567</v>
      </c>
    </row>
    <row r="967" spans="1:1">
      <c r="A967" t="s">
        <v>573</v>
      </c>
    </row>
    <row r="968" spans="1:1">
      <c r="A968" t="s">
        <v>588</v>
      </c>
    </row>
    <row r="969" spans="1:1">
      <c r="A969" t="s">
        <v>581</v>
      </c>
    </row>
    <row r="970" spans="1:1">
      <c r="A970" t="s">
        <v>568</v>
      </c>
    </row>
    <row r="971" spans="1:1">
      <c r="A971" t="s">
        <v>598</v>
      </c>
    </row>
    <row r="972" spans="1:1">
      <c r="A972" t="s">
        <v>599</v>
      </c>
    </row>
    <row r="973" spans="1:1">
      <c r="A973" t="s">
        <v>556</v>
      </c>
    </row>
    <row r="974" spans="1:1">
      <c r="A974" t="s">
        <v>600</v>
      </c>
    </row>
    <row r="975" spans="1:1">
      <c r="A975" t="s">
        <v>569</v>
      </c>
    </row>
    <row r="976" spans="1:1">
      <c r="A976" t="s">
        <v>557</v>
      </c>
    </row>
    <row r="977" spans="1:1">
      <c r="A977" t="s">
        <v>558</v>
      </c>
    </row>
    <row r="978" spans="1:1">
      <c r="A978" t="s">
        <v>560</v>
      </c>
    </row>
    <row r="979" spans="1:1">
      <c r="A979" t="s">
        <v>561</v>
      </c>
    </row>
    <row r="980" spans="1:1">
      <c r="A980" t="s">
        <v>562</v>
      </c>
    </row>
    <row r="981" spans="1:1">
      <c r="A981" t="s">
        <v>591</v>
      </c>
    </row>
    <row r="982" spans="1:1">
      <c r="A982" t="s">
        <v>595</v>
      </c>
    </row>
    <row r="983" spans="1:1">
      <c r="A983" t="s">
        <v>590</v>
      </c>
    </row>
    <row r="984" spans="1:1">
      <c r="A984" t="s">
        <v>592</v>
      </c>
    </row>
    <row r="985" spans="1:1">
      <c r="A985" t="s">
        <v>589</v>
      </c>
    </row>
    <row r="986" spans="1:1">
      <c r="A986" t="s">
        <v>593</v>
      </c>
    </row>
    <row r="987" spans="1:1">
      <c r="A987" t="s">
        <v>594</v>
      </c>
    </row>
    <row r="988" spans="1:1">
      <c r="A988" t="s">
        <v>570</v>
      </c>
    </row>
    <row r="989" spans="1:1">
      <c r="A989" t="s">
        <v>563</v>
      </c>
    </row>
    <row r="990" spans="1:1">
      <c r="A990" t="s">
        <v>564</v>
      </c>
    </row>
    <row r="991" spans="1:1">
      <c r="A991" t="s">
        <v>571</v>
      </c>
    </row>
    <row r="992" spans="1:1">
      <c r="A992" t="s">
        <v>601</v>
      </c>
    </row>
    <row r="993" spans="1:1">
      <c r="A993" t="s">
        <v>565</v>
      </c>
    </row>
    <row r="994" spans="1:1">
      <c r="A994" t="s">
        <v>596</v>
      </c>
    </row>
    <row r="995" spans="1:1">
      <c r="A995" t="s">
        <v>572</v>
      </c>
    </row>
    <row r="996" spans="1:1">
      <c r="A996" t="s">
        <v>597</v>
      </c>
    </row>
    <row r="997" spans="1:1">
      <c r="A997" t="s">
        <v>566</v>
      </c>
    </row>
    <row r="998" spans="1:1">
      <c r="A998" t="s">
        <v>573</v>
      </c>
    </row>
    <row r="999" spans="1:1">
      <c r="A999" t="s">
        <v>588</v>
      </c>
    </row>
    <row r="1000" spans="1:1">
      <c r="A1000" t="s">
        <v>568</v>
      </c>
    </row>
    <row r="1001" spans="1:1">
      <c r="A1001" t="s">
        <v>598</v>
      </c>
    </row>
    <row r="1002" spans="1:1">
      <c r="A1002" t="s">
        <v>599</v>
      </c>
    </row>
    <row r="1003" spans="1:1">
      <c r="A1003" t="s">
        <v>600</v>
      </c>
    </row>
    <row r="1004" spans="1:1">
      <c r="A1004" t="s">
        <v>569</v>
      </c>
    </row>
    <row r="1005" spans="1:1">
      <c r="A1005" t="s">
        <v>574</v>
      </c>
    </row>
    <row r="1006" spans="1:1">
      <c r="A1006" t="s">
        <v>591</v>
      </c>
    </row>
    <row r="1007" spans="1:1">
      <c r="A1007" t="s">
        <v>595</v>
      </c>
    </row>
    <row r="1008" spans="1:1">
      <c r="A1008" t="s">
        <v>590</v>
      </c>
    </row>
    <row r="1009" spans="1:1">
      <c r="A1009" t="s">
        <v>592</v>
      </c>
    </row>
    <row r="1010" spans="1:1">
      <c r="A1010" t="s">
        <v>589</v>
      </c>
    </row>
    <row r="1011" spans="1:1">
      <c r="A1011" t="s">
        <v>593</v>
      </c>
    </row>
    <row r="1012" spans="1:1">
      <c r="A1012" t="s">
        <v>594</v>
      </c>
    </row>
    <row r="1013" spans="1:1">
      <c r="A1013" t="s">
        <v>570</v>
      </c>
    </row>
    <row r="1014" spans="1:1">
      <c r="A1014" t="s">
        <v>571</v>
      </c>
    </row>
    <row r="1015" spans="1:1">
      <c r="A1015" t="s">
        <v>601</v>
      </c>
    </row>
    <row r="1016" spans="1:1">
      <c r="A1016" t="s">
        <v>575</v>
      </c>
    </row>
    <row r="1017" spans="1:1">
      <c r="A1017" t="s">
        <v>596</v>
      </c>
    </row>
    <row r="1018" spans="1:1">
      <c r="A1018" t="s">
        <v>576</v>
      </c>
    </row>
    <row r="1019" spans="1:1">
      <c r="A1019" t="s">
        <v>577</v>
      </c>
    </row>
    <row r="1020" spans="1:1">
      <c r="A1020" t="s">
        <v>572</v>
      </c>
    </row>
    <row r="1021" spans="1:1">
      <c r="A1021" t="s">
        <v>597</v>
      </c>
    </row>
    <row r="1022" spans="1:1">
      <c r="A1022" t="s">
        <v>578</v>
      </c>
    </row>
    <row r="1023" spans="1:1">
      <c r="A1023" t="s">
        <v>579</v>
      </c>
    </row>
    <row r="1024" spans="1:1">
      <c r="A1024" t="s">
        <v>573</v>
      </c>
    </row>
    <row r="1025" spans="1:1">
      <c r="A1025" t="s">
        <v>580</v>
      </c>
    </row>
    <row r="1026" spans="1:1">
      <c r="A1026" t="s">
        <v>588</v>
      </c>
    </row>
    <row r="1027" spans="1:1">
      <c r="A1027" t="s">
        <v>581</v>
      </c>
    </row>
    <row r="1028" spans="1:1">
      <c r="A1028" t="s">
        <v>582</v>
      </c>
    </row>
    <row r="1029" spans="1:1">
      <c r="A1029" t="s">
        <v>583</v>
      </c>
    </row>
    <row r="1030" spans="1:1">
      <c r="A1030" t="s">
        <v>584</v>
      </c>
    </row>
    <row r="1031" spans="1:1">
      <c r="A1031" t="s">
        <v>598</v>
      </c>
    </row>
    <row r="1032" spans="1:1">
      <c r="A1032" t="s">
        <v>585</v>
      </c>
    </row>
    <row r="1033" spans="1:1">
      <c r="A1033" t="s">
        <v>586</v>
      </c>
    </row>
    <row r="1034" spans="1:1">
      <c r="A1034" t="s">
        <v>587</v>
      </c>
    </row>
    <row r="1035" spans="1:1">
      <c r="A1035" t="s">
        <v>602</v>
      </c>
    </row>
    <row r="1036" spans="1:1">
      <c r="A1036" t="s">
        <v>603</v>
      </c>
    </row>
    <row r="1037" spans="1:1">
      <c r="A1037" t="s">
        <v>604</v>
      </c>
    </row>
    <row r="1038" spans="1:1">
      <c r="A1038" t="s">
        <v>605</v>
      </c>
    </row>
    <row r="1039" spans="1:1">
      <c r="A1039" t="s">
        <v>606</v>
      </c>
    </row>
    <row r="1040" spans="1:1">
      <c r="A1040" t="s">
        <v>607</v>
      </c>
    </row>
    <row r="1041" spans="1:1">
      <c r="A1041" t="s">
        <v>608</v>
      </c>
    </row>
    <row r="1042" spans="1:1">
      <c r="A1042" t="s">
        <v>609</v>
      </c>
    </row>
    <row r="1043" spans="1:1">
      <c r="A1043" t="s">
        <v>610</v>
      </c>
    </row>
    <row r="1044" spans="1:1">
      <c r="A1044" t="s">
        <v>611</v>
      </c>
    </row>
    <row r="1045" spans="1:1">
      <c r="A1045" t="s">
        <v>612</v>
      </c>
    </row>
    <row r="1046" spans="1:1">
      <c r="A1046" t="s">
        <v>613</v>
      </c>
    </row>
    <row r="1047" spans="1:1">
      <c r="A1047" t="s">
        <v>614</v>
      </c>
    </row>
    <row r="1048" spans="1:1">
      <c r="A1048" t="s">
        <v>615</v>
      </c>
    </row>
    <row r="1049" spans="1:1">
      <c r="A1049" t="s">
        <v>616</v>
      </c>
    </row>
    <row r="1050" spans="1:1">
      <c r="A1050" t="s">
        <v>617</v>
      </c>
    </row>
    <row r="1051" spans="1:1">
      <c r="A1051" t="s">
        <v>618</v>
      </c>
    </row>
    <row r="1052" spans="1:1">
      <c r="A1052" t="s">
        <v>619</v>
      </c>
    </row>
    <row r="1053" spans="1:1">
      <c r="A1053" t="s">
        <v>620</v>
      </c>
    </row>
    <row r="1054" spans="1:1">
      <c r="A1054" t="s">
        <v>621</v>
      </c>
    </row>
    <row r="1055" spans="1:1">
      <c r="A1055" t="s">
        <v>622</v>
      </c>
    </row>
    <row r="1056" spans="1:1">
      <c r="A1056" t="s">
        <v>623</v>
      </c>
    </row>
    <row r="1057" spans="1:1">
      <c r="A1057" t="s">
        <v>624</v>
      </c>
    </row>
    <row r="1058" spans="1:1">
      <c r="A1058" t="s">
        <v>625</v>
      </c>
    </row>
    <row r="1059" spans="1:1">
      <c r="A1059" t="s">
        <v>626</v>
      </c>
    </row>
    <row r="1060" spans="1:1">
      <c r="A1060" t="s">
        <v>627</v>
      </c>
    </row>
    <row r="1061" spans="1:1">
      <c r="A1061" t="s">
        <v>628</v>
      </c>
    </row>
    <row r="1062" spans="1:1">
      <c r="A1062" t="s">
        <v>629</v>
      </c>
    </row>
    <row r="1063" spans="1:1">
      <c r="A1063" t="s">
        <v>630</v>
      </c>
    </row>
    <row r="1064" spans="1:1">
      <c r="A1064" t="s">
        <v>631</v>
      </c>
    </row>
    <row r="1065" spans="1:1">
      <c r="A1065" t="s">
        <v>632</v>
      </c>
    </row>
    <row r="1066" spans="1:1">
      <c r="A1066" t="s">
        <v>633</v>
      </c>
    </row>
    <row r="1067" spans="1:1">
      <c r="A1067" t="s">
        <v>634</v>
      </c>
    </row>
    <row r="1068" spans="1:1">
      <c r="A1068" t="s">
        <v>635</v>
      </c>
    </row>
    <row r="1069" spans="1:1">
      <c r="A1069" t="s">
        <v>636</v>
      </c>
    </row>
    <row r="1070" spans="1:1">
      <c r="A1070" t="s">
        <v>637</v>
      </c>
    </row>
    <row r="1071" spans="1:1">
      <c r="A1071" t="s">
        <v>638</v>
      </c>
    </row>
    <row r="1072" spans="1:1">
      <c r="A1072" t="s">
        <v>639</v>
      </c>
    </row>
    <row r="1073" spans="1:1">
      <c r="A1073" t="s">
        <v>640</v>
      </c>
    </row>
    <row r="1074" spans="1:1">
      <c r="A1074" t="s">
        <v>641</v>
      </c>
    </row>
    <row r="1075" spans="1:1">
      <c r="A1075" t="s">
        <v>642</v>
      </c>
    </row>
    <row r="1076" spans="1:1">
      <c r="A1076" t="s">
        <v>643</v>
      </c>
    </row>
    <row r="1077" spans="1:1">
      <c r="A1077" t="s">
        <v>644</v>
      </c>
    </row>
    <row r="1078" spans="1:1">
      <c r="A1078" t="s">
        <v>645</v>
      </c>
    </row>
    <row r="1079" spans="1:1">
      <c r="A1079" t="s">
        <v>646</v>
      </c>
    </row>
    <row r="1080" spans="1:1">
      <c r="A1080" t="s">
        <v>647</v>
      </c>
    </row>
    <row r="1081" spans="1:1">
      <c r="A1081" t="s">
        <v>648</v>
      </c>
    </row>
  </sheetData>
  <autoFilter ref="A2:A1949" xr:uid="{9D9A4019-C7FB-43CD-BFE1-EFC4D55FCA3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71F9-2D07-411E-8925-ED90C7C51F75}">
  <sheetPr codeName="Feuil8"/>
  <dimension ref="A1:H31"/>
  <sheetViews>
    <sheetView workbookViewId="0">
      <selection activeCell="K8" sqref="K8"/>
    </sheetView>
  </sheetViews>
  <sheetFormatPr baseColWidth="10" defaultRowHeight="15"/>
  <cols>
    <col min="1" max="1" width="18.36328125" bestFit="1" customWidth="1"/>
    <col min="4" max="4" width="13.7265625" bestFit="1" customWidth="1"/>
  </cols>
  <sheetData>
    <row r="1" spans="1:8">
      <c r="A1" t="s">
        <v>140</v>
      </c>
      <c r="B1" t="s">
        <v>275</v>
      </c>
    </row>
    <row r="2" spans="1:8">
      <c r="A2" t="s">
        <v>141</v>
      </c>
      <c r="B2" t="s">
        <v>276</v>
      </c>
      <c r="D2" t="s">
        <v>143</v>
      </c>
      <c r="E2" t="s">
        <v>276</v>
      </c>
      <c r="G2">
        <f>IF(D2='Nom du personnage'!$F$51,E2,)</f>
        <v>0</v>
      </c>
      <c r="H2">
        <f>IF(G2=0,0,2)</f>
        <v>0</v>
      </c>
    </row>
    <row r="3" spans="1:8">
      <c r="A3" t="s">
        <v>142</v>
      </c>
      <c r="B3" t="s">
        <v>277</v>
      </c>
      <c r="D3" t="s">
        <v>143</v>
      </c>
      <c r="E3" t="s">
        <v>277</v>
      </c>
      <c r="G3">
        <f>IF(D3='Nom du personnage'!$F$51,E3,)</f>
        <v>0</v>
      </c>
      <c r="H3">
        <f t="shared" ref="H3:H17" si="0">IF(G3=0,0,2)</f>
        <v>0</v>
      </c>
    </row>
    <row r="4" spans="1:8">
      <c r="A4" t="s">
        <v>143</v>
      </c>
      <c r="B4" t="s">
        <v>664</v>
      </c>
      <c r="D4" t="s">
        <v>145</v>
      </c>
      <c r="E4" t="s">
        <v>277</v>
      </c>
      <c r="G4">
        <f>IF(D4='Nom du personnage'!$F$51,E4,)</f>
        <v>0</v>
      </c>
      <c r="H4">
        <f t="shared" si="0"/>
        <v>0</v>
      </c>
    </row>
    <row r="5" spans="1:8">
      <c r="A5" t="s">
        <v>145</v>
      </c>
      <c r="D5" t="s">
        <v>145</v>
      </c>
      <c r="E5" t="s">
        <v>664</v>
      </c>
      <c r="G5">
        <f>IF(D5='Nom du personnage'!$F$51,E5,)</f>
        <v>0</v>
      </c>
      <c r="H5">
        <f t="shared" si="0"/>
        <v>0</v>
      </c>
    </row>
    <row r="6" spans="1:8">
      <c r="A6" t="s">
        <v>144</v>
      </c>
      <c r="D6" t="s">
        <v>144</v>
      </c>
      <c r="E6" t="s">
        <v>277</v>
      </c>
      <c r="G6">
        <f>IF(D6='Nom du personnage'!$F$51,E6,)</f>
        <v>0</v>
      </c>
      <c r="H6">
        <f t="shared" si="0"/>
        <v>0</v>
      </c>
    </row>
    <row r="7" spans="1:8">
      <c r="A7" t="s">
        <v>146</v>
      </c>
      <c r="D7" t="s">
        <v>144</v>
      </c>
      <c r="E7" t="s">
        <v>664</v>
      </c>
      <c r="G7">
        <f>IF(D7='Nom du personnage'!$F$51,E7,)</f>
        <v>0</v>
      </c>
      <c r="H7">
        <f t="shared" si="0"/>
        <v>0</v>
      </c>
    </row>
    <row r="8" spans="1:8">
      <c r="A8" s="2" t="s">
        <v>672</v>
      </c>
      <c r="D8" t="s">
        <v>103</v>
      </c>
      <c r="E8" t="s">
        <v>277</v>
      </c>
      <c r="G8">
        <f>IF(D8='Nom du personnage'!$F$51,E8,)</f>
        <v>0</v>
      </c>
      <c r="H8">
        <f t="shared" si="0"/>
        <v>0</v>
      </c>
    </row>
    <row r="9" spans="1:8">
      <c r="A9" s="2" t="s">
        <v>671</v>
      </c>
      <c r="D9" t="s">
        <v>103</v>
      </c>
      <c r="E9" t="s">
        <v>664</v>
      </c>
      <c r="G9">
        <f>IF(D9='Nom du personnage'!$F$51,E9,)</f>
        <v>0</v>
      </c>
      <c r="H9">
        <f t="shared" si="0"/>
        <v>0</v>
      </c>
    </row>
    <row r="10" spans="1:8">
      <c r="A10" s="2" t="s">
        <v>673</v>
      </c>
      <c r="D10" t="s">
        <v>148</v>
      </c>
      <c r="E10" t="s">
        <v>277</v>
      </c>
      <c r="G10">
        <f>IF(D10='Nom du personnage'!$F$51,E10,)</f>
        <v>0</v>
      </c>
      <c r="H10">
        <f t="shared" si="0"/>
        <v>0</v>
      </c>
    </row>
    <row r="11" spans="1:8">
      <c r="A11" s="2" t="s">
        <v>674</v>
      </c>
      <c r="D11" t="s">
        <v>148</v>
      </c>
      <c r="E11" t="s">
        <v>664</v>
      </c>
      <c r="G11">
        <f>IF(D11='Nom du personnage'!$F$51,E11,)</f>
        <v>0</v>
      </c>
      <c r="H11">
        <f t="shared" si="0"/>
        <v>0</v>
      </c>
    </row>
    <row r="12" spans="1:8">
      <c r="A12" t="s">
        <v>147</v>
      </c>
      <c r="D12" t="s">
        <v>90</v>
      </c>
      <c r="E12" t="s">
        <v>664</v>
      </c>
      <c r="G12">
        <f>IF(D12='Nom du personnage'!$F$51,E12,)</f>
        <v>0</v>
      </c>
      <c r="H12">
        <f t="shared" si="0"/>
        <v>0</v>
      </c>
    </row>
    <row r="13" spans="1:8">
      <c r="A13" t="s">
        <v>87</v>
      </c>
      <c r="D13" t="s">
        <v>100</v>
      </c>
      <c r="E13" t="s">
        <v>277</v>
      </c>
      <c r="G13">
        <f>IF(D13='Nom du personnage'!$F$51,E13,)</f>
        <v>0</v>
      </c>
      <c r="H13">
        <f t="shared" si="0"/>
        <v>0</v>
      </c>
    </row>
    <row r="14" spans="1:8">
      <c r="A14" t="s">
        <v>97</v>
      </c>
      <c r="D14" t="s">
        <v>100</v>
      </c>
      <c r="E14" t="s">
        <v>664</v>
      </c>
      <c r="G14">
        <f>IF(D14='Nom du personnage'!$F$51,E14,)</f>
        <v>0</v>
      </c>
      <c r="H14">
        <f t="shared" si="0"/>
        <v>0</v>
      </c>
    </row>
    <row r="15" spans="1:8">
      <c r="A15" t="s">
        <v>81</v>
      </c>
      <c r="D15" t="s">
        <v>93</v>
      </c>
      <c r="E15" t="s">
        <v>277</v>
      </c>
      <c r="G15">
        <f>IF(D15='Nom du personnage'!$F$51,E15,)</f>
        <v>0</v>
      </c>
      <c r="H15">
        <f t="shared" si="0"/>
        <v>0</v>
      </c>
    </row>
    <row r="16" spans="1:8">
      <c r="A16" t="s">
        <v>103</v>
      </c>
      <c r="D16" t="s">
        <v>93</v>
      </c>
      <c r="E16" t="s">
        <v>664</v>
      </c>
      <c r="G16">
        <f>IF(D16='Nom du personnage'!$F$51,E16,)</f>
        <v>0</v>
      </c>
      <c r="H16">
        <f t="shared" si="0"/>
        <v>0</v>
      </c>
    </row>
    <row r="17" spans="1:8">
      <c r="A17" t="s">
        <v>148</v>
      </c>
      <c r="G17">
        <f>IF(D17='Nom du personnage'!$F$51,E17,)</f>
        <v>0</v>
      </c>
      <c r="H17">
        <f t="shared" si="0"/>
        <v>0</v>
      </c>
    </row>
    <row r="18" spans="1:8">
      <c r="A18" t="s">
        <v>90</v>
      </c>
      <c r="G18" t="str">
        <f>IF(SUM($H$2:$H$76)&gt;0,0,B2)</f>
        <v>Bénéfique</v>
      </c>
    </row>
    <row r="19" spans="1:8">
      <c r="A19" t="s">
        <v>100</v>
      </c>
      <c r="G19" t="str">
        <f t="shared" ref="G19:G20" si="1">IF(SUM($H$2:$H$76)&gt;0,0,B3)</f>
        <v>Balancée</v>
      </c>
    </row>
    <row r="20" spans="1:8">
      <c r="A20" t="s">
        <v>106</v>
      </c>
      <c r="G20" t="str">
        <f t="shared" si="1"/>
        <v>Maléfique</v>
      </c>
    </row>
    <row r="21" spans="1:8">
      <c r="A21" t="s">
        <v>42</v>
      </c>
    </row>
    <row r="22" spans="1:8">
      <c r="A22" t="s">
        <v>78</v>
      </c>
    </row>
    <row r="23" spans="1:8">
      <c r="A23" t="s">
        <v>34</v>
      </c>
    </row>
    <row r="24" spans="1:8">
      <c r="A24" t="s">
        <v>46</v>
      </c>
    </row>
    <row r="25" spans="1:8">
      <c r="A25" t="s">
        <v>109</v>
      </c>
    </row>
    <row r="26" spans="1:8">
      <c r="A26" t="s">
        <v>112</v>
      </c>
    </row>
    <row r="27" spans="1:8">
      <c r="A27" s="2" t="s">
        <v>675</v>
      </c>
    </row>
    <row r="28" spans="1:8">
      <c r="A28" s="2" t="s">
        <v>676</v>
      </c>
    </row>
    <row r="29" spans="1:8">
      <c r="A29" s="2" t="s">
        <v>677</v>
      </c>
    </row>
    <row r="30" spans="1:8">
      <c r="A30" s="2" t="s">
        <v>678</v>
      </c>
    </row>
    <row r="31" spans="1:8">
      <c r="A31" t="s">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B867-926B-48CE-B73A-BB7F92D6CD15}">
  <sheetPr codeName="Feuil5"/>
  <dimension ref="B2:Z22"/>
  <sheetViews>
    <sheetView zoomScaleNormal="100" workbookViewId="0">
      <selection activeCell="K8" sqref="K8"/>
    </sheetView>
  </sheetViews>
  <sheetFormatPr baseColWidth="10" defaultRowHeight="15"/>
  <cols>
    <col min="3" max="11" width="10.90625" hidden="1" customWidth="1"/>
    <col min="16" max="24" width="0" hidden="1" customWidth="1"/>
  </cols>
  <sheetData>
    <row r="2" spans="2:26">
      <c r="B2" s="2" t="s">
        <v>451</v>
      </c>
      <c r="O2" s="2" t="s">
        <v>451</v>
      </c>
    </row>
    <row r="3" spans="2:26">
      <c r="B3" cm="1">
        <f t="array" ref="B3:K3">'Nom du personnage'!C66:L66</f>
        <v>0</v>
      </c>
      <c r="C3">
        <v>0</v>
      </c>
      <c r="D3">
        <v>0</v>
      </c>
      <c r="E3">
        <v>0</v>
      </c>
      <c r="F3">
        <v>0</v>
      </c>
      <c r="G3">
        <v>0</v>
      </c>
      <c r="H3">
        <v>0</v>
      </c>
      <c r="I3">
        <v>0</v>
      </c>
      <c r="J3">
        <v>0</v>
      </c>
      <c r="K3">
        <v>0</v>
      </c>
      <c r="L3" t="b">
        <f>ISERROR(VLOOKUP(B3,Compétences!$T$3:$V$68,2,FALSE))</f>
        <v>1</v>
      </c>
      <c r="M3">
        <f>IF(L3,0,-1)</f>
        <v>0</v>
      </c>
      <c r="O3" cm="1">
        <f t="array" ref="O3:X3">'Nom du personnage'!Q66:Z66</f>
        <v>0</v>
      </c>
      <c r="P3">
        <v>0</v>
      </c>
      <c r="Q3">
        <v>0</v>
      </c>
      <c r="R3">
        <v>0</v>
      </c>
      <c r="S3">
        <v>0</v>
      </c>
      <c r="T3">
        <v>0</v>
      </c>
      <c r="U3">
        <v>0</v>
      </c>
      <c r="V3">
        <v>0</v>
      </c>
      <c r="W3">
        <v>0</v>
      </c>
      <c r="X3">
        <v>0</v>
      </c>
      <c r="Y3" t="b">
        <f>ISERROR(VLOOKUP(O3,Compétences!$T$3:$V$68,2,FALSE))</f>
        <v>1</v>
      </c>
      <c r="Z3">
        <f>IF(Y3,0,-1)</f>
        <v>0</v>
      </c>
    </row>
    <row r="4" spans="2:26">
      <c r="B4" cm="1">
        <f t="array" ref="B4:K4">'Nom du personnage'!C67:L67</f>
        <v>0</v>
      </c>
      <c r="C4">
        <v>0</v>
      </c>
      <c r="D4">
        <v>0</v>
      </c>
      <c r="E4">
        <v>0</v>
      </c>
      <c r="F4">
        <v>0</v>
      </c>
      <c r="G4">
        <v>0</v>
      </c>
      <c r="H4">
        <v>0</v>
      </c>
      <c r="I4">
        <v>0</v>
      </c>
      <c r="J4">
        <v>0</v>
      </c>
      <c r="K4">
        <v>0</v>
      </c>
      <c r="L4" t="b">
        <f>ISERROR(VLOOKUP(B4,Compétences!$T$3:$V$68,2,FALSE))</f>
        <v>1</v>
      </c>
      <c r="M4">
        <f t="shared" ref="M4:M22" si="0">IF(L4,0,-1)</f>
        <v>0</v>
      </c>
      <c r="O4" cm="1">
        <f t="array" ref="O4:X4">'Nom du personnage'!Q67:Z67</f>
        <v>0</v>
      </c>
      <c r="P4">
        <v>0</v>
      </c>
      <c r="Q4">
        <v>0</v>
      </c>
      <c r="R4">
        <v>0</v>
      </c>
      <c r="S4">
        <v>0</v>
      </c>
      <c r="T4">
        <v>0</v>
      </c>
      <c r="U4">
        <v>0</v>
      </c>
      <c r="V4">
        <v>0</v>
      </c>
      <c r="W4">
        <v>0</v>
      </c>
      <c r="X4">
        <v>0</v>
      </c>
      <c r="Y4" t="b">
        <f>ISERROR(VLOOKUP(O4,Compétences!$T$3:$V$68,2,FALSE))</f>
        <v>1</v>
      </c>
      <c r="Z4">
        <f t="shared" ref="Z4:Z22" si="1">IF(Y4,0,-1)</f>
        <v>0</v>
      </c>
    </row>
    <row r="5" spans="2:26">
      <c r="B5" cm="1">
        <f t="array" ref="B5:K5">'Nom du personnage'!C68:L68</f>
        <v>0</v>
      </c>
      <c r="C5">
        <v>0</v>
      </c>
      <c r="D5">
        <v>0</v>
      </c>
      <c r="E5">
        <v>0</v>
      </c>
      <c r="F5">
        <v>0</v>
      </c>
      <c r="G5">
        <v>0</v>
      </c>
      <c r="H5">
        <v>0</v>
      </c>
      <c r="I5">
        <v>0</v>
      </c>
      <c r="J5">
        <v>0</v>
      </c>
      <c r="K5">
        <v>0</v>
      </c>
      <c r="L5" t="b">
        <f>ISERROR(VLOOKUP(B5,Compétences!$T$3:$V$68,2,FALSE))</f>
        <v>1</v>
      </c>
      <c r="M5">
        <f t="shared" si="0"/>
        <v>0</v>
      </c>
      <c r="O5" cm="1">
        <f t="array" ref="O5:X5">'Nom du personnage'!Q68:Z68</f>
        <v>0</v>
      </c>
      <c r="P5">
        <v>0</v>
      </c>
      <c r="Q5">
        <v>0</v>
      </c>
      <c r="R5">
        <v>0</v>
      </c>
      <c r="S5">
        <v>0</v>
      </c>
      <c r="T5">
        <v>0</v>
      </c>
      <c r="U5">
        <v>0</v>
      </c>
      <c r="V5">
        <v>0</v>
      </c>
      <c r="W5">
        <v>0</v>
      </c>
      <c r="X5">
        <v>0</v>
      </c>
      <c r="Y5" t="b">
        <f>ISERROR(VLOOKUP(O5,Compétences!$T$3:$V$68,2,FALSE))</f>
        <v>1</v>
      </c>
      <c r="Z5">
        <f t="shared" si="1"/>
        <v>0</v>
      </c>
    </row>
    <row r="6" spans="2:26">
      <c r="B6" cm="1">
        <f t="array" ref="B6:K6">'Nom du personnage'!C69:L69</f>
        <v>0</v>
      </c>
      <c r="C6">
        <v>0</v>
      </c>
      <c r="D6">
        <v>0</v>
      </c>
      <c r="E6">
        <v>0</v>
      </c>
      <c r="F6">
        <v>0</v>
      </c>
      <c r="G6">
        <v>0</v>
      </c>
      <c r="H6">
        <v>0</v>
      </c>
      <c r="I6">
        <v>0</v>
      </c>
      <c r="J6">
        <v>0</v>
      </c>
      <c r="K6">
        <v>0</v>
      </c>
      <c r="L6" t="b">
        <f>ISERROR(VLOOKUP(B6,Compétences!$T$3:$V$68,2,FALSE))</f>
        <v>1</v>
      </c>
      <c r="M6">
        <f t="shared" si="0"/>
        <v>0</v>
      </c>
      <c r="O6" cm="1">
        <f t="array" ref="O6:X6">'Nom du personnage'!Q69:Z69</f>
        <v>0</v>
      </c>
      <c r="P6">
        <v>0</v>
      </c>
      <c r="Q6">
        <v>0</v>
      </c>
      <c r="R6">
        <v>0</v>
      </c>
      <c r="S6">
        <v>0</v>
      </c>
      <c r="T6">
        <v>0</v>
      </c>
      <c r="U6">
        <v>0</v>
      </c>
      <c r="V6">
        <v>0</v>
      </c>
      <c r="W6">
        <v>0</v>
      </c>
      <c r="X6">
        <v>0</v>
      </c>
      <c r="Y6" t="b">
        <f>ISERROR(VLOOKUP(O6,Compétences!$T$3:$V$68,2,FALSE))</f>
        <v>1</v>
      </c>
      <c r="Z6">
        <f t="shared" si="1"/>
        <v>0</v>
      </c>
    </row>
    <row r="7" spans="2:26">
      <c r="B7" cm="1">
        <f t="array" ref="B7:K7">'Nom du personnage'!C70:L70</f>
        <v>0</v>
      </c>
      <c r="C7">
        <v>0</v>
      </c>
      <c r="D7">
        <v>0</v>
      </c>
      <c r="E7">
        <v>0</v>
      </c>
      <c r="F7">
        <v>0</v>
      </c>
      <c r="G7">
        <v>0</v>
      </c>
      <c r="H7">
        <v>0</v>
      </c>
      <c r="I7">
        <v>0</v>
      </c>
      <c r="J7">
        <v>0</v>
      </c>
      <c r="K7">
        <v>0</v>
      </c>
      <c r="L7" t="b">
        <f>ISERROR(VLOOKUP(B7,Compétences!$T$3:$V$68,2,FALSE))</f>
        <v>1</v>
      </c>
      <c r="M7">
        <f t="shared" si="0"/>
        <v>0</v>
      </c>
      <c r="O7" cm="1">
        <f t="array" ref="O7:X7">'Nom du personnage'!Q70:Z70</f>
        <v>0</v>
      </c>
      <c r="P7">
        <v>0</v>
      </c>
      <c r="Q7">
        <v>0</v>
      </c>
      <c r="R7">
        <v>0</v>
      </c>
      <c r="S7">
        <v>0</v>
      </c>
      <c r="T7">
        <v>0</v>
      </c>
      <c r="U7">
        <v>0</v>
      </c>
      <c r="V7">
        <v>0</v>
      </c>
      <c r="W7">
        <v>0</v>
      </c>
      <c r="X7">
        <v>0</v>
      </c>
      <c r="Y7" t="b">
        <f>ISERROR(VLOOKUP(O7,Compétences!$T$3:$V$68,2,FALSE))</f>
        <v>1</v>
      </c>
      <c r="Z7">
        <f t="shared" si="1"/>
        <v>0</v>
      </c>
    </row>
    <row r="8" spans="2:26">
      <c r="B8" cm="1">
        <f t="array" ref="B8:K8">'Nom du personnage'!C71:L71</f>
        <v>0</v>
      </c>
      <c r="C8">
        <v>0</v>
      </c>
      <c r="D8">
        <v>0</v>
      </c>
      <c r="E8">
        <v>0</v>
      </c>
      <c r="F8">
        <v>0</v>
      </c>
      <c r="G8">
        <v>0</v>
      </c>
      <c r="H8">
        <v>0</v>
      </c>
      <c r="I8">
        <v>0</v>
      </c>
      <c r="J8">
        <v>0</v>
      </c>
      <c r="K8">
        <v>0</v>
      </c>
      <c r="L8" t="b">
        <f>ISERROR(VLOOKUP(B8,Compétences!$T$3:$V$68,2,FALSE))</f>
        <v>1</v>
      </c>
      <c r="M8">
        <f t="shared" si="0"/>
        <v>0</v>
      </c>
      <c r="O8" cm="1">
        <f t="array" ref="O8:X8">'Nom du personnage'!Q71:Z71</f>
        <v>0</v>
      </c>
      <c r="P8">
        <v>0</v>
      </c>
      <c r="Q8">
        <v>0</v>
      </c>
      <c r="R8">
        <v>0</v>
      </c>
      <c r="S8">
        <v>0</v>
      </c>
      <c r="T8">
        <v>0</v>
      </c>
      <c r="U8">
        <v>0</v>
      </c>
      <c r="V8">
        <v>0</v>
      </c>
      <c r="W8">
        <v>0</v>
      </c>
      <c r="X8">
        <v>0</v>
      </c>
      <c r="Y8" t="b">
        <f>ISERROR(VLOOKUP(O8,Compétences!$T$3:$V$68,2,FALSE))</f>
        <v>1</v>
      </c>
      <c r="Z8">
        <f t="shared" si="1"/>
        <v>0</v>
      </c>
    </row>
    <row r="9" spans="2:26">
      <c r="B9" cm="1">
        <f t="array" ref="B9:K9">'Nom du personnage'!C72:L72</f>
        <v>0</v>
      </c>
      <c r="C9">
        <v>0</v>
      </c>
      <c r="D9">
        <v>0</v>
      </c>
      <c r="E9">
        <v>0</v>
      </c>
      <c r="F9">
        <v>0</v>
      </c>
      <c r="G9">
        <v>0</v>
      </c>
      <c r="H9">
        <v>0</v>
      </c>
      <c r="I9">
        <v>0</v>
      </c>
      <c r="J9">
        <v>0</v>
      </c>
      <c r="K9">
        <v>0</v>
      </c>
      <c r="L9" t="b">
        <f>ISERROR(VLOOKUP(B9,Compétences!$T$3:$V$68,2,FALSE))</f>
        <v>1</v>
      </c>
      <c r="M9">
        <f t="shared" si="0"/>
        <v>0</v>
      </c>
      <c r="O9" cm="1">
        <f t="array" ref="O9:X9">'Nom du personnage'!Q72:Z72</f>
        <v>0</v>
      </c>
      <c r="P9">
        <v>0</v>
      </c>
      <c r="Q9">
        <v>0</v>
      </c>
      <c r="R9">
        <v>0</v>
      </c>
      <c r="S9">
        <v>0</v>
      </c>
      <c r="T9">
        <v>0</v>
      </c>
      <c r="U9">
        <v>0</v>
      </c>
      <c r="V9">
        <v>0</v>
      </c>
      <c r="W9">
        <v>0</v>
      </c>
      <c r="X9">
        <v>0</v>
      </c>
      <c r="Y9" t="b">
        <f>ISERROR(VLOOKUP(O9,Compétences!$T$3:$V$68,2,FALSE))</f>
        <v>1</v>
      </c>
      <c r="Z9">
        <f t="shared" si="1"/>
        <v>0</v>
      </c>
    </row>
    <row r="10" spans="2:26">
      <c r="B10" cm="1">
        <f t="array" ref="B10:K10">'Nom du personnage'!C73:L73</f>
        <v>0</v>
      </c>
      <c r="C10">
        <v>0</v>
      </c>
      <c r="D10">
        <v>0</v>
      </c>
      <c r="E10">
        <v>0</v>
      </c>
      <c r="F10">
        <v>0</v>
      </c>
      <c r="G10">
        <v>0</v>
      </c>
      <c r="H10">
        <v>0</v>
      </c>
      <c r="I10">
        <v>0</v>
      </c>
      <c r="J10">
        <v>0</v>
      </c>
      <c r="K10">
        <v>0</v>
      </c>
      <c r="L10" t="b">
        <f>ISERROR(VLOOKUP(B10,Compétences!$T$3:$V$68,2,FALSE))</f>
        <v>1</v>
      </c>
      <c r="M10">
        <f t="shared" si="0"/>
        <v>0</v>
      </c>
      <c r="O10" cm="1">
        <f t="array" ref="O10:X10">'Nom du personnage'!Q73:Z73</f>
        <v>0</v>
      </c>
      <c r="P10">
        <v>0</v>
      </c>
      <c r="Q10">
        <v>0</v>
      </c>
      <c r="R10">
        <v>0</v>
      </c>
      <c r="S10">
        <v>0</v>
      </c>
      <c r="T10">
        <v>0</v>
      </c>
      <c r="U10">
        <v>0</v>
      </c>
      <c r="V10">
        <v>0</v>
      </c>
      <c r="W10">
        <v>0</v>
      </c>
      <c r="X10">
        <v>0</v>
      </c>
      <c r="Y10" t="b">
        <f>ISERROR(VLOOKUP(O10,Compétences!$T$3:$V$68,2,FALSE))</f>
        <v>1</v>
      </c>
      <c r="Z10">
        <f t="shared" si="1"/>
        <v>0</v>
      </c>
    </row>
    <row r="11" spans="2:26">
      <c r="B11" cm="1">
        <f t="array" ref="B11:K11">'Nom du personnage'!C74:L74</f>
        <v>0</v>
      </c>
      <c r="C11">
        <v>0</v>
      </c>
      <c r="D11">
        <v>0</v>
      </c>
      <c r="E11">
        <v>0</v>
      </c>
      <c r="F11">
        <v>0</v>
      </c>
      <c r="G11">
        <v>0</v>
      </c>
      <c r="H11">
        <v>0</v>
      </c>
      <c r="I11">
        <v>0</v>
      </c>
      <c r="J11">
        <v>0</v>
      </c>
      <c r="K11">
        <v>0</v>
      </c>
      <c r="L11" t="b">
        <f>ISERROR(VLOOKUP(B11,Compétences!$T$3:$V$68,2,FALSE))</f>
        <v>1</v>
      </c>
      <c r="M11">
        <f t="shared" si="0"/>
        <v>0</v>
      </c>
      <c r="O11" cm="1">
        <f t="array" ref="O11:X11">'Nom du personnage'!Q74:Z74</f>
        <v>0</v>
      </c>
      <c r="P11">
        <v>0</v>
      </c>
      <c r="Q11">
        <v>0</v>
      </c>
      <c r="R11">
        <v>0</v>
      </c>
      <c r="S11">
        <v>0</v>
      </c>
      <c r="T11">
        <v>0</v>
      </c>
      <c r="U11">
        <v>0</v>
      </c>
      <c r="V11">
        <v>0</v>
      </c>
      <c r="W11">
        <v>0</v>
      </c>
      <c r="X11">
        <v>0</v>
      </c>
      <c r="Y11" t="b">
        <f>ISERROR(VLOOKUP(O11,Compétences!$T$3:$V$68,2,FALSE))</f>
        <v>1</v>
      </c>
      <c r="Z11">
        <f t="shared" si="1"/>
        <v>0</v>
      </c>
    </row>
    <row r="12" spans="2:26">
      <c r="B12" cm="1">
        <f t="array" ref="B12:K12">'Nom du personnage'!C75:L75</f>
        <v>0</v>
      </c>
      <c r="C12">
        <v>0</v>
      </c>
      <c r="D12">
        <v>0</v>
      </c>
      <c r="E12">
        <v>0</v>
      </c>
      <c r="F12">
        <v>0</v>
      </c>
      <c r="G12">
        <v>0</v>
      </c>
      <c r="H12">
        <v>0</v>
      </c>
      <c r="I12">
        <v>0</v>
      </c>
      <c r="J12">
        <v>0</v>
      </c>
      <c r="K12">
        <v>0</v>
      </c>
      <c r="L12" t="b">
        <f>ISERROR(VLOOKUP(B12,Compétences!$T$3:$V$68,2,FALSE))</f>
        <v>1</v>
      </c>
      <c r="M12">
        <f t="shared" si="0"/>
        <v>0</v>
      </c>
      <c r="O12" cm="1">
        <f t="array" ref="O12:X12">'Nom du personnage'!Q75:Z75</f>
        <v>0</v>
      </c>
      <c r="P12">
        <v>0</v>
      </c>
      <c r="Q12">
        <v>0</v>
      </c>
      <c r="R12">
        <v>0</v>
      </c>
      <c r="S12">
        <v>0</v>
      </c>
      <c r="T12">
        <v>0</v>
      </c>
      <c r="U12">
        <v>0</v>
      </c>
      <c r="V12">
        <v>0</v>
      </c>
      <c r="W12">
        <v>0</v>
      </c>
      <c r="X12">
        <v>0</v>
      </c>
      <c r="Y12" t="b">
        <f>ISERROR(VLOOKUP(O12,Compétences!$T$3:$V$68,2,FALSE))</f>
        <v>1</v>
      </c>
      <c r="Z12">
        <f t="shared" si="1"/>
        <v>0</v>
      </c>
    </row>
    <row r="13" spans="2:26">
      <c r="B13" cm="1">
        <f t="array" ref="B13:K13">'Nom du personnage'!C76:L76</f>
        <v>0</v>
      </c>
      <c r="C13">
        <v>0</v>
      </c>
      <c r="D13">
        <v>0</v>
      </c>
      <c r="E13">
        <v>0</v>
      </c>
      <c r="F13">
        <v>0</v>
      </c>
      <c r="G13">
        <v>0</v>
      </c>
      <c r="H13">
        <v>0</v>
      </c>
      <c r="I13">
        <v>0</v>
      </c>
      <c r="J13">
        <v>0</v>
      </c>
      <c r="K13">
        <v>0</v>
      </c>
      <c r="L13" t="b">
        <f>ISERROR(VLOOKUP(B13,Compétences!$T$3:$V$68,2,FALSE))</f>
        <v>1</v>
      </c>
      <c r="M13">
        <f t="shared" si="0"/>
        <v>0</v>
      </c>
      <c r="O13" cm="1">
        <f t="array" ref="O13:X13">'Nom du personnage'!Q76:Z76</f>
        <v>0</v>
      </c>
      <c r="P13">
        <v>0</v>
      </c>
      <c r="Q13">
        <v>0</v>
      </c>
      <c r="R13">
        <v>0</v>
      </c>
      <c r="S13">
        <v>0</v>
      </c>
      <c r="T13">
        <v>0</v>
      </c>
      <c r="U13">
        <v>0</v>
      </c>
      <c r="V13">
        <v>0</v>
      </c>
      <c r="W13">
        <v>0</v>
      </c>
      <c r="X13">
        <v>0</v>
      </c>
      <c r="Y13" t="b">
        <f>ISERROR(VLOOKUP(O13,Compétences!$T$3:$V$68,2,FALSE))</f>
        <v>1</v>
      </c>
      <c r="Z13">
        <f t="shared" si="1"/>
        <v>0</v>
      </c>
    </row>
    <row r="14" spans="2:26">
      <c r="B14" cm="1">
        <f t="array" ref="B14:K14">'Nom du personnage'!C77:L77</f>
        <v>0</v>
      </c>
      <c r="C14">
        <v>0</v>
      </c>
      <c r="D14">
        <v>0</v>
      </c>
      <c r="E14">
        <v>0</v>
      </c>
      <c r="F14">
        <v>0</v>
      </c>
      <c r="G14">
        <v>0</v>
      </c>
      <c r="H14">
        <v>0</v>
      </c>
      <c r="I14">
        <v>0</v>
      </c>
      <c r="J14">
        <v>0</v>
      </c>
      <c r="K14">
        <v>0</v>
      </c>
      <c r="L14" t="b">
        <f>ISERROR(VLOOKUP(B14,Compétences!$T$3:$V$68,2,FALSE))</f>
        <v>1</v>
      </c>
      <c r="M14">
        <f t="shared" si="0"/>
        <v>0</v>
      </c>
      <c r="O14" cm="1">
        <f t="array" ref="O14:X14">'Nom du personnage'!Q77:Z77</f>
        <v>0</v>
      </c>
      <c r="P14">
        <v>0</v>
      </c>
      <c r="Q14">
        <v>0</v>
      </c>
      <c r="R14">
        <v>0</v>
      </c>
      <c r="S14">
        <v>0</v>
      </c>
      <c r="T14">
        <v>0</v>
      </c>
      <c r="U14">
        <v>0</v>
      </c>
      <c r="V14">
        <v>0</v>
      </c>
      <c r="W14">
        <v>0</v>
      </c>
      <c r="X14">
        <v>0</v>
      </c>
      <c r="Y14" t="b">
        <f>ISERROR(VLOOKUP(O14,Compétences!$T$3:$V$68,2,FALSE))</f>
        <v>1</v>
      </c>
      <c r="Z14">
        <f t="shared" si="1"/>
        <v>0</v>
      </c>
    </row>
    <row r="15" spans="2:26">
      <c r="B15" cm="1">
        <f t="array" ref="B15:K15">'Nom du personnage'!C78:L78</f>
        <v>0</v>
      </c>
      <c r="C15">
        <v>0</v>
      </c>
      <c r="D15">
        <v>0</v>
      </c>
      <c r="E15">
        <v>0</v>
      </c>
      <c r="F15">
        <v>0</v>
      </c>
      <c r="G15">
        <v>0</v>
      </c>
      <c r="H15">
        <v>0</v>
      </c>
      <c r="I15">
        <v>0</v>
      </c>
      <c r="J15">
        <v>0</v>
      </c>
      <c r="K15">
        <v>0</v>
      </c>
      <c r="L15" t="b">
        <f>ISERROR(VLOOKUP(B15,Compétences!$T$3:$V$68,2,FALSE))</f>
        <v>1</v>
      </c>
      <c r="M15">
        <f t="shared" si="0"/>
        <v>0</v>
      </c>
      <c r="O15" cm="1">
        <f t="array" ref="O15:X15">'Nom du personnage'!Q78:Z78</f>
        <v>0</v>
      </c>
      <c r="P15">
        <v>0</v>
      </c>
      <c r="Q15">
        <v>0</v>
      </c>
      <c r="R15">
        <v>0</v>
      </c>
      <c r="S15">
        <v>0</v>
      </c>
      <c r="T15">
        <v>0</v>
      </c>
      <c r="U15">
        <v>0</v>
      </c>
      <c r="V15">
        <v>0</v>
      </c>
      <c r="W15">
        <v>0</v>
      </c>
      <c r="X15">
        <v>0</v>
      </c>
      <c r="Y15" t="b">
        <f>ISERROR(VLOOKUP(O15,Compétences!$T$3:$V$68,2,FALSE))</f>
        <v>1</v>
      </c>
      <c r="Z15">
        <f t="shared" si="1"/>
        <v>0</v>
      </c>
    </row>
    <row r="16" spans="2:26">
      <c r="B16" cm="1">
        <f t="array" ref="B16:K16">'Nom du personnage'!C79:L79</f>
        <v>0</v>
      </c>
      <c r="C16">
        <v>0</v>
      </c>
      <c r="D16">
        <v>0</v>
      </c>
      <c r="E16">
        <v>0</v>
      </c>
      <c r="F16">
        <v>0</v>
      </c>
      <c r="G16">
        <v>0</v>
      </c>
      <c r="H16">
        <v>0</v>
      </c>
      <c r="I16">
        <v>0</v>
      </c>
      <c r="J16">
        <v>0</v>
      </c>
      <c r="K16">
        <v>0</v>
      </c>
      <c r="L16" t="b">
        <f>ISERROR(VLOOKUP(B16,Compétences!$T$3:$V$68,2,FALSE))</f>
        <v>1</v>
      </c>
      <c r="M16">
        <f t="shared" si="0"/>
        <v>0</v>
      </c>
      <c r="O16" cm="1">
        <f t="array" ref="O16:X16">'Nom du personnage'!Q79:Z79</f>
        <v>0</v>
      </c>
      <c r="P16">
        <v>0</v>
      </c>
      <c r="Q16">
        <v>0</v>
      </c>
      <c r="R16">
        <v>0</v>
      </c>
      <c r="S16">
        <v>0</v>
      </c>
      <c r="T16">
        <v>0</v>
      </c>
      <c r="U16">
        <v>0</v>
      </c>
      <c r="V16">
        <v>0</v>
      </c>
      <c r="W16">
        <v>0</v>
      </c>
      <c r="X16">
        <v>0</v>
      </c>
      <c r="Y16" t="b">
        <f>ISERROR(VLOOKUP(O16,Compétences!$T$3:$V$68,2,FALSE))</f>
        <v>1</v>
      </c>
      <c r="Z16">
        <f t="shared" si="1"/>
        <v>0</v>
      </c>
    </row>
    <row r="17" spans="2:26">
      <c r="B17" cm="1">
        <f t="array" ref="B17:K17">'Nom du personnage'!C80:L80</f>
        <v>0</v>
      </c>
      <c r="C17">
        <v>0</v>
      </c>
      <c r="D17">
        <v>0</v>
      </c>
      <c r="E17">
        <v>0</v>
      </c>
      <c r="F17">
        <v>0</v>
      </c>
      <c r="G17">
        <v>0</v>
      </c>
      <c r="H17">
        <v>0</v>
      </c>
      <c r="I17">
        <v>0</v>
      </c>
      <c r="J17">
        <v>0</v>
      </c>
      <c r="K17">
        <v>0</v>
      </c>
      <c r="L17" t="b">
        <f>ISERROR(VLOOKUP(B17,Compétences!$T$3:$V$68,2,FALSE))</f>
        <v>1</v>
      </c>
      <c r="M17">
        <f t="shared" si="0"/>
        <v>0</v>
      </c>
      <c r="O17" cm="1">
        <f t="array" ref="O17:X17">'Nom du personnage'!Q80:Z80</f>
        <v>0</v>
      </c>
      <c r="P17">
        <v>0</v>
      </c>
      <c r="Q17">
        <v>0</v>
      </c>
      <c r="R17">
        <v>0</v>
      </c>
      <c r="S17">
        <v>0</v>
      </c>
      <c r="T17">
        <v>0</v>
      </c>
      <c r="U17">
        <v>0</v>
      </c>
      <c r="V17">
        <v>0</v>
      </c>
      <c r="W17">
        <v>0</v>
      </c>
      <c r="X17">
        <v>0</v>
      </c>
      <c r="Y17" t="b">
        <f>ISERROR(VLOOKUP(O17,Compétences!$T$3:$V$68,2,FALSE))</f>
        <v>1</v>
      </c>
      <c r="Z17">
        <f t="shared" si="1"/>
        <v>0</v>
      </c>
    </row>
    <row r="18" spans="2:26">
      <c r="B18" cm="1">
        <f t="array" ref="B18:K18">'Nom du personnage'!C81:L81</f>
        <v>0</v>
      </c>
      <c r="C18">
        <v>0</v>
      </c>
      <c r="D18">
        <v>0</v>
      </c>
      <c r="E18">
        <v>0</v>
      </c>
      <c r="F18">
        <v>0</v>
      </c>
      <c r="G18">
        <v>0</v>
      </c>
      <c r="H18">
        <v>0</v>
      </c>
      <c r="I18">
        <v>0</v>
      </c>
      <c r="J18">
        <v>0</v>
      </c>
      <c r="K18">
        <v>0</v>
      </c>
      <c r="L18" t="b">
        <f>ISERROR(VLOOKUP(B18,Compétences!$T$3:$V$68,2,FALSE))</f>
        <v>1</v>
      </c>
      <c r="M18">
        <f t="shared" si="0"/>
        <v>0</v>
      </c>
      <c r="O18" cm="1">
        <f t="array" ref="O18:X18">'Nom du personnage'!Q81:Z81</f>
        <v>0</v>
      </c>
      <c r="P18">
        <v>0</v>
      </c>
      <c r="Q18">
        <v>0</v>
      </c>
      <c r="R18">
        <v>0</v>
      </c>
      <c r="S18">
        <v>0</v>
      </c>
      <c r="T18">
        <v>0</v>
      </c>
      <c r="U18">
        <v>0</v>
      </c>
      <c r="V18">
        <v>0</v>
      </c>
      <c r="W18">
        <v>0</v>
      </c>
      <c r="X18">
        <v>0</v>
      </c>
      <c r="Y18" t="b">
        <f>ISERROR(VLOOKUP(O18,Compétences!$T$3:$V$68,2,FALSE))</f>
        <v>1</v>
      </c>
      <c r="Z18">
        <f t="shared" si="1"/>
        <v>0</v>
      </c>
    </row>
    <row r="19" spans="2:26">
      <c r="B19" cm="1">
        <f t="array" ref="B19:K19">'Nom du personnage'!C82:L82</f>
        <v>0</v>
      </c>
      <c r="C19">
        <v>0</v>
      </c>
      <c r="D19">
        <v>0</v>
      </c>
      <c r="E19">
        <v>0</v>
      </c>
      <c r="F19">
        <v>0</v>
      </c>
      <c r="G19">
        <v>0</v>
      </c>
      <c r="H19">
        <v>0</v>
      </c>
      <c r="I19">
        <v>0</v>
      </c>
      <c r="J19">
        <v>0</v>
      </c>
      <c r="K19">
        <v>0</v>
      </c>
      <c r="L19" t="b">
        <f>ISERROR(VLOOKUP(B19,Compétences!$T$3:$V$68,2,FALSE))</f>
        <v>1</v>
      </c>
      <c r="M19">
        <f t="shared" si="0"/>
        <v>0</v>
      </c>
      <c r="O19" cm="1">
        <f t="array" ref="O19:X19">'Nom du personnage'!Q82:Z82</f>
        <v>0</v>
      </c>
      <c r="P19">
        <v>0</v>
      </c>
      <c r="Q19">
        <v>0</v>
      </c>
      <c r="R19">
        <v>0</v>
      </c>
      <c r="S19">
        <v>0</v>
      </c>
      <c r="T19">
        <v>0</v>
      </c>
      <c r="U19">
        <v>0</v>
      </c>
      <c r="V19">
        <v>0</v>
      </c>
      <c r="W19">
        <v>0</v>
      </c>
      <c r="X19">
        <v>0</v>
      </c>
      <c r="Y19" t="b">
        <f>ISERROR(VLOOKUP(O19,Compétences!$T$3:$V$68,2,FALSE))</f>
        <v>1</v>
      </c>
      <c r="Z19">
        <f t="shared" si="1"/>
        <v>0</v>
      </c>
    </row>
    <row r="20" spans="2:26">
      <c r="B20" cm="1">
        <f t="array" ref="B20:K20">'Nom du personnage'!C83:L83</f>
        <v>0</v>
      </c>
      <c r="C20">
        <v>0</v>
      </c>
      <c r="D20">
        <v>0</v>
      </c>
      <c r="E20">
        <v>0</v>
      </c>
      <c r="F20">
        <v>0</v>
      </c>
      <c r="G20">
        <v>0</v>
      </c>
      <c r="H20">
        <v>0</v>
      </c>
      <c r="I20">
        <v>0</v>
      </c>
      <c r="J20">
        <v>0</v>
      </c>
      <c r="K20">
        <v>0</v>
      </c>
      <c r="L20" t="b">
        <f>ISERROR(VLOOKUP(B20,Compétences!$T$3:$V$68,2,FALSE))</f>
        <v>1</v>
      </c>
      <c r="M20">
        <f t="shared" si="0"/>
        <v>0</v>
      </c>
      <c r="O20" cm="1">
        <f t="array" ref="O20:X20">'Nom du personnage'!Q83:Z83</f>
        <v>0</v>
      </c>
      <c r="P20">
        <v>0</v>
      </c>
      <c r="Q20">
        <v>0</v>
      </c>
      <c r="R20">
        <v>0</v>
      </c>
      <c r="S20">
        <v>0</v>
      </c>
      <c r="T20">
        <v>0</v>
      </c>
      <c r="U20">
        <v>0</v>
      </c>
      <c r="V20">
        <v>0</v>
      </c>
      <c r="W20">
        <v>0</v>
      </c>
      <c r="X20">
        <v>0</v>
      </c>
      <c r="Y20" t="b">
        <f>ISERROR(VLOOKUP(O20,Compétences!$T$3:$V$68,2,FALSE))</f>
        <v>1</v>
      </c>
      <c r="Z20">
        <f t="shared" si="1"/>
        <v>0</v>
      </c>
    </row>
    <row r="21" spans="2:26">
      <c r="B21" cm="1">
        <f t="array" ref="B21:K21">'Nom du personnage'!C84:L84</f>
        <v>0</v>
      </c>
      <c r="C21">
        <v>0</v>
      </c>
      <c r="D21">
        <v>0</v>
      </c>
      <c r="E21">
        <v>0</v>
      </c>
      <c r="F21">
        <v>0</v>
      </c>
      <c r="G21">
        <v>0</v>
      </c>
      <c r="H21">
        <v>0</v>
      </c>
      <c r="I21">
        <v>0</v>
      </c>
      <c r="J21">
        <v>0</v>
      </c>
      <c r="K21">
        <v>0</v>
      </c>
      <c r="L21" t="b">
        <f>ISERROR(VLOOKUP(B21,Compétences!$T$3:$V$68,2,FALSE))</f>
        <v>1</v>
      </c>
      <c r="M21">
        <f t="shared" si="0"/>
        <v>0</v>
      </c>
      <c r="O21" cm="1">
        <f t="array" ref="O21:X21">'Nom du personnage'!Q84:Z84</f>
        <v>0</v>
      </c>
      <c r="P21">
        <v>0</v>
      </c>
      <c r="Q21">
        <v>0</v>
      </c>
      <c r="R21">
        <v>0</v>
      </c>
      <c r="S21">
        <v>0</v>
      </c>
      <c r="T21">
        <v>0</v>
      </c>
      <c r="U21">
        <v>0</v>
      </c>
      <c r="V21">
        <v>0</v>
      </c>
      <c r="W21">
        <v>0</v>
      </c>
      <c r="X21">
        <v>0</v>
      </c>
      <c r="Y21" t="b">
        <f>ISERROR(VLOOKUP(O21,Compétences!$T$3:$V$68,2,FALSE))</f>
        <v>1</v>
      </c>
      <c r="Z21">
        <f t="shared" si="1"/>
        <v>0</v>
      </c>
    </row>
    <row r="22" spans="2:26">
      <c r="B22" cm="1">
        <f t="array" ref="B22:K22">'Nom du personnage'!C85:L85</f>
        <v>0</v>
      </c>
      <c r="C22">
        <v>0</v>
      </c>
      <c r="D22">
        <v>0</v>
      </c>
      <c r="E22">
        <v>0</v>
      </c>
      <c r="F22">
        <v>0</v>
      </c>
      <c r="G22">
        <v>0</v>
      </c>
      <c r="H22">
        <v>0</v>
      </c>
      <c r="I22">
        <v>0</v>
      </c>
      <c r="J22">
        <v>0</v>
      </c>
      <c r="K22">
        <v>0</v>
      </c>
      <c r="L22" t="b">
        <f>ISERROR(VLOOKUP(B22,Compétences!$T$3:$V$68,2,FALSE))</f>
        <v>1</v>
      </c>
      <c r="M22">
        <f t="shared" si="0"/>
        <v>0</v>
      </c>
      <c r="O22" cm="1">
        <f t="array" ref="O22:X22">'Nom du personnage'!Q85:Z85</f>
        <v>0</v>
      </c>
      <c r="P22">
        <v>0</v>
      </c>
      <c r="Q22">
        <v>0</v>
      </c>
      <c r="R22">
        <v>0</v>
      </c>
      <c r="S22">
        <v>0</v>
      </c>
      <c r="T22">
        <v>0</v>
      </c>
      <c r="U22">
        <v>0</v>
      </c>
      <c r="V22">
        <v>0</v>
      </c>
      <c r="W22">
        <v>0</v>
      </c>
      <c r="X22">
        <v>0</v>
      </c>
      <c r="Y22" t="b">
        <f>ISERROR(VLOOKUP(O22,Compétences!$T$3:$V$68,2,FALSE))</f>
        <v>1</v>
      </c>
      <c r="Z22">
        <f t="shared" si="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8D9D4-A38E-4F34-B5A5-14336259E0DF}">
  <sheetPr codeName="Feuil3" filterMode="1"/>
  <dimension ref="A1:AE2159"/>
  <sheetViews>
    <sheetView topLeftCell="C1" zoomScaleNormal="100" workbookViewId="0">
      <selection activeCell="K69" sqref="K69"/>
    </sheetView>
  </sheetViews>
  <sheetFormatPr baseColWidth="10" defaultRowHeight="15"/>
  <cols>
    <col min="2" max="2" width="29.453125" bestFit="1" customWidth="1"/>
    <col min="8" max="8" width="52.453125" bestFit="1" customWidth="1"/>
    <col min="9" max="9" width="6.26953125" bestFit="1" customWidth="1"/>
    <col min="10" max="10" width="30.90625" customWidth="1"/>
    <col min="11" max="11" width="10.54296875" bestFit="1" customWidth="1"/>
    <col min="12" max="12" width="10.90625" customWidth="1"/>
    <col min="13" max="13" width="37.453125" customWidth="1"/>
    <col min="17" max="17" width="13.7265625" bestFit="1" customWidth="1"/>
    <col min="18" max="18" width="27.453125" bestFit="1" customWidth="1"/>
    <col min="19" max="19" width="10.90625" customWidth="1"/>
    <col min="20" max="20" width="30.90625" bestFit="1" customWidth="1"/>
    <col min="22" max="22" width="16.1796875" bestFit="1" customWidth="1"/>
    <col min="23" max="31" width="0" hidden="1" customWidth="1"/>
  </cols>
  <sheetData>
    <row r="1" spans="1:31">
      <c r="L1" s="2"/>
    </row>
    <row r="2" spans="1:31" hidden="1">
      <c r="A2" s="2" t="s">
        <v>198</v>
      </c>
      <c r="B2" s="2" t="s">
        <v>27</v>
      </c>
      <c r="C2" s="2" t="s">
        <v>160</v>
      </c>
      <c r="H2" s="2" t="s">
        <v>27</v>
      </c>
      <c r="I2" s="2" t="s">
        <v>160</v>
      </c>
      <c r="J2" s="2" t="s">
        <v>198</v>
      </c>
      <c r="K2" s="2" t="s">
        <v>649</v>
      </c>
      <c r="L2" s="2"/>
      <c r="M2" t="s">
        <v>27</v>
      </c>
      <c r="N2" t="s">
        <v>225</v>
      </c>
      <c r="O2" t="s">
        <v>279</v>
      </c>
      <c r="P2" t="s">
        <v>226</v>
      </c>
      <c r="Q2" s="2" t="s">
        <v>450</v>
      </c>
      <c r="R2" s="2" t="s">
        <v>451</v>
      </c>
      <c r="T2" s="2" t="s">
        <v>27</v>
      </c>
      <c r="U2" s="2" t="s">
        <v>453</v>
      </c>
      <c r="V2" s="2" t="s">
        <v>450</v>
      </c>
    </row>
    <row r="3" spans="1:31" hidden="1">
      <c r="A3" s="2" t="s">
        <v>30</v>
      </c>
      <c r="B3" s="2" t="s">
        <v>185</v>
      </c>
      <c r="C3">
        <v>6</v>
      </c>
      <c r="D3">
        <v>1</v>
      </c>
      <c r="H3" s="2" t="s">
        <v>161</v>
      </c>
      <c r="I3">
        <v>3</v>
      </c>
      <c r="J3" s="2">
        <f>'Nom du personnage'!$U$51</f>
        <v>0</v>
      </c>
      <c r="K3" s="2">
        <v>5</v>
      </c>
      <c r="M3" t="str">
        <f>IF('Bonus Humain'!H4=0,IF(P3=J3,H3,),'Bonus Humain'!D4)</f>
        <v>Ambidexterie</v>
      </c>
      <c r="N3">
        <f>IF(M3='Bonus Humain'!D4,Compétences!I3-1,VLOOKUP(M3,H3:J60,2,FALSE))</f>
        <v>3</v>
      </c>
      <c r="O3">
        <f t="shared" ref="O3:O14" si="0">VLOOKUP(M3,H3:J60,2,FALSE)</f>
        <v>3</v>
      </c>
      <c r="P3">
        <f>'Nom du personnage'!$U$51</f>
        <v>0</v>
      </c>
      <c r="Q3" s="2" t="s">
        <v>141</v>
      </c>
      <c r="R3" s="2" t="s">
        <v>162</v>
      </c>
      <c r="T3" s="2" t="str">
        <f>+IF(V3=Q3,R3,"N/A")</f>
        <v>N/A</v>
      </c>
      <c r="U3">
        <v>-1</v>
      </c>
      <c r="V3" cm="1">
        <f t="array" ref="V3:AE3">'Nom du personnage'!$F$51:$O$51</f>
        <v>0</v>
      </c>
      <c r="W3">
        <v>0</v>
      </c>
      <c r="X3">
        <v>0</v>
      </c>
      <c r="Y3">
        <v>0</v>
      </c>
      <c r="Z3">
        <v>0</v>
      </c>
      <c r="AA3">
        <v>0</v>
      </c>
      <c r="AB3">
        <v>0</v>
      </c>
      <c r="AC3">
        <v>0</v>
      </c>
      <c r="AD3">
        <v>0</v>
      </c>
      <c r="AE3">
        <v>0</v>
      </c>
    </row>
    <row r="4" spans="1:31" hidden="1">
      <c r="A4" s="2" t="s">
        <v>30</v>
      </c>
      <c r="B4" s="2" t="s">
        <v>199</v>
      </c>
      <c r="C4">
        <v>6</v>
      </c>
      <c r="D4">
        <v>1</v>
      </c>
      <c r="H4" s="2" t="s">
        <v>162</v>
      </c>
      <c r="I4">
        <v>3</v>
      </c>
      <c r="J4" s="2">
        <f>'Nom du personnage'!$U$51</f>
        <v>0</v>
      </c>
      <c r="K4" s="2">
        <v>5</v>
      </c>
      <c r="M4" t="str">
        <f>IF('Bonus Humain'!H5=0,IF(P4=J4,H4,),'Bonus Humain'!D5)</f>
        <v>Archerie</v>
      </c>
      <c r="N4">
        <f>IF(M4='Bonus Humain'!D5,Compétences!I4-1,VLOOKUP(M4,H4:J61,2,FALSE))</f>
        <v>3</v>
      </c>
      <c r="O4">
        <f t="shared" si="0"/>
        <v>3</v>
      </c>
      <c r="P4">
        <f>'Nom du personnage'!$U$51</f>
        <v>0</v>
      </c>
      <c r="Q4" s="2" t="s">
        <v>141</v>
      </c>
      <c r="R4" s="2" t="s">
        <v>186</v>
      </c>
      <c r="T4" s="2" t="str">
        <f t="shared" ref="T4:T67" si="1">+IF(V4=Q4,R4,"N/A")</f>
        <v>N/A</v>
      </c>
      <c r="U4">
        <v>-1</v>
      </c>
      <c r="V4" cm="1">
        <f t="array" ref="V4:AE4">'Nom du personnage'!$F$51:$O$51</f>
        <v>0</v>
      </c>
      <c r="W4">
        <v>0</v>
      </c>
      <c r="X4">
        <v>0</v>
      </c>
      <c r="Y4">
        <v>0</v>
      </c>
      <c r="Z4">
        <v>0</v>
      </c>
      <c r="AA4">
        <v>0</v>
      </c>
      <c r="AB4">
        <v>0</v>
      </c>
      <c r="AC4">
        <v>0</v>
      </c>
      <c r="AD4">
        <v>0</v>
      </c>
      <c r="AE4">
        <v>0</v>
      </c>
    </row>
    <row r="5" spans="1:31" hidden="1">
      <c r="A5" s="2" t="s">
        <v>30</v>
      </c>
      <c r="B5" s="2" t="s">
        <v>200</v>
      </c>
      <c r="C5">
        <v>6</v>
      </c>
      <c r="D5">
        <v>1</v>
      </c>
      <c r="H5" s="2" t="s">
        <v>163</v>
      </c>
      <c r="I5">
        <v>4</v>
      </c>
      <c r="J5" s="2">
        <f>'Nom du personnage'!$U$51</f>
        <v>0</v>
      </c>
      <c r="K5" s="2">
        <v>1</v>
      </c>
      <c r="M5">
        <f ca="1">IF('Bonus Humain'!H6=0,IF(COUNTIF('Nom du personnage'!C66:AC85,Compétences!M4)&gt;0,Compétences!H5,0),'Bonus Humain'!D6)</f>
        <v>0</v>
      </c>
      <c r="N5" t="e">
        <f ca="1">IF(M5='Bonus Humain'!D6,Compétences!I5-1,VLOOKUP(M5,H5:J62,2,FALSE))</f>
        <v>#N/A</v>
      </c>
      <c r="O5" t="e">
        <f t="shared" ca="1" si="0"/>
        <v>#N/A</v>
      </c>
      <c r="P5">
        <f>'Nom du personnage'!$U$51</f>
        <v>0</v>
      </c>
      <c r="Q5" s="2" t="s">
        <v>141</v>
      </c>
      <c r="R5" s="2" t="s">
        <v>187</v>
      </c>
      <c r="T5" s="2" t="str">
        <f t="shared" si="1"/>
        <v>N/A</v>
      </c>
      <c r="U5">
        <v>-1</v>
      </c>
      <c r="V5" cm="1">
        <f t="array" ref="V5:AE5">'Nom du personnage'!$F$51:$O$51</f>
        <v>0</v>
      </c>
      <c r="W5">
        <v>0</v>
      </c>
      <c r="X5">
        <v>0</v>
      </c>
      <c r="Y5">
        <v>0</v>
      </c>
      <c r="Z5">
        <v>0</v>
      </c>
      <c r="AA5">
        <v>0</v>
      </c>
      <c r="AB5">
        <v>0</v>
      </c>
      <c r="AC5">
        <v>0</v>
      </c>
      <c r="AD5">
        <v>0</v>
      </c>
      <c r="AE5">
        <v>0</v>
      </c>
    </row>
    <row r="6" spans="1:31" hidden="1">
      <c r="A6" s="2" t="s">
        <v>30</v>
      </c>
      <c r="B6" s="2" t="s">
        <v>201</v>
      </c>
      <c r="C6">
        <v>6</v>
      </c>
      <c r="D6">
        <v>1</v>
      </c>
      <c r="H6" s="2" t="s">
        <v>164</v>
      </c>
      <c r="I6">
        <v>3</v>
      </c>
      <c r="J6" s="2">
        <f>'Nom du personnage'!$U$51</f>
        <v>0</v>
      </c>
      <c r="K6" s="2">
        <v>5</v>
      </c>
      <c r="M6" t="str">
        <f>IF('Bonus Humain'!H7=0,IF(P6=J6,H6,),'Bonus Humain'!D7)</f>
        <v>Arme à feu</v>
      </c>
      <c r="N6">
        <f>IF(M6='Bonus Humain'!D7,Compétences!I6-1,VLOOKUP(M6,H6:J63,2,FALSE))</f>
        <v>3</v>
      </c>
      <c r="O6">
        <f t="shared" si="0"/>
        <v>3</v>
      </c>
      <c r="P6">
        <f>'Nom du personnage'!$U$51</f>
        <v>0</v>
      </c>
      <c r="Q6" s="2" t="s">
        <v>141</v>
      </c>
      <c r="R6" s="2" t="s">
        <v>188</v>
      </c>
      <c r="T6" s="2" t="str">
        <f>+IF(V6=Q6,R6,"N/A")</f>
        <v>N/A</v>
      </c>
      <c r="U6">
        <v>-1</v>
      </c>
      <c r="V6" cm="1">
        <f t="array" ref="V6:AE6">'Nom du personnage'!$F$51:$O$51</f>
        <v>0</v>
      </c>
      <c r="W6">
        <v>0</v>
      </c>
      <c r="X6">
        <v>0</v>
      </c>
      <c r="Y6">
        <v>0</v>
      </c>
      <c r="Z6">
        <v>0</v>
      </c>
      <c r="AA6">
        <v>0</v>
      </c>
      <c r="AB6">
        <v>0</v>
      </c>
      <c r="AC6">
        <v>0</v>
      </c>
      <c r="AD6">
        <v>0</v>
      </c>
      <c r="AE6">
        <v>0</v>
      </c>
    </row>
    <row r="7" spans="1:31" hidden="1">
      <c r="A7" s="2" t="s">
        <v>30</v>
      </c>
      <c r="B7" s="2" t="s">
        <v>202</v>
      </c>
      <c r="C7">
        <v>5</v>
      </c>
      <c r="D7">
        <v>5</v>
      </c>
      <c r="H7" s="2" t="s">
        <v>165</v>
      </c>
      <c r="I7">
        <v>3</v>
      </c>
      <c r="J7" s="2">
        <f>'Nom du personnage'!$U$51</f>
        <v>0</v>
      </c>
      <c r="K7" s="2">
        <v>5</v>
      </c>
      <c r="M7" t="str">
        <f>IF('Bonus Humain'!H8=0,IF(P7=J7,H7,),'Bonus Humain'!D8)</f>
        <v>Arme de jet</v>
      </c>
      <c r="N7">
        <f>IF(M7='Bonus Humain'!D8,Compétences!I7-1,VLOOKUP(M7,H7:J64,2,FALSE))</f>
        <v>3</v>
      </c>
      <c r="O7">
        <f t="shared" si="0"/>
        <v>3</v>
      </c>
      <c r="P7">
        <f>'Nom du personnage'!$U$51</f>
        <v>0</v>
      </c>
      <c r="Q7" s="2" t="s">
        <v>141</v>
      </c>
      <c r="R7" s="2" t="s">
        <v>189</v>
      </c>
      <c r="T7" s="2" t="str">
        <f t="shared" si="1"/>
        <v>N/A</v>
      </c>
      <c r="U7">
        <v>-1</v>
      </c>
      <c r="V7" cm="1">
        <f t="array" ref="V7:AE7">'Nom du personnage'!$F$51:$O$51</f>
        <v>0</v>
      </c>
      <c r="W7">
        <v>0</v>
      </c>
      <c r="X7">
        <v>0</v>
      </c>
      <c r="Y7">
        <v>0</v>
      </c>
      <c r="Z7">
        <v>0</v>
      </c>
      <c r="AA7">
        <v>0</v>
      </c>
      <c r="AB7">
        <v>0</v>
      </c>
      <c r="AC7">
        <v>0</v>
      </c>
      <c r="AD7">
        <v>0</v>
      </c>
      <c r="AE7">
        <v>0</v>
      </c>
    </row>
    <row r="8" spans="1:31" hidden="1">
      <c r="A8" s="2" t="s">
        <v>30</v>
      </c>
      <c r="B8" s="2" t="s">
        <v>203</v>
      </c>
      <c r="C8">
        <v>6</v>
      </c>
      <c r="D8">
        <v>5</v>
      </c>
      <c r="H8" s="2" t="s">
        <v>754</v>
      </c>
      <c r="I8">
        <v>4</v>
      </c>
      <c r="J8" s="2">
        <f>'Nom du personnage'!$U$51</f>
        <v>0</v>
      </c>
      <c r="K8" s="2">
        <v>5</v>
      </c>
      <c r="M8" t="str">
        <f>IF('Bonus Humain'!H9=0,IF(P8=J8,H8,),'Bonus Humain'!D9)</f>
        <v>Arme non conventionnelle - 2 mains</v>
      </c>
      <c r="N8">
        <f>IF(M8='Bonus Humain'!D9,Compétences!I8-1,VLOOKUP(M8,H8:J65,2,FALSE))</f>
        <v>4</v>
      </c>
      <c r="O8">
        <f t="shared" si="0"/>
        <v>4</v>
      </c>
      <c r="P8">
        <f>'Nom du personnage'!$U$51</f>
        <v>0</v>
      </c>
      <c r="Q8" s="2" t="s">
        <v>141</v>
      </c>
      <c r="R8" s="2" t="s">
        <v>190</v>
      </c>
      <c r="T8" s="2" t="str">
        <f t="shared" si="1"/>
        <v>N/A</v>
      </c>
      <c r="U8">
        <v>-1</v>
      </c>
      <c r="V8" cm="1">
        <f t="array" ref="V8:AE8">'Nom du personnage'!$F$51:$O$51</f>
        <v>0</v>
      </c>
      <c r="W8">
        <v>0</v>
      </c>
      <c r="X8">
        <v>0</v>
      </c>
      <c r="Y8">
        <v>0</v>
      </c>
      <c r="Z8">
        <v>0</v>
      </c>
      <c r="AA8">
        <v>0</v>
      </c>
      <c r="AB8">
        <v>0</v>
      </c>
      <c r="AC8">
        <v>0</v>
      </c>
      <c r="AD8">
        <v>0</v>
      </c>
      <c r="AE8">
        <v>0</v>
      </c>
    </row>
    <row r="9" spans="1:31" hidden="1">
      <c r="A9" s="2" t="s">
        <v>30</v>
      </c>
      <c r="B9" s="2" t="s">
        <v>204</v>
      </c>
      <c r="C9">
        <v>4</v>
      </c>
      <c r="D9">
        <v>1</v>
      </c>
      <c r="H9" s="2" t="s">
        <v>755</v>
      </c>
      <c r="I9">
        <v>2</v>
      </c>
      <c r="J9" s="2">
        <f>'Nom du personnage'!$U$51</f>
        <v>0</v>
      </c>
      <c r="K9" s="2">
        <v>5</v>
      </c>
      <c r="M9">
        <f ca="1">IF('Bonus Humain'!H10=0,IF(COUNTIF('Nom du personnage'!C66:AC85,Compétences!M8)&gt;0,Compétences!H9,0),'Bonus Humain'!D10)</f>
        <v>0</v>
      </c>
      <c r="N9" t="e">
        <f ca="1">IF(M9='Bonus Humain'!D10,Compétences!I9-1,VLOOKUP(M9,H9:J66,2,FALSE))</f>
        <v>#N/A</v>
      </c>
      <c r="O9" t="e">
        <f t="shared" ca="1" si="0"/>
        <v>#N/A</v>
      </c>
      <c r="P9">
        <f>'Nom du personnage'!$U$51</f>
        <v>0</v>
      </c>
      <c r="Q9" s="2" t="s">
        <v>141</v>
      </c>
      <c r="R9" s="2" t="s">
        <v>191</v>
      </c>
      <c r="T9" s="2" t="str">
        <f t="shared" si="1"/>
        <v>N/A</v>
      </c>
      <c r="U9">
        <v>-1</v>
      </c>
      <c r="V9" cm="1">
        <f t="array" ref="V9:AE9">'Nom du personnage'!$F$51:$O$51</f>
        <v>0</v>
      </c>
      <c r="W9">
        <v>0</v>
      </c>
      <c r="X9">
        <v>0</v>
      </c>
      <c r="Y9">
        <v>0</v>
      </c>
      <c r="Z9">
        <v>0</v>
      </c>
      <c r="AA9">
        <v>0</v>
      </c>
      <c r="AB9">
        <v>0</v>
      </c>
      <c r="AC9">
        <v>0</v>
      </c>
      <c r="AD9">
        <v>0</v>
      </c>
      <c r="AE9">
        <v>0</v>
      </c>
    </row>
    <row r="10" spans="1:31" hidden="1">
      <c r="A10" s="2" t="s">
        <v>30</v>
      </c>
      <c r="B10" s="2" t="s">
        <v>205</v>
      </c>
      <c r="C10">
        <v>5</v>
      </c>
      <c r="D10">
        <v>5</v>
      </c>
      <c r="H10" s="2" t="s">
        <v>168</v>
      </c>
      <c r="I10">
        <v>2</v>
      </c>
      <c r="J10" s="2">
        <f>'Nom du personnage'!$U$51</f>
        <v>0</v>
      </c>
      <c r="K10" s="2">
        <v>1</v>
      </c>
      <c r="M10" s="7">
        <f ca="1">IF('Bonus Humain'!H11=0,IF('Compétences raciales + carrière'!B36&gt;0,Compétences!H10,0),'Bonus Humain'!D11)</f>
        <v>0</v>
      </c>
      <c r="N10" t="e">
        <f ca="1">IF(M10='Bonus Humain'!D11,Compétences!I10-1,VLOOKUP(M10,H10:J67,2,FALSE))</f>
        <v>#N/A</v>
      </c>
      <c r="O10" t="e">
        <f t="shared" ca="1" si="0"/>
        <v>#N/A</v>
      </c>
      <c r="P10">
        <f>'Nom du personnage'!$U$51</f>
        <v>0</v>
      </c>
      <c r="Q10" s="2" t="s">
        <v>141</v>
      </c>
      <c r="R10" s="2" t="s">
        <v>192</v>
      </c>
      <c r="T10" s="2" t="str">
        <f t="shared" si="1"/>
        <v>N/A</v>
      </c>
      <c r="U10">
        <v>-1</v>
      </c>
      <c r="V10" cm="1">
        <f t="array" ref="V10:AE10">'Nom du personnage'!$F$51:$O$51</f>
        <v>0</v>
      </c>
      <c r="W10">
        <v>0</v>
      </c>
      <c r="X10">
        <v>0</v>
      </c>
      <c r="Y10">
        <v>0</v>
      </c>
      <c r="Z10">
        <v>0</v>
      </c>
      <c r="AA10">
        <v>0</v>
      </c>
      <c r="AB10">
        <v>0</v>
      </c>
      <c r="AC10">
        <v>0</v>
      </c>
      <c r="AD10">
        <v>0</v>
      </c>
      <c r="AE10">
        <v>0</v>
      </c>
    </row>
    <row r="11" spans="1:31" hidden="1">
      <c r="A11" s="2" t="s">
        <v>30</v>
      </c>
      <c r="B11" s="2" t="s">
        <v>206</v>
      </c>
      <c r="C11">
        <v>3</v>
      </c>
      <c r="D11">
        <v>5</v>
      </c>
      <c r="H11" s="2" t="s">
        <v>169</v>
      </c>
      <c r="I11">
        <v>6</v>
      </c>
      <c r="J11" s="2">
        <f>'Nom du personnage'!$U$51</f>
        <v>0</v>
      </c>
      <c r="K11" s="2">
        <v>5</v>
      </c>
      <c r="M11" s="6">
        <f>IF('Bonus Humain'!H12=0,IF(ISERROR(IF(VLOOKUP('Nom du personnage'!$U$51,Données!P3:S30,2,FALSE)&gt;0,Compétences!H11,0)=TRUE),0,IF(VLOOKUP('Nom du personnage'!$U$51,Données!P3:S30,2,FALSE)&gt;0,Compétences!H11,0)),'Bonus Humain'!D12)</f>
        <v>0</v>
      </c>
      <c r="N11" t="e">
        <f>IF(M11='Bonus Humain'!D12,Compétences!I11-1,VLOOKUP(M11,H11:J68,2,FALSE))</f>
        <v>#N/A</v>
      </c>
      <c r="O11" t="e">
        <f t="shared" si="0"/>
        <v>#N/A</v>
      </c>
      <c r="P11">
        <f>'Nom du personnage'!$U$51</f>
        <v>0</v>
      </c>
      <c r="Q11" s="2" t="s">
        <v>141</v>
      </c>
      <c r="R11" s="2" t="s">
        <v>193</v>
      </c>
      <c r="T11" s="2" t="str">
        <f t="shared" si="1"/>
        <v>N/A</v>
      </c>
      <c r="U11">
        <v>-1</v>
      </c>
      <c r="V11" cm="1">
        <f t="array" ref="V11:AE11">'Nom du personnage'!$F$51:$O$51</f>
        <v>0</v>
      </c>
      <c r="W11">
        <v>0</v>
      </c>
      <c r="X11">
        <v>0</v>
      </c>
      <c r="Y11">
        <v>0</v>
      </c>
      <c r="Z11">
        <v>0</v>
      </c>
      <c r="AA11">
        <v>0</v>
      </c>
      <c r="AB11">
        <v>0</v>
      </c>
      <c r="AC11">
        <v>0</v>
      </c>
      <c r="AD11">
        <v>0</v>
      </c>
      <c r="AE11">
        <v>0</v>
      </c>
    </row>
    <row r="12" spans="1:31" hidden="1">
      <c r="A12" s="2" t="s">
        <v>30</v>
      </c>
      <c r="B12" s="2" t="s">
        <v>207</v>
      </c>
      <c r="C12" s="2">
        <v>2</v>
      </c>
      <c r="D12">
        <v>5</v>
      </c>
      <c r="H12" s="2" t="s">
        <v>170</v>
      </c>
      <c r="I12">
        <v>2</v>
      </c>
      <c r="J12" s="2">
        <f>'Nom du personnage'!$U$51</f>
        <v>0</v>
      </c>
      <c r="K12" s="2">
        <v>5</v>
      </c>
      <c r="M12" t="str">
        <f>IF('Bonus Humain'!H13=0,IF(P12=J12,H12,),'Bonus Humain'!D13)</f>
        <v>Bouclier</v>
      </c>
      <c r="N12">
        <f>IF(M12='Bonus Humain'!D13,Compétences!I12-1,VLOOKUP(M12,H12:J69,2,FALSE))</f>
        <v>2</v>
      </c>
      <c r="O12">
        <f t="shared" si="0"/>
        <v>2</v>
      </c>
      <c r="P12">
        <f>'Nom du personnage'!$U$51</f>
        <v>0</v>
      </c>
      <c r="Q12" s="2" t="s">
        <v>141</v>
      </c>
      <c r="R12" s="2" t="s">
        <v>194</v>
      </c>
      <c r="T12" s="2" t="str">
        <f t="shared" si="1"/>
        <v>N/A</v>
      </c>
      <c r="U12">
        <v>-1</v>
      </c>
      <c r="V12" cm="1">
        <f t="array" ref="V12:AE12">'Nom du personnage'!$F$51:$O$51</f>
        <v>0</v>
      </c>
      <c r="W12">
        <v>0</v>
      </c>
      <c r="X12">
        <v>0</v>
      </c>
      <c r="Y12">
        <v>0</v>
      </c>
      <c r="Z12">
        <v>0</v>
      </c>
      <c r="AA12">
        <v>0</v>
      </c>
      <c r="AB12">
        <v>0</v>
      </c>
      <c r="AC12">
        <v>0</v>
      </c>
      <c r="AD12">
        <v>0</v>
      </c>
      <c r="AE12">
        <v>0</v>
      </c>
    </row>
    <row r="13" spans="1:31" hidden="1">
      <c r="A13" s="2" t="s">
        <v>30</v>
      </c>
      <c r="B13" s="2" t="s">
        <v>208</v>
      </c>
      <c r="C13" s="2">
        <v>6</v>
      </c>
      <c r="D13">
        <v>1</v>
      </c>
      <c r="H13" s="2" t="s">
        <v>136</v>
      </c>
      <c r="I13">
        <v>4</v>
      </c>
      <c r="J13" s="2">
        <f>'Nom du personnage'!$U$51</f>
        <v>0</v>
      </c>
      <c r="K13" s="2">
        <v>5</v>
      </c>
      <c r="M13" t="str">
        <f>IF('Bonus Humain'!H14=0,IF(P13=J13,H13,),'Bonus Humain'!D14)</f>
        <v>Bravoure</v>
      </c>
      <c r="N13">
        <f>IF(M13='Bonus Humain'!D14,Compétences!I13-1,VLOOKUP(M13,H13:J70,2,FALSE))</f>
        <v>4</v>
      </c>
      <c r="O13">
        <f t="shared" si="0"/>
        <v>4</v>
      </c>
      <c r="P13">
        <f>'Nom du personnage'!$U$51</f>
        <v>0</v>
      </c>
      <c r="Q13" s="2" t="s">
        <v>141</v>
      </c>
      <c r="R13" s="2" t="s">
        <v>195</v>
      </c>
      <c r="T13" s="2" t="str">
        <f t="shared" si="1"/>
        <v>N/A</v>
      </c>
      <c r="U13">
        <v>-1</v>
      </c>
      <c r="V13" cm="1">
        <f t="array" ref="V13:AE13">'Nom du personnage'!$F$51:$O$51</f>
        <v>0</v>
      </c>
      <c r="W13">
        <v>0</v>
      </c>
      <c r="X13">
        <v>0</v>
      </c>
      <c r="Y13">
        <v>0</v>
      </c>
      <c r="Z13">
        <v>0</v>
      </c>
      <c r="AA13">
        <v>0</v>
      </c>
      <c r="AB13">
        <v>0</v>
      </c>
      <c r="AC13">
        <v>0</v>
      </c>
      <c r="AD13">
        <v>0</v>
      </c>
      <c r="AE13">
        <v>0</v>
      </c>
    </row>
    <row r="14" spans="1:31" hidden="1">
      <c r="A14" s="2" t="s">
        <v>30</v>
      </c>
      <c r="B14" s="2" t="s">
        <v>209</v>
      </c>
      <c r="C14" s="2">
        <v>4</v>
      </c>
      <c r="D14">
        <v>1</v>
      </c>
      <c r="H14" s="2" t="s">
        <v>171</v>
      </c>
      <c r="I14">
        <v>4</v>
      </c>
      <c r="J14" s="2">
        <f>'Nom du personnage'!$U$51</f>
        <v>0</v>
      </c>
      <c r="K14" s="2">
        <v>1</v>
      </c>
      <c r="M14" s="7">
        <f>IF('Bonus Humain'!H15=0,IF('Compétences raciales + carrière'!B29=1,Compétences!H14,0),'Bonus Humain'!D15)</f>
        <v>0</v>
      </c>
      <c r="N14" t="e">
        <f>IF(M14='Bonus Humain'!D15,Compétences!I14-1,VLOOKUP(M14,H14:J71,2,FALSE))</f>
        <v>#N/A</v>
      </c>
      <c r="O14" t="e">
        <f t="shared" si="0"/>
        <v>#N/A</v>
      </c>
      <c r="P14">
        <f>'Nom du personnage'!$U$51</f>
        <v>0</v>
      </c>
      <c r="Q14" s="2" t="s">
        <v>141</v>
      </c>
      <c r="R14" s="2" t="s">
        <v>196</v>
      </c>
      <c r="T14" s="2" t="str">
        <f t="shared" si="1"/>
        <v>N/A</v>
      </c>
      <c r="U14">
        <v>-1</v>
      </c>
      <c r="V14" cm="1">
        <f t="array" ref="V14:AE14">'Nom du personnage'!$F$51:$O$51</f>
        <v>0</v>
      </c>
      <c r="W14">
        <v>0</v>
      </c>
      <c r="X14">
        <v>0</v>
      </c>
      <c r="Y14">
        <v>0</v>
      </c>
      <c r="Z14">
        <v>0</v>
      </c>
      <c r="AA14">
        <v>0</v>
      </c>
      <c r="AB14">
        <v>0</v>
      </c>
      <c r="AC14">
        <v>0</v>
      </c>
      <c r="AD14">
        <v>0</v>
      </c>
      <c r="AE14">
        <v>0</v>
      </c>
    </row>
    <row r="15" spans="1:31" hidden="1">
      <c r="A15" s="2" t="s">
        <v>30</v>
      </c>
      <c r="B15" s="2" t="s">
        <v>211</v>
      </c>
      <c r="C15" s="2">
        <v>4</v>
      </c>
      <c r="D15">
        <v>1</v>
      </c>
      <c r="H15" s="2" t="s">
        <v>137</v>
      </c>
      <c r="I15">
        <v>5</v>
      </c>
      <c r="J15" s="2">
        <f>'Nom du personnage'!$U$51</f>
        <v>0</v>
      </c>
      <c r="K15" s="2">
        <v>5</v>
      </c>
      <c r="M15" s="9">
        <f>Concoction!J20</f>
        <v>0</v>
      </c>
      <c r="N15" t="e">
        <f>IF(M15='Bonus Humain'!D16,Compétences!I15-1,VLOOKUP(M15,H15:J72,2,FALSE))</f>
        <v>#N/A</v>
      </c>
      <c r="O15" t="e">
        <f>N15</f>
        <v>#N/A</v>
      </c>
      <c r="P15">
        <f>'Nom du personnage'!$U$51</f>
        <v>0</v>
      </c>
      <c r="Q15" s="2" t="s">
        <v>141</v>
      </c>
      <c r="R15" s="2" t="s">
        <v>197</v>
      </c>
      <c r="T15" s="2" t="str">
        <f t="shared" si="1"/>
        <v>N/A</v>
      </c>
      <c r="U15">
        <v>-1</v>
      </c>
      <c r="V15" cm="1">
        <f t="array" ref="V15:AE15">'Nom du personnage'!$F$51:$O$51</f>
        <v>0</v>
      </c>
      <c r="W15">
        <v>0</v>
      </c>
      <c r="X15">
        <v>0</v>
      </c>
      <c r="Y15">
        <v>0</v>
      </c>
      <c r="Z15">
        <v>0</v>
      </c>
      <c r="AA15">
        <v>0</v>
      </c>
      <c r="AB15">
        <v>0</v>
      </c>
      <c r="AC15">
        <v>0</v>
      </c>
      <c r="AD15">
        <v>0</v>
      </c>
      <c r="AE15">
        <v>0</v>
      </c>
    </row>
    <row r="16" spans="1:31" hidden="1">
      <c r="A16" s="2" t="s">
        <v>30</v>
      </c>
      <c r="B16" s="2" t="s">
        <v>210</v>
      </c>
      <c r="C16" s="2">
        <v>6</v>
      </c>
      <c r="D16">
        <v>1</v>
      </c>
      <c r="H16" s="2" t="s">
        <v>138</v>
      </c>
      <c r="I16">
        <v>5</v>
      </c>
      <c r="J16" s="2">
        <f>'Nom du personnage'!$U$51</f>
        <v>0</v>
      </c>
      <c r="K16" s="2">
        <v>5</v>
      </c>
      <c r="M16" s="9">
        <f>Concoction!J21</f>
        <v>0</v>
      </c>
      <c r="N16" t="e">
        <f>IF(M16='Bonus Humain'!D17,Compétences!I16-1,VLOOKUP(M16,H16:J73,2,FALSE))</f>
        <v>#N/A</v>
      </c>
      <c r="O16" t="e">
        <f t="shared" ref="O16:O17" si="2">N16</f>
        <v>#N/A</v>
      </c>
      <c r="P16">
        <f>'Nom du personnage'!$U$51</f>
        <v>0</v>
      </c>
      <c r="Q16" s="2" t="s">
        <v>142</v>
      </c>
      <c r="R16" s="2" t="s">
        <v>186</v>
      </c>
      <c r="T16" s="2" t="str">
        <f t="shared" si="1"/>
        <v>N/A</v>
      </c>
      <c r="U16">
        <v>-1</v>
      </c>
      <c r="V16" cm="1">
        <f t="array" ref="V16:AE16">'Nom du personnage'!$F$51:$O$51</f>
        <v>0</v>
      </c>
      <c r="W16">
        <v>0</v>
      </c>
      <c r="X16">
        <v>0</v>
      </c>
      <c r="Y16">
        <v>0</v>
      </c>
      <c r="Z16">
        <v>0</v>
      </c>
      <c r="AA16">
        <v>0</v>
      </c>
      <c r="AB16">
        <v>0</v>
      </c>
      <c r="AC16">
        <v>0</v>
      </c>
      <c r="AD16">
        <v>0</v>
      </c>
      <c r="AE16">
        <v>0</v>
      </c>
    </row>
    <row r="17" spans="1:31" hidden="1">
      <c r="A17" s="2" t="s">
        <v>30</v>
      </c>
      <c r="B17" s="2" t="s">
        <v>212</v>
      </c>
      <c r="C17" s="2">
        <v>6</v>
      </c>
      <c r="D17">
        <v>1</v>
      </c>
      <c r="H17" s="2" t="s">
        <v>139</v>
      </c>
      <c r="I17">
        <v>5</v>
      </c>
      <c r="J17" s="2">
        <f>'Nom du personnage'!$U$51</f>
        <v>0</v>
      </c>
      <c r="K17" s="2">
        <v>5</v>
      </c>
      <c r="M17" s="9">
        <f>Concoction!J22</f>
        <v>0</v>
      </c>
      <c r="N17" t="e">
        <f>IF(M17='Bonus Humain'!D18,Compétences!I17-1,VLOOKUP(M17,H17:J74,2,FALSE))</f>
        <v>#N/A</v>
      </c>
      <c r="O17" t="e">
        <f t="shared" si="2"/>
        <v>#N/A</v>
      </c>
      <c r="P17">
        <f>'Nom du personnage'!$U$51</f>
        <v>0</v>
      </c>
      <c r="Q17" s="2" t="s">
        <v>142</v>
      </c>
      <c r="R17" s="2" t="s">
        <v>187</v>
      </c>
      <c r="T17" s="2" t="str">
        <f t="shared" si="1"/>
        <v>N/A</v>
      </c>
      <c r="U17">
        <v>-1</v>
      </c>
      <c r="V17" cm="1">
        <f t="array" ref="V17:AE17">'Nom du personnage'!$F$51:$O$51</f>
        <v>0</v>
      </c>
      <c r="W17">
        <v>0</v>
      </c>
      <c r="X17">
        <v>0</v>
      </c>
      <c r="Y17">
        <v>0</v>
      </c>
      <c r="Z17">
        <v>0</v>
      </c>
      <c r="AA17">
        <v>0</v>
      </c>
      <c r="AB17">
        <v>0</v>
      </c>
      <c r="AC17">
        <v>0</v>
      </c>
      <c r="AD17">
        <v>0</v>
      </c>
      <c r="AE17">
        <v>0</v>
      </c>
    </row>
    <row r="18" spans="1:31" hidden="1">
      <c r="A18" s="2" t="s">
        <v>30</v>
      </c>
      <c r="B18" s="2" t="s">
        <v>213</v>
      </c>
      <c r="C18" s="2">
        <v>6</v>
      </c>
      <c r="D18">
        <v>1</v>
      </c>
      <c r="H18" s="2" t="s">
        <v>172</v>
      </c>
      <c r="I18">
        <v>3</v>
      </c>
      <c r="J18" s="2">
        <f>'Nom du personnage'!$U$51</f>
        <v>0</v>
      </c>
      <c r="K18" s="2">
        <v>5</v>
      </c>
      <c r="M18" t="str">
        <f>IF('Bonus Humain'!H19=0,IF(P18=J18,H18,),'Bonus Humain'!D19)</f>
        <v>Endurance Simple</v>
      </c>
      <c r="N18">
        <f>IF(M18='Bonus Humain'!D19,Compétences!I18-1,VLOOKUP(M18,H18:J75,2,FALSE))</f>
        <v>3</v>
      </c>
      <c r="O18">
        <f>VLOOKUP(M18,H18:J75,2,FALSE)</f>
        <v>3</v>
      </c>
      <c r="P18">
        <f>'Nom du personnage'!$U$51</f>
        <v>0</v>
      </c>
      <c r="Q18" s="2" t="s">
        <v>142</v>
      </c>
      <c r="R18" s="2" t="s">
        <v>188</v>
      </c>
      <c r="T18" s="2" t="str">
        <f t="shared" si="1"/>
        <v>N/A</v>
      </c>
      <c r="U18">
        <v>-1</v>
      </c>
      <c r="V18" cm="1">
        <f t="array" ref="V18:AE18">'Nom du personnage'!$F$51:$O$51</f>
        <v>0</v>
      </c>
      <c r="W18">
        <v>0</v>
      </c>
      <c r="X18">
        <v>0</v>
      </c>
      <c r="Y18">
        <v>0</v>
      </c>
      <c r="Z18">
        <v>0</v>
      </c>
      <c r="AA18">
        <v>0</v>
      </c>
      <c r="AB18">
        <v>0</v>
      </c>
      <c r="AC18">
        <v>0</v>
      </c>
      <c r="AD18">
        <v>0</v>
      </c>
      <c r="AE18">
        <v>0</v>
      </c>
    </row>
    <row r="19" spans="1:31" hidden="1">
      <c r="A19" s="2" t="s">
        <v>32</v>
      </c>
      <c r="B19" s="2" t="s">
        <v>227</v>
      </c>
      <c r="C19" s="2">
        <v>3</v>
      </c>
      <c r="D19">
        <v>5</v>
      </c>
      <c r="H19" s="2" t="s">
        <v>173</v>
      </c>
      <c r="I19">
        <v>3</v>
      </c>
      <c r="J19" s="2">
        <f>'Nom du personnage'!$U$51</f>
        <v>0</v>
      </c>
      <c r="K19" s="2">
        <v>5</v>
      </c>
      <c r="M19" t="str">
        <f>IF('Bonus Humain'!H20=0,IF(P19=J19,H19,),'Bonus Humain'!D20)</f>
        <v>Forge</v>
      </c>
      <c r="N19">
        <f>IF(M19='Bonus Humain'!D20,Compétences!I19-1,VLOOKUP(M19,H19:J76,2,FALSE))</f>
        <v>3</v>
      </c>
      <c r="O19">
        <f>VLOOKUP(M19,H19:J76,2,FALSE)</f>
        <v>3</v>
      </c>
      <c r="P19">
        <f>'Nom du personnage'!$U$51</f>
        <v>0</v>
      </c>
      <c r="Q19" s="2" t="s">
        <v>142</v>
      </c>
      <c r="R19" s="2" t="s">
        <v>189</v>
      </c>
      <c r="T19" s="2" t="str">
        <f t="shared" si="1"/>
        <v>N/A</v>
      </c>
      <c r="U19">
        <v>-1</v>
      </c>
      <c r="V19" cm="1">
        <f t="array" ref="V19:AE19">'Nom du personnage'!$F$51:$O$51</f>
        <v>0</v>
      </c>
      <c r="W19">
        <v>0</v>
      </c>
      <c r="X19">
        <v>0</v>
      </c>
      <c r="Y19">
        <v>0</v>
      </c>
      <c r="Z19">
        <v>0</v>
      </c>
      <c r="AA19">
        <v>0</v>
      </c>
      <c r="AB19">
        <v>0</v>
      </c>
      <c r="AC19">
        <v>0</v>
      </c>
      <c r="AD19">
        <v>0</v>
      </c>
      <c r="AE19">
        <v>0</v>
      </c>
    </row>
    <row r="20" spans="1:31" hidden="1">
      <c r="A20" s="2" t="s">
        <v>32</v>
      </c>
      <c r="B20" s="2" t="s">
        <v>199</v>
      </c>
      <c r="C20" s="2">
        <v>6</v>
      </c>
      <c r="D20">
        <v>1</v>
      </c>
      <c r="H20" s="2" t="s">
        <v>134</v>
      </c>
      <c r="I20">
        <v>1</v>
      </c>
      <c r="J20" s="2">
        <f>'Nom du personnage'!$U$51</f>
        <v>0</v>
      </c>
      <c r="K20" s="2">
        <v>5</v>
      </c>
      <c r="M20" t="str">
        <f>IF(P20=J20,H20,)</f>
        <v>Héraldique</v>
      </c>
      <c r="N20">
        <f>IF(M20='Bonus Humain'!D21,Compétences!I20-1,VLOOKUP(M20,H20:J77,2,FALSE))</f>
        <v>1</v>
      </c>
      <c r="O20">
        <f>VLOOKUP(M20,H20:J77,2,FALSE)</f>
        <v>1</v>
      </c>
      <c r="P20">
        <f>'Nom du personnage'!$U$51</f>
        <v>0</v>
      </c>
      <c r="Q20" s="2" t="s">
        <v>142</v>
      </c>
      <c r="R20" s="2" t="s">
        <v>190</v>
      </c>
      <c r="T20" s="2" t="str">
        <f t="shared" si="1"/>
        <v>N/A</v>
      </c>
      <c r="U20">
        <v>-1</v>
      </c>
      <c r="V20" cm="1">
        <f t="array" ref="V20:AE20">'Nom du personnage'!$F$51:$O$51</f>
        <v>0</v>
      </c>
      <c r="W20">
        <v>0</v>
      </c>
      <c r="X20">
        <v>0</v>
      </c>
      <c r="Y20">
        <v>0</v>
      </c>
      <c r="Z20">
        <v>0</v>
      </c>
      <c r="AA20">
        <v>0</v>
      </c>
      <c r="AB20">
        <v>0</v>
      </c>
      <c r="AC20">
        <v>0</v>
      </c>
      <c r="AD20">
        <v>0</v>
      </c>
      <c r="AE20">
        <v>0</v>
      </c>
    </row>
    <row r="21" spans="1:31" hidden="1">
      <c r="A21" s="2" t="s">
        <v>32</v>
      </c>
      <c r="B21" s="2" t="s">
        <v>200</v>
      </c>
      <c r="C21" s="2">
        <v>6</v>
      </c>
      <c r="D21">
        <v>1</v>
      </c>
      <c r="H21" s="2" t="s">
        <v>174</v>
      </c>
      <c r="I21">
        <v>3</v>
      </c>
      <c r="J21" s="2">
        <f>'Nom du personnage'!$U$51</f>
        <v>0</v>
      </c>
      <c r="K21" s="2">
        <v>5</v>
      </c>
      <c r="M21" s="6" t="e">
        <f ca="1">IF('Bonus Humain'!H22=0,IF(ISERROR(IF(AND(ISTEXT('Nom du personnage'!F54)=TRUE,'Nom du personnage'!S60&gt;0),H21,))=TRUE,0,IF(AND(ISTEXT('Nom du personnage'!F54)=TRUE,'Nom du personnage'!S60&gt;0),H21,)),'Bonus Humain'!D22)</f>
        <v>#N/A</v>
      </c>
      <c r="N21" t="e">
        <f ca="1">IF(M21='Bonus Humain'!D22,Compétences!I21-1,VLOOKUP(M21,H21:J78,2,FALSE))</f>
        <v>#N/A</v>
      </c>
      <c r="O21" t="e">
        <f ca="1">VLOOKUP(M21,H21:J78,2,FALSE)</f>
        <v>#N/A</v>
      </c>
      <c r="P21">
        <f>'Nom du personnage'!$U$51</f>
        <v>0</v>
      </c>
      <c r="Q21" s="2" t="s">
        <v>142</v>
      </c>
      <c r="R21" s="2" t="s">
        <v>191</v>
      </c>
      <c r="T21" s="2" t="str">
        <f t="shared" si="1"/>
        <v>N/A</v>
      </c>
      <c r="U21">
        <v>-1</v>
      </c>
      <c r="V21" cm="1">
        <f t="array" ref="V21:AE21">'Nom du personnage'!$F$51:$O$51</f>
        <v>0</v>
      </c>
      <c r="W21">
        <v>0</v>
      </c>
      <c r="X21">
        <v>0</v>
      </c>
      <c r="Y21">
        <v>0</v>
      </c>
      <c r="Z21">
        <v>0</v>
      </c>
      <c r="AA21">
        <v>0</v>
      </c>
      <c r="AB21">
        <v>0</v>
      </c>
      <c r="AC21">
        <v>0</v>
      </c>
      <c r="AD21">
        <v>0</v>
      </c>
      <c r="AE21">
        <v>0</v>
      </c>
    </row>
    <row r="22" spans="1:31" hidden="1">
      <c r="A22" s="2" t="s">
        <v>32</v>
      </c>
      <c r="B22" s="2" t="s">
        <v>202</v>
      </c>
      <c r="C22" s="2">
        <v>5</v>
      </c>
      <c r="D22">
        <v>5</v>
      </c>
      <c r="H22" s="2" t="s">
        <v>742</v>
      </c>
      <c r="I22">
        <v>2</v>
      </c>
      <c r="J22" s="2">
        <f>'Nom du personnage'!$U$51</f>
        <v>0</v>
      </c>
      <c r="K22" s="2">
        <v>5</v>
      </c>
      <c r="M22" s="9" t="str">
        <f>IF('Bonus Humain'!H23=0,+'Lecture et écriture'!AS4,'Bonus Humain'!D23)</f>
        <v>Lecture et écriture - Commun</v>
      </c>
      <c r="N22">
        <f>IF(M22='Bonus Humain'!D23,Compétences!I22-1,VLOOKUP(M22,H22:J79,2,FALSE))</f>
        <v>2</v>
      </c>
      <c r="O22">
        <f>N22</f>
        <v>2</v>
      </c>
      <c r="P22">
        <f>'Nom du personnage'!$U$51</f>
        <v>0</v>
      </c>
      <c r="Q22" s="2" t="s">
        <v>142</v>
      </c>
      <c r="R22" s="2" t="s">
        <v>192</v>
      </c>
      <c r="T22" s="2" t="str">
        <f t="shared" si="1"/>
        <v>N/A</v>
      </c>
      <c r="U22">
        <v>-1</v>
      </c>
      <c r="V22" cm="1">
        <f t="array" ref="V22:AE22">'Nom du personnage'!$F$51:$O$51</f>
        <v>0</v>
      </c>
      <c r="W22">
        <v>0</v>
      </c>
      <c r="X22">
        <v>0</v>
      </c>
      <c r="Y22">
        <v>0</v>
      </c>
      <c r="Z22">
        <v>0</v>
      </c>
      <c r="AA22">
        <v>0</v>
      </c>
      <c r="AB22">
        <v>0</v>
      </c>
      <c r="AC22">
        <v>0</v>
      </c>
      <c r="AD22">
        <v>0</v>
      </c>
      <c r="AE22">
        <v>0</v>
      </c>
    </row>
    <row r="23" spans="1:31" hidden="1">
      <c r="A23" s="2" t="s">
        <v>32</v>
      </c>
      <c r="B23" s="2" t="s">
        <v>203</v>
      </c>
      <c r="C23" s="2">
        <v>6</v>
      </c>
      <c r="D23">
        <v>5</v>
      </c>
      <c r="H23" s="2" t="s">
        <v>743</v>
      </c>
      <c r="I23">
        <v>2</v>
      </c>
      <c r="J23" s="2">
        <f>'Nom du personnage'!$U$51</f>
        <v>0</v>
      </c>
      <c r="K23" s="2">
        <v>5</v>
      </c>
      <c r="M23" s="9" t="str">
        <f>IF('Bonus Humain'!H24=0,+'Lecture et écriture'!AS5,'Bonus Humain'!D24)</f>
        <v>Lecture et écriture - Elfique</v>
      </c>
      <c r="N23">
        <f>IF(M23='Bonus Humain'!D24,Compétences!I23-1,VLOOKUP(M23,H23:J80,2,FALSE))</f>
        <v>2</v>
      </c>
      <c r="O23">
        <f t="shared" ref="O23:O33" si="3">N23</f>
        <v>2</v>
      </c>
      <c r="P23">
        <f>'Nom du personnage'!$U$51</f>
        <v>0</v>
      </c>
      <c r="Q23" s="2" t="s">
        <v>142</v>
      </c>
      <c r="R23" s="2" t="s">
        <v>193</v>
      </c>
      <c r="T23" s="2" t="str">
        <f t="shared" si="1"/>
        <v>N/A</v>
      </c>
      <c r="U23">
        <v>-1</v>
      </c>
      <c r="V23" cm="1">
        <f t="array" ref="V23:AE23">'Nom du personnage'!$F$51:$O$51</f>
        <v>0</v>
      </c>
      <c r="W23">
        <v>0</v>
      </c>
      <c r="X23">
        <v>0</v>
      </c>
      <c r="Y23">
        <v>0</v>
      </c>
      <c r="Z23">
        <v>0</v>
      </c>
      <c r="AA23">
        <v>0</v>
      </c>
      <c r="AB23">
        <v>0</v>
      </c>
      <c r="AC23">
        <v>0</v>
      </c>
      <c r="AD23">
        <v>0</v>
      </c>
      <c r="AE23">
        <v>0</v>
      </c>
    </row>
    <row r="24" spans="1:31" hidden="1">
      <c r="A24" s="2" t="s">
        <v>32</v>
      </c>
      <c r="B24" s="2" t="s">
        <v>228</v>
      </c>
      <c r="C24" s="2">
        <v>4</v>
      </c>
      <c r="D24">
        <v>5</v>
      </c>
      <c r="H24" s="2" t="s">
        <v>744</v>
      </c>
      <c r="I24">
        <v>2</v>
      </c>
      <c r="J24" s="2">
        <f>'Nom du personnage'!$U$51</f>
        <v>0</v>
      </c>
      <c r="K24" s="2">
        <v>5</v>
      </c>
      <c r="M24" s="9" t="str">
        <f>IF('Bonus Humain'!H25=0,+'Lecture et écriture'!AS6,'Bonus Humain'!D25)</f>
        <v>Lecture et écriture - Rakuzan</v>
      </c>
      <c r="N24">
        <f>IF(M24='Bonus Humain'!D25,Compétences!I24-1,VLOOKUP(M24,H24:J81,2,FALSE))</f>
        <v>2</v>
      </c>
      <c r="O24">
        <f t="shared" si="3"/>
        <v>2</v>
      </c>
      <c r="P24">
        <f>'Nom du personnage'!$U$51</f>
        <v>0</v>
      </c>
      <c r="Q24" s="2" t="s">
        <v>142</v>
      </c>
      <c r="R24" s="2" t="s">
        <v>194</v>
      </c>
      <c r="T24" s="2" t="str">
        <f t="shared" si="1"/>
        <v>N/A</v>
      </c>
      <c r="U24">
        <v>-1</v>
      </c>
      <c r="V24" cm="1">
        <f t="array" ref="V24:AE24">'Nom du personnage'!$F$51:$O$51</f>
        <v>0</v>
      </c>
      <c r="W24">
        <v>0</v>
      </c>
      <c r="X24">
        <v>0</v>
      </c>
      <c r="Y24">
        <v>0</v>
      </c>
      <c r="Z24">
        <v>0</v>
      </c>
      <c r="AA24">
        <v>0</v>
      </c>
      <c r="AB24">
        <v>0</v>
      </c>
      <c r="AC24">
        <v>0</v>
      </c>
      <c r="AD24">
        <v>0</v>
      </c>
      <c r="AE24">
        <v>0</v>
      </c>
    </row>
    <row r="25" spans="1:31" hidden="1">
      <c r="A25" s="2" t="s">
        <v>32</v>
      </c>
      <c r="B25" s="2" t="s">
        <v>204</v>
      </c>
      <c r="C25" s="2">
        <v>5</v>
      </c>
      <c r="D25">
        <v>1</v>
      </c>
      <c r="H25" s="2" t="s">
        <v>745</v>
      </c>
      <c r="I25">
        <v>2</v>
      </c>
      <c r="J25" s="2">
        <f>'Nom du personnage'!$U$51</f>
        <v>0</v>
      </c>
      <c r="K25" s="2">
        <v>5</v>
      </c>
      <c r="M25" s="9" t="str">
        <f>IF('Bonus Humain'!H26=0,+'Lecture et écriture'!AS7,'Bonus Humain'!D26)</f>
        <v>Lecture et écriture - Infernal</v>
      </c>
      <c r="N25">
        <f>IF(M25='Bonus Humain'!D26,Compétences!I25-1,VLOOKUP(M25,H25:J82,2,FALSE))</f>
        <v>2</v>
      </c>
      <c r="O25">
        <f t="shared" si="3"/>
        <v>2</v>
      </c>
      <c r="P25">
        <f>'Nom du personnage'!$U$51</f>
        <v>0</v>
      </c>
      <c r="Q25" s="2" t="s">
        <v>142</v>
      </c>
      <c r="R25" s="2" t="s">
        <v>195</v>
      </c>
      <c r="T25" s="2" t="str">
        <f t="shared" si="1"/>
        <v>N/A</v>
      </c>
      <c r="U25">
        <v>-1</v>
      </c>
      <c r="V25" cm="1">
        <f t="array" ref="V25:AE25">'Nom du personnage'!$F$51:$O$51</f>
        <v>0</v>
      </c>
      <c r="W25">
        <v>0</v>
      </c>
      <c r="X25">
        <v>0</v>
      </c>
      <c r="Y25">
        <v>0</v>
      </c>
      <c r="Z25">
        <v>0</v>
      </c>
      <c r="AA25">
        <v>0</v>
      </c>
      <c r="AB25">
        <v>0</v>
      </c>
      <c r="AC25">
        <v>0</v>
      </c>
      <c r="AD25">
        <v>0</v>
      </c>
      <c r="AE25">
        <v>0</v>
      </c>
    </row>
    <row r="26" spans="1:31" hidden="1">
      <c r="A26" s="2" t="s">
        <v>32</v>
      </c>
      <c r="B26" s="2" t="s">
        <v>205</v>
      </c>
      <c r="C26" s="2">
        <v>5</v>
      </c>
      <c r="D26">
        <v>5</v>
      </c>
      <c r="H26" s="2" t="s">
        <v>746</v>
      </c>
      <c r="I26">
        <v>2</v>
      </c>
      <c r="J26" s="2">
        <f>'Nom du personnage'!$U$51</f>
        <v>0</v>
      </c>
      <c r="K26" s="2">
        <v>5</v>
      </c>
      <c r="M26" s="9" t="str">
        <f>IF('Bonus Humain'!H27=0,+'Lecture et écriture'!AS8,'Bonus Humain'!D27)</f>
        <v>Lecture et écriture - Céleste</v>
      </c>
      <c r="N26">
        <f>IF(M26='Bonus Humain'!D27,Compétences!I26-1,VLOOKUP(M26,H26:J83,2,FALSE))</f>
        <v>2</v>
      </c>
      <c r="O26">
        <f t="shared" si="3"/>
        <v>2</v>
      </c>
      <c r="P26">
        <f>'Nom du personnage'!$U$51</f>
        <v>0</v>
      </c>
      <c r="Q26" s="2" t="s">
        <v>142</v>
      </c>
      <c r="R26" s="2" t="s">
        <v>196</v>
      </c>
      <c r="T26" s="2" t="str">
        <f t="shared" si="1"/>
        <v>N/A</v>
      </c>
      <c r="U26">
        <v>-1</v>
      </c>
      <c r="V26" cm="1">
        <f t="array" ref="V26:AE26">'Nom du personnage'!$F$51:$O$51</f>
        <v>0</v>
      </c>
      <c r="W26">
        <v>0</v>
      </c>
      <c r="X26">
        <v>0</v>
      </c>
      <c r="Y26">
        <v>0</v>
      </c>
      <c r="Z26">
        <v>0</v>
      </c>
      <c r="AA26">
        <v>0</v>
      </c>
      <c r="AB26">
        <v>0</v>
      </c>
      <c r="AC26">
        <v>0</v>
      </c>
      <c r="AD26">
        <v>0</v>
      </c>
      <c r="AE26">
        <v>0</v>
      </c>
    </row>
    <row r="27" spans="1:31" hidden="1">
      <c r="A27" s="2" t="s">
        <v>32</v>
      </c>
      <c r="B27" s="2" t="s">
        <v>229</v>
      </c>
      <c r="C27" s="2">
        <v>6</v>
      </c>
      <c r="D27">
        <v>5</v>
      </c>
      <c r="H27" s="2" t="s">
        <v>747</v>
      </c>
      <c r="I27">
        <v>2</v>
      </c>
      <c r="J27" s="2">
        <f>'Nom du personnage'!$U$51</f>
        <v>0</v>
      </c>
      <c r="K27" s="2">
        <v>5</v>
      </c>
      <c r="M27" s="9" t="str">
        <f>IF('Bonus Humain'!H28=0,+'Lecture et écriture'!AS9,'Bonus Humain'!D28)</f>
        <v>Lecture et écriture - Outremonde</v>
      </c>
      <c r="N27">
        <f>IF(M27='Bonus Humain'!D28,Compétences!I27-1,VLOOKUP(M27,H27:J84,2,FALSE))</f>
        <v>2</v>
      </c>
      <c r="O27">
        <f t="shared" si="3"/>
        <v>2</v>
      </c>
      <c r="P27">
        <f>'Nom du personnage'!$U$51</f>
        <v>0</v>
      </c>
      <c r="Q27" s="2" t="s">
        <v>142</v>
      </c>
      <c r="R27" s="2" t="s">
        <v>197</v>
      </c>
      <c r="T27" s="2" t="str">
        <f t="shared" si="1"/>
        <v>N/A</v>
      </c>
      <c r="U27">
        <v>-1</v>
      </c>
      <c r="V27" cm="1">
        <f t="array" ref="V27:AE27">'Nom du personnage'!$F$51:$O$51</f>
        <v>0</v>
      </c>
      <c r="W27">
        <v>0</v>
      </c>
      <c r="X27">
        <v>0</v>
      </c>
      <c r="Y27">
        <v>0</v>
      </c>
      <c r="Z27">
        <v>0</v>
      </c>
      <c r="AA27">
        <v>0</v>
      </c>
      <c r="AB27">
        <v>0</v>
      </c>
      <c r="AC27">
        <v>0</v>
      </c>
      <c r="AD27">
        <v>0</v>
      </c>
      <c r="AE27">
        <v>0</v>
      </c>
    </row>
    <row r="28" spans="1:31" hidden="1">
      <c r="A28" s="2" t="s">
        <v>32</v>
      </c>
      <c r="B28" s="2" t="s">
        <v>206</v>
      </c>
      <c r="C28" s="2">
        <v>3</v>
      </c>
      <c r="D28">
        <v>5</v>
      </c>
      <c r="H28" s="2" t="s">
        <v>748</v>
      </c>
      <c r="I28">
        <v>2</v>
      </c>
      <c r="J28" s="2">
        <f>'Nom du personnage'!$U$51</f>
        <v>0</v>
      </c>
      <c r="K28" s="2">
        <v>5</v>
      </c>
      <c r="M28" s="9" t="str">
        <f>IF('Bonus Humain'!H29=0,+'Lecture et écriture'!AS10,'Bonus Humain'!D29)</f>
        <v>Lecture et écriture - Vermilangue</v>
      </c>
      <c r="N28">
        <f>IF(M28='Bonus Humain'!D29,Compétences!I28-1,VLOOKUP(M28,H28:J85,2,FALSE))</f>
        <v>2</v>
      </c>
      <c r="O28">
        <f t="shared" si="3"/>
        <v>2</v>
      </c>
      <c r="P28">
        <f>'Nom du personnage'!$U$51</f>
        <v>0</v>
      </c>
      <c r="Q28" s="2" t="s">
        <v>142</v>
      </c>
      <c r="R28" s="2" t="s">
        <v>236</v>
      </c>
      <c r="T28" s="2" t="str">
        <f t="shared" si="1"/>
        <v>N/A</v>
      </c>
      <c r="U28">
        <v>-1</v>
      </c>
      <c r="V28" cm="1">
        <f t="array" ref="V28:AE28">'Nom du personnage'!$F$51:$O$51</f>
        <v>0</v>
      </c>
      <c r="W28">
        <v>0</v>
      </c>
      <c r="X28">
        <v>0</v>
      </c>
      <c r="Y28">
        <v>0</v>
      </c>
      <c r="Z28">
        <v>0</v>
      </c>
      <c r="AA28">
        <v>0</v>
      </c>
      <c r="AB28">
        <v>0</v>
      </c>
      <c r="AC28">
        <v>0</v>
      </c>
      <c r="AD28">
        <v>0</v>
      </c>
      <c r="AE28">
        <v>0</v>
      </c>
    </row>
    <row r="29" spans="1:31" hidden="1">
      <c r="A29" s="2" t="s">
        <v>32</v>
      </c>
      <c r="B29" s="2" t="s">
        <v>230</v>
      </c>
      <c r="C29" s="2">
        <v>7</v>
      </c>
      <c r="D29">
        <v>5</v>
      </c>
      <c r="H29" s="2" t="s">
        <v>749</v>
      </c>
      <c r="I29">
        <v>2</v>
      </c>
      <c r="J29" s="2">
        <f>'Nom du personnage'!$U$51</f>
        <v>0</v>
      </c>
      <c r="K29" s="2">
        <v>5</v>
      </c>
      <c r="M29" s="9" t="str">
        <f>IF('Bonus Humain'!H30=0,+'Lecture et écriture'!AS11,'Bonus Humain'!D30)</f>
        <v>Lecture et écriture - Orque</v>
      </c>
      <c r="N29">
        <f>IF(M29='Bonus Humain'!D30,Compétences!I29-1,VLOOKUP(M29,H29:J86,2,FALSE))</f>
        <v>2</v>
      </c>
      <c r="O29">
        <f t="shared" si="3"/>
        <v>2</v>
      </c>
      <c r="P29">
        <f>'Nom du personnage'!$U$51</f>
        <v>0</v>
      </c>
      <c r="Q29" s="2" t="s">
        <v>143</v>
      </c>
      <c r="R29" s="2" t="s">
        <v>240</v>
      </c>
      <c r="T29" s="2" t="str">
        <f t="shared" si="1"/>
        <v>N/A</v>
      </c>
      <c r="U29">
        <v>-1</v>
      </c>
      <c r="V29" cm="1">
        <f t="array" ref="V29:AE29">'Nom du personnage'!$F$51:$O$51</f>
        <v>0</v>
      </c>
      <c r="W29">
        <v>0</v>
      </c>
      <c r="X29">
        <v>0</v>
      </c>
      <c r="Y29">
        <v>0</v>
      </c>
      <c r="Z29">
        <v>0</v>
      </c>
      <c r="AA29">
        <v>0</v>
      </c>
      <c r="AB29">
        <v>0</v>
      </c>
      <c r="AC29">
        <v>0</v>
      </c>
      <c r="AD29">
        <v>0</v>
      </c>
      <c r="AE29">
        <v>0</v>
      </c>
    </row>
    <row r="30" spans="1:31" hidden="1">
      <c r="A30" s="2" t="s">
        <v>32</v>
      </c>
      <c r="B30" s="2" t="s">
        <v>207</v>
      </c>
      <c r="C30" s="2">
        <v>2</v>
      </c>
      <c r="D30">
        <v>5</v>
      </c>
      <c r="H30" s="2" t="s">
        <v>751</v>
      </c>
      <c r="I30">
        <v>2</v>
      </c>
      <c r="J30" s="2">
        <f>'Nom du personnage'!$U$51</f>
        <v>0</v>
      </c>
      <c r="K30" s="2">
        <v>5</v>
      </c>
      <c r="M30" s="9" t="str">
        <f>IF('Bonus Humain'!H31=0,+'Lecture et écriture'!AS12,'Bonus Humain'!D31)</f>
        <v>Lecture et écriture - Arcane</v>
      </c>
      <c r="N30">
        <f>IF(M30='Bonus Humain'!D31,Compétences!I30-1,VLOOKUP(M30,H30:J87,2,FALSE))</f>
        <v>2</v>
      </c>
      <c r="O30">
        <f t="shared" si="3"/>
        <v>2</v>
      </c>
      <c r="P30">
        <f>'Nom du personnage'!$U$51</f>
        <v>0</v>
      </c>
      <c r="Q30" s="2" t="s">
        <v>143</v>
      </c>
      <c r="R30" s="2" t="s">
        <v>162</v>
      </c>
      <c r="T30" s="2" t="str">
        <f t="shared" si="1"/>
        <v>N/A</v>
      </c>
      <c r="U30">
        <v>-1</v>
      </c>
      <c r="V30" cm="1">
        <f t="array" ref="V30:AE30">'Nom du personnage'!$F$51:$O$51</f>
        <v>0</v>
      </c>
      <c r="W30">
        <v>0</v>
      </c>
      <c r="X30">
        <v>0</v>
      </c>
      <c r="Y30">
        <v>0</v>
      </c>
      <c r="Z30">
        <v>0</v>
      </c>
      <c r="AA30">
        <v>0</v>
      </c>
      <c r="AB30">
        <v>0</v>
      </c>
      <c r="AC30">
        <v>0</v>
      </c>
      <c r="AD30">
        <v>0</v>
      </c>
      <c r="AE30">
        <v>0</v>
      </c>
    </row>
    <row r="31" spans="1:31" hidden="1">
      <c r="A31" s="2" t="s">
        <v>32</v>
      </c>
      <c r="B31" s="2" t="s">
        <v>231</v>
      </c>
      <c r="C31" s="2">
        <v>6</v>
      </c>
      <c r="D31">
        <v>5</v>
      </c>
      <c r="H31" s="2" t="s">
        <v>750</v>
      </c>
      <c r="I31">
        <v>2</v>
      </c>
      <c r="J31" s="2">
        <f>'Nom du personnage'!$U$51</f>
        <v>0</v>
      </c>
      <c r="K31" s="2">
        <v>5</v>
      </c>
      <c r="M31" s="9" t="str">
        <f>IF('Bonus Humain'!H32=0,+'Lecture et écriture'!AS13,'Bonus Humain'!D32)</f>
        <v>Lecture et écriture - Arborique</v>
      </c>
      <c r="N31">
        <f>IF(M31='Bonus Humain'!D32,Compétences!I31-1,VLOOKUP(M31,H31:J88,2,FALSE))</f>
        <v>2</v>
      </c>
      <c r="O31">
        <f t="shared" si="3"/>
        <v>2</v>
      </c>
      <c r="P31">
        <f>'Nom du personnage'!$U$51</f>
        <v>0</v>
      </c>
      <c r="Q31" s="2" t="s">
        <v>145</v>
      </c>
      <c r="R31" s="2" t="s">
        <v>274</v>
      </c>
      <c r="T31" s="2" t="str">
        <f t="shared" si="1"/>
        <v>N/A</v>
      </c>
      <c r="U31">
        <v>-1</v>
      </c>
      <c r="V31" cm="1">
        <f t="array" ref="V31:AE31">'Nom du personnage'!$F$51:$O$51</f>
        <v>0</v>
      </c>
      <c r="W31">
        <v>0</v>
      </c>
      <c r="X31">
        <v>0</v>
      </c>
      <c r="Y31">
        <v>0</v>
      </c>
      <c r="Z31">
        <v>0</v>
      </c>
      <c r="AA31">
        <v>0</v>
      </c>
      <c r="AB31">
        <v>0</v>
      </c>
      <c r="AC31">
        <v>0</v>
      </c>
      <c r="AD31">
        <v>0</v>
      </c>
      <c r="AE31">
        <v>0</v>
      </c>
    </row>
    <row r="32" spans="1:31" hidden="1">
      <c r="A32" s="2" t="s">
        <v>32</v>
      </c>
      <c r="B32" s="2" t="s">
        <v>211</v>
      </c>
      <c r="C32" s="2">
        <v>4</v>
      </c>
      <c r="D32">
        <v>1</v>
      </c>
      <c r="H32" s="2" t="s">
        <v>752</v>
      </c>
      <c r="I32">
        <v>2</v>
      </c>
      <c r="J32" s="2">
        <f>'Nom du personnage'!$U$51</f>
        <v>0</v>
      </c>
      <c r="K32" s="2">
        <v>5</v>
      </c>
      <c r="M32" s="9" t="str">
        <f>IF('Bonus Humain'!H33=0,+'Lecture et écriture'!AS14,'Bonus Humain'!D33)</f>
        <v>Lecture et écriture - Runique</v>
      </c>
      <c r="N32">
        <f>IF(M32='Bonus Humain'!D33,Compétences!I32-1,VLOOKUP(M32,H32:J89,2,FALSE))</f>
        <v>2</v>
      </c>
      <c r="O32">
        <f t="shared" si="3"/>
        <v>2</v>
      </c>
      <c r="P32">
        <f>'Nom du personnage'!$U$51</f>
        <v>0</v>
      </c>
      <c r="Q32" s="2" t="s">
        <v>145</v>
      </c>
      <c r="R32" s="2" t="s">
        <v>263</v>
      </c>
      <c r="T32" s="2" t="str">
        <f t="shared" si="1"/>
        <v>N/A</v>
      </c>
      <c r="U32">
        <v>-1</v>
      </c>
      <c r="V32" cm="1">
        <f t="array" ref="V32:AE32">'Nom du personnage'!$F$51:$O$51</f>
        <v>0</v>
      </c>
      <c r="W32">
        <v>0</v>
      </c>
      <c r="X32">
        <v>0</v>
      </c>
      <c r="Y32">
        <v>0</v>
      </c>
      <c r="Z32">
        <v>0</v>
      </c>
      <c r="AA32">
        <v>0</v>
      </c>
      <c r="AB32">
        <v>0</v>
      </c>
      <c r="AC32">
        <v>0</v>
      </c>
      <c r="AD32">
        <v>0</v>
      </c>
      <c r="AE32">
        <v>0</v>
      </c>
    </row>
    <row r="33" spans="1:31" hidden="1">
      <c r="A33" s="2" t="s">
        <v>32</v>
      </c>
      <c r="B33" s="2" t="s">
        <v>210</v>
      </c>
      <c r="C33" s="2">
        <v>6</v>
      </c>
      <c r="D33">
        <v>1</v>
      </c>
      <c r="H33" s="2" t="s">
        <v>753</v>
      </c>
      <c r="I33">
        <v>2</v>
      </c>
      <c r="J33" s="2">
        <f>'Nom du personnage'!$U$51</f>
        <v>0</v>
      </c>
      <c r="K33" s="2">
        <v>5</v>
      </c>
      <c r="M33" s="9" t="str">
        <f>IF('Bonus Humain'!H34=0,+'Lecture et écriture'!AS15,'Bonus Humain'!D34)</f>
        <v>Lecture et écriture - Sylvestre</v>
      </c>
      <c r="N33">
        <f>IF(M33='Bonus Humain'!D34,Compétences!I33-1,VLOOKUP(M33,H33:J90,2,FALSE))</f>
        <v>2</v>
      </c>
      <c r="O33">
        <f t="shared" si="3"/>
        <v>2</v>
      </c>
      <c r="P33">
        <f>'Nom du personnage'!$U$51</f>
        <v>0</v>
      </c>
      <c r="Q33" s="2" t="s">
        <v>144</v>
      </c>
      <c r="R33" s="2" t="s">
        <v>183</v>
      </c>
      <c r="T33" s="2" t="str">
        <f t="shared" si="1"/>
        <v>N/A</v>
      </c>
      <c r="U33">
        <v>-1</v>
      </c>
      <c r="V33" cm="1">
        <f t="array" ref="V33:AE33">'Nom du personnage'!$F$51:$O$51</f>
        <v>0</v>
      </c>
      <c r="W33">
        <v>0</v>
      </c>
      <c r="X33">
        <v>0</v>
      </c>
      <c r="Y33">
        <v>0</v>
      </c>
      <c r="Z33">
        <v>0</v>
      </c>
      <c r="AA33">
        <v>0</v>
      </c>
      <c r="AB33">
        <v>0</v>
      </c>
      <c r="AC33">
        <v>0</v>
      </c>
      <c r="AD33">
        <v>0</v>
      </c>
      <c r="AE33">
        <v>0</v>
      </c>
    </row>
    <row r="34" spans="1:31" hidden="1">
      <c r="A34" s="2" t="s">
        <v>32</v>
      </c>
      <c r="B34" s="2" t="s">
        <v>213</v>
      </c>
      <c r="C34" s="2">
        <v>6</v>
      </c>
      <c r="D34">
        <v>1</v>
      </c>
      <c r="H34" s="2" t="s">
        <v>175</v>
      </c>
      <c r="I34">
        <v>6</v>
      </c>
      <c r="J34" s="2">
        <f>'Nom du personnage'!$U$51</f>
        <v>0</v>
      </c>
      <c r="K34" s="2">
        <v>5</v>
      </c>
      <c r="M34" t="str">
        <f>IF('Bonus Humain'!H35=0,IF(P34=J34,H34,),'Bonus Humain'!D35)</f>
        <v>Mulet de bataille</v>
      </c>
      <c r="N34">
        <f>IF(M34='Bonus Humain'!D35,Compétences!I34-1,VLOOKUP(M34,H34:J91,2,FALSE))</f>
        <v>6</v>
      </c>
      <c r="O34">
        <f>VLOOKUP(M34,H34:J91,2,FALSE)</f>
        <v>6</v>
      </c>
      <c r="P34">
        <f>'Nom du personnage'!$U$51</f>
        <v>0</v>
      </c>
      <c r="Q34" s="2" t="s">
        <v>144</v>
      </c>
      <c r="R34" s="2" t="s">
        <v>245</v>
      </c>
      <c r="T34" s="2" t="str">
        <f t="shared" si="1"/>
        <v>N/A</v>
      </c>
      <c r="U34">
        <v>-1</v>
      </c>
      <c r="V34" cm="1">
        <f t="array" ref="V34:AE34">'Nom du personnage'!$F$51:$O$51</f>
        <v>0</v>
      </c>
      <c r="W34">
        <v>0</v>
      </c>
      <c r="X34">
        <v>0</v>
      </c>
      <c r="Y34">
        <v>0</v>
      </c>
      <c r="Z34">
        <v>0</v>
      </c>
      <c r="AA34">
        <v>0</v>
      </c>
      <c r="AB34">
        <v>0</v>
      </c>
      <c r="AC34">
        <v>0</v>
      </c>
      <c r="AD34">
        <v>0</v>
      </c>
      <c r="AE34">
        <v>0</v>
      </c>
    </row>
    <row r="35" spans="1:31" hidden="1">
      <c r="A35" s="2" t="s">
        <v>35</v>
      </c>
      <c r="B35" s="2" t="s">
        <v>232</v>
      </c>
      <c r="C35" s="2">
        <v>5</v>
      </c>
      <c r="D35">
        <v>5</v>
      </c>
      <c r="H35" s="2" t="s">
        <v>176</v>
      </c>
      <c r="I35">
        <v>3</v>
      </c>
      <c r="J35" s="2">
        <f>'Nom du personnage'!$U$51</f>
        <v>0</v>
      </c>
      <c r="K35" s="2">
        <v>5</v>
      </c>
      <c r="M35" t="str">
        <f>IF('Nom du personnage'!F51=Données!C3,0,Compétences!H35)</f>
        <v>Noblesse</v>
      </c>
      <c r="N35">
        <f>IF(M35='Bonus Humain'!D36,Compétences!I35-1,VLOOKUP(M35,H35:J92,2,FALSE))</f>
        <v>3</v>
      </c>
      <c r="O35">
        <f>IFERROR(VLOOKUP(M35,H35:J92,2,FALSE),0)</f>
        <v>3</v>
      </c>
      <c r="P35">
        <f>'Nom du personnage'!$U$51</f>
        <v>0</v>
      </c>
      <c r="Q35" s="2" t="s">
        <v>146</v>
      </c>
      <c r="R35" s="2" t="s">
        <v>162</v>
      </c>
      <c r="T35" s="2" t="str">
        <f t="shared" si="1"/>
        <v>N/A</v>
      </c>
      <c r="U35">
        <v>-1</v>
      </c>
      <c r="V35" cm="1">
        <f t="array" ref="V35:AE35">'Nom du personnage'!$F$51:$O$51</f>
        <v>0</v>
      </c>
      <c r="W35">
        <v>0</v>
      </c>
      <c r="X35">
        <v>0</v>
      </c>
      <c r="Y35">
        <v>0</v>
      </c>
      <c r="Z35">
        <v>0</v>
      </c>
      <c r="AA35">
        <v>0</v>
      </c>
      <c r="AB35">
        <v>0</v>
      </c>
      <c r="AC35">
        <v>0</v>
      </c>
      <c r="AD35">
        <v>0</v>
      </c>
      <c r="AE35">
        <v>0</v>
      </c>
    </row>
    <row r="36" spans="1:31" hidden="1">
      <c r="A36" s="2" t="s">
        <v>35</v>
      </c>
      <c r="B36" s="2" t="s">
        <v>233</v>
      </c>
      <c r="C36" s="2">
        <v>6</v>
      </c>
      <c r="D36">
        <v>5</v>
      </c>
      <c r="H36" s="2" t="s">
        <v>177</v>
      </c>
      <c r="I36">
        <v>4</v>
      </c>
      <c r="J36" s="2">
        <f>'Nom du personnage'!$U$51</f>
        <v>0</v>
      </c>
      <c r="K36" s="2">
        <v>1</v>
      </c>
      <c r="M36" s="7">
        <f>IF('Bonus Humain'!H37=0,IF(OR('Nom du personnage'!E91=Magie!B123,'Nom du personnage'!E91=Magie!B124,'Nom du personnage'!E91=Magie!B125,'Nom du personnage'!S91=Magie!B123,'Nom du personnage'!S91=Magie!B124,'Nom du personnage'!S91=Magie!B125)=TRUE,H36,),'Bonus Humain'!D37)</f>
        <v>0</v>
      </c>
      <c r="N36" t="e">
        <f>IF(M36='Bonus Humain'!D37,Compétences!I36-1,VLOOKUP(M36,H36:J93,2,FALSE))</f>
        <v>#N/A</v>
      </c>
      <c r="O36" t="e">
        <f t="shared" ref="O36:O67" si="4">VLOOKUP(M36,H36:J93,2,FALSE)</f>
        <v>#N/A</v>
      </c>
      <c r="P36">
        <f>'Nom du personnage'!$U$51</f>
        <v>0</v>
      </c>
      <c r="Q36" s="2" t="s">
        <v>146</v>
      </c>
      <c r="R36" s="2" t="s">
        <v>137</v>
      </c>
      <c r="T36" s="2" t="str">
        <f t="shared" si="1"/>
        <v>N/A</v>
      </c>
      <c r="U36">
        <v>-1</v>
      </c>
      <c r="V36" cm="1">
        <f t="array" ref="V36:AE36">'Nom du personnage'!$F$51:$O$51</f>
        <v>0</v>
      </c>
      <c r="W36">
        <v>0</v>
      </c>
      <c r="X36">
        <v>0</v>
      </c>
      <c r="Y36">
        <v>0</v>
      </c>
      <c r="Z36">
        <v>0</v>
      </c>
      <c r="AA36">
        <v>0</v>
      </c>
      <c r="AB36">
        <v>0</v>
      </c>
      <c r="AC36">
        <v>0</v>
      </c>
      <c r="AD36">
        <v>0</v>
      </c>
      <c r="AE36">
        <v>0</v>
      </c>
    </row>
    <row r="37" spans="1:31" hidden="1">
      <c r="A37" s="2" t="s">
        <v>35</v>
      </c>
      <c r="B37" s="2" t="s">
        <v>234</v>
      </c>
      <c r="C37" s="2">
        <v>6</v>
      </c>
      <c r="D37">
        <v>5</v>
      </c>
      <c r="H37" s="2" t="s">
        <v>178</v>
      </c>
      <c r="I37">
        <v>6</v>
      </c>
      <c r="J37" s="2">
        <f>'Nom du personnage'!$U$51</f>
        <v>0</v>
      </c>
      <c r="K37" s="2">
        <v>5</v>
      </c>
      <c r="M37" s="7">
        <f>IF('Bonus Humain'!H38=0,IF('Compétences raciales + carrière'!B14=1,Compétences!H37,0),'Bonus Humain'!D38)</f>
        <v>0</v>
      </c>
      <c r="N37" t="e">
        <f>IF(M37='Bonus Humain'!D38,Compétences!I37-1,VLOOKUP(M37,H37:J94,2,FALSE))</f>
        <v>#N/A</v>
      </c>
      <c r="O37" t="e">
        <f t="shared" si="4"/>
        <v>#N/A</v>
      </c>
      <c r="P37">
        <f>'Nom du personnage'!$U$51</f>
        <v>0</v>
      </c>
      <c r="Q37" s="2" t="s">
        <v>75</v>
      </c>
      <c r="R37" s="2" t="s">
        <v>137</v>
      </c>
      <c r="T37" s="2" t="str">
        <f t="shared" si="1"/>
        <v>N/A</v>
      </c>
      <c r="U37">
        <v>-1</v>
      </c>
      <c r="V37" cm="1">
        <f t="array" ref="V37:AE37">'Nom du personnage'!$F$51:$O$51</f>
        <v>0</v>
      </c>
      <c r="W37">
        <v>0</v>
      </c>
      <c r="X37">
        <v>0</v>
      </c>
      <c r="Y37">
        <v>0</v>
      </c>
      <c r="Z37">
        <v>0</v>
      </c>
      <c r="AA37">
        <v>0</v>
      </c>
      <c r="AB37">
        <v>0</v>
      </c>
      <c r="AC37">
        <v>0</v>
      </c>
      <c r="AD37">
        <v>0</v>
      </c>
      <c r="AE37">
        <v>0</v>
      </c>
    </row>
    <row r="38" spans="1:31" hidden="1">
      <c r="A38" s="2" t="s">
        <v>35</v>
      </c>
      <c r="B38" s="2" t="s">
        <v>235</v>
      </c>
      <c r="C38" s="2">
        <v>6</v>
      </c>
      <c r="D38">
        <v>5</v>
      </c>
      <c r="H38" s="2" t="s">
        <v>179</v>
      </c>
      <c r="I38">
        <v>3</v>
      </c>
      <c r="J38" s="2">
        <f>'Nom du personnage'!$U$51</f>
        <v>0</v>
      </c>
      <c r="K38" s="2">
        <v>5</v>
      </c>
      <c r="M38" t="str">
        <f>IF('Bonus Humain'!H39=0,IF(Religion!F22=1,0,Compétences!H38),'Bonus Humain'!D39)</f>
        <v>Religion</v>
      </c>
      <c r="N38">
        <f>IF(M38='Bonus Humain'!D39,Compétences!I38-1,VLOOKUP(M38,H38:J95,2,FALSE))</f>
        <v>3</v>
      </c>
      <c r="O38">
        <f t="shared" si="4"/>
        <v>3</v>
      </c>
      <c r="P38">
        <f>'Nom du personnage'!$U$51</f>
        <v>0</v>
      </c>
      <c r="Q38" s="2" t="s">
        <v>75</v>
      </c>
      <c r="R38" s="2" t="s">
        <v>139</v>
      </c>
      <c r="T38" s="2" t="str">
        <f t="shared" si="1"/>
        <v>N/A</v>
      </c>
      <c r="U38">
        <v>-1</v>
      </c>
      <c r="V38" cm="1">
        <f t="array" ref="V38:AE38">'Nom du personnage'!$F$51:$O$51</f>
        <v>0</v>
      </c>
      <c r="W38">
        <v>0</v>
      </c>
      <c r="X38">
        <v>0</v>
      </c>
      <c r="Y38">
        <v>0</v>
      </c>
      <c r="Z38">
        <v>0</v>
      </c>
      <c r="AA38">
        <v>0</v>
      </c>
      <c r="AB38">
        <v>0</v>
      </c>
      <c r="AC38">
        <v>0</v>
      </c>
      <c r="AD38">
        <v>0</v>
      </c>
      <c r="AE38">
        <v>0</v>
      </c>
    </row>
    <row r="39" spans="1:31" hidden="1">
      <c r="A39" s="2" t="s">
        <v>35</v>
      </c>
      <c r="B39" s="2" t="s">
        <v>236</v>
      </c>
      <c r="C39" s="2">
        <v>3</v>
      </c>
      <c r="D39">
        <v>1</v>
      </c>
      <c r="H39" s="2" t="s">
        <v>180</v>
      </c>
      <c r="I39">
        <v>4</v>
      </c>
      <c r="J39" s="2">
        <f>'Nom du personnage'!$U$51</f>
        <v>0</v>
      </c>
      <c r="K39" s="2">
        <v>1</v>
      </c>
      <c r="M39" t="str">
        <f>IF('Bonus Humain'!H40=0,IF(P39=J39,H39,),'Bonus Humain'!D40)</f>
        <v>Résistance à l'alcool</v>
      </c>
      <c r="N39">
        <f>IF(M39='Bonus Humain'!D40,Compétences!I39-1,VLOOKUP(M39,H39:J96,2,FALSE))</f>
        <v>4</v>
      </c>
      <c r="O39">
        <f t="shared" si="4"/>
        <v>4</v>
      </c>
      <c r="P39">
        <f>'Nom du personnage'!$U$51</f>
        <v>0</v>
      </c>
      <c r="Q39" s="2" t="s">
        <v>147</v>
      </c>
      <c r="R39" s="2" t="s">
        <v>162</v>
      </c>
      <c r="T39" s="2" t="str">
        <f t="shared" si="1"/>
        <v>N/A</v>
      </c>
      <c r="U39">
        <v>-1</v>
      </c>
      <c r="V39" cm="1">
        <f t="array" ref="V39:AE39">'Nom du personnage'!$F$51:$O$51</f>
        <v>0</v>
      </c>
      <c r="W39">
        <v>0</v>
      </c>
      <c r="X39">
        <v>0</v>
      </c>
      <c r="Y39">
        <v>0</v>
      </c>
      <c r="Z39">
        <v>0</v>
      </c>
      <c r="AA39">
        <v>0</v>
      </c>
      <c r="AB39">
        <v>0</v>
      </c>
      <c r="AC39">
        <v>0</v>
      </c>
      <c r="AD39">
        <v>0</v>
      </c>
      <c r="AE39">
        <v>0</v>
      </c>
    </row>
    <row r="40" spans="1:31" hidden="1">
      <c r="A40" s="2" t="s">
        <v>35</v>
      </c>
      <c r="B40" s="2" t="s">
        <v>237</v>
      </c>
      <c r="C40" s="2">
        <v>5</v>
      </c>
      <c r="D40">
        <v>1</v>
      </c>
      <c r="H40" s="2" t="s">
        <v>181</v>
      </c>
      <c r="I40">
        <v>4</v>
      </c>
      <c r="J40" s="2">
        <f>'Nom du personnage'!$U$51</f>
        <v>0</v>
      </c>
      <c r="K40" s="2">
        <v>1</v>
      </c>
      <c r="M40" t="str">
        <f>IF('Bonus Humain'!H41=0,IF(P40=J40,H40,),'Bonus Humain'!D41)</f>
        <v>Résistance aux maladies</v>
      </c>
      <c r="N40">
        <f>IF(M40='Bonus Humain'!D41,Compétences!I40-1,VLOOKUP(M40,H40:J97,2,FALSE))</f>
        <v>4</v>
      </c>
      <c r="O40">
        <f t="shared" si="4"/>
        <v>4</v>
      </c>
      <c r="P40">
        <f>'Nom du personnage'!$U$51</f>
        <v>0</v>
      </c>
      <c r="Q40" s="2" t="s">
        <v>147</v>
      </c>
      <c r="R40" s="2" t="s">
        <v>213</v>
      </c>
      <c r="T40" s="2" t="str">
        <f t="shared" si="1"/>
        <v>N/A</v>
      </c>
      <c r="U40">
        <v>-1</v>
      </c>
      <c r="V40" cm="1">
        <f t="array" ref="V40:AE40">'Nom du personnage'!$F$51:$O$51</f>
        <v>0</v>
      </c>
      <c r="W40">
        <v>0</v>
      </c>
      <c r="X40">
        <v>0</v>
      </c>
      <c r="Y40">
        <v>0</v>
      </c>
      <c r="Z40">
        <v>0</v>
      </c>
      <c r="AA40">
        <v>0</v>
      </c>
      <c r="AB40">
        <v>0</v>
      </c>
      <c r="AC40">
        <v>0</v>
      </c>
      <c r="AD40">
        <v>0</v>
      </c>
      <c r="AE40">
        <v>0</v>
      </c>
    </row>
    <row r="41" spans="1:31" hidden="1">
      <c r="A41" s="2" t="s">
        <v>35</v>
      </c>
      <c r="B41" s="2" t="s">
        <v>209</v>
      </c>
      <c r="C41" s="2">
        <v>4</v>
      </c>
      <c r="D41">
        <v>1</v>
      </c>
      <c r="H41" s="2" t="s">
        <v>182</v>
      </c>
      <c r="I41">
        <v>4</v>
      </c>
      <c r="J41" s="2">
        <f>'Nom du personnage'!$U$51</f>
        <v>0</v>
      </c>
      <c r="K41" s="2">
        <v>5</v>
      </c>
      <c r="M41" s="9">
        <f>IF('Bonus Humain'!H42=0,IF(AND(Religion!D29=TRUE,'Lecture et écriture'!G99=TRUE),Compétences!H41,0),'Bonus Humain'!D42)</f>
        <v>0</v>
      </c>
      <c r="N41" t="e">
        <f>IF(M41='Bonus Humain'!D42,Compétences!I41-1,VLOOKUP(M41,H41:J98,2,FALSE))</f>
        <v>#N/A</v>
      </c>
      <c r="O41" t="e">
        <f t="shared" si="4"/>
        <v>#N/A</v>
      </c>
      <c r="P41">
        <f>'Nom du personnage'!$U$51</f>
        <v>0</v>
      </c>
      <c r="Q41" s="2" t="s">
        <v>97</v>
      </c>
      <c r="R41" s="2" t="s">
        <v>257</v>
      </c>
      <c r="T41" s="2" t="str">
        <f t="shared" si="1"/>
        <v>N/A</v>
      </c>
      <c r="U41">
        <v>-1</v>
      </c>
      <c r="V41" cm="1">
        <f t="array" ref="V41:AE41">'Nom du personnage'!$F$51:$O$51</f>
        <v>0</v>
      </c>
      <c r="W41">
        <v>0</v>
      </c>
      <c r="X41">
        <v>0</v>
      </c>
      <c r="Y41">
        <v>0</v>
      </c>
      <c r="Z41">
        <v>0</v>
      </c>
      <c r="AA41">
        <v>0</v>
      </c>
      <c r="AB41">
        <v>0</v>
      </c>
      <c r="AC41">
        <v>0</v>
      </c>
      <c r="AD41">
        <v>0</v>
      </c>
      <c r="AE41">
        <v>0</v>
      </c>
    </row>
    <row r="42" spans="1:31" hidden="1">
      <c r="A42" s="2" t="s">
        <v>35</v>
      </c>
      <c r="B42" s="2" t="s">
        <v>238</v>
      </c>
      <c r="C42" s="2">
        <v>3</v>
      </c>
      <c r="D42">
        <v>1</v>
      </c>
      <c r="H42" s="2" t="s">
        <v>183</v>
      </c>
      <c r="I42">
        <v>3</v>
      </c>
      <c r="J42" s="2">
        <f>'Nom du personnage'!$U$51</f>
        <v>0</v>
      </c>
      <c r="K42" s="2">
        <v>5</v>
      </c>
      <c r="M42" s="9">
        <f>IF('Bonus Humain'!H43=0,IF(OR(AND(Religion!D29=TRUE,'Nom du personnage'!F60=Données!N5)=TRUE,OR('Nom du personnage'!F51=Données!C18,'Nom du personnage'!F51=Données!C19,'Nom du personnage'!F51=Données!C32,'Nom du personnage'!F51=Données!C7)=TRUE),Compétences!H42,0),'Bonus Humain'!D43)</f>
        <v>0</v>
      </c>
      <c r="N42" t="e">
        <f>IF(M42='Bonus Humain'!D43,Compétences!I42-1,VLOOKUP(M42,H42:J99,2,FALSE))</f>
        <v>#N/A</v>
      </c>
      <c r="O42" t="e">
        <f t="shared" si="4"/>
        <v>#N/A</v>
      </c>
      <c r="P42">
        <f>'Nom du personnage'!$U$51</f>
        <v>0</v>
      </c>
      <c r="Q42" s="2" t="s">
        <v>97</v>
      </c>
      <c r="R42" s="2" t="s">
        <v>164</v>
      </c>
      <c r="T42" s="2" t="str">
        <f t="shared" si="1"/>
        <v>N/A</v>
      </c>
      <c r="U42">
        <v>-1</v>
      </c>
      <c r="V42" cm="1">
        <f t="array" ref="V42:AE42">'Nom du personnage'!$F$51:$O$51</f>
        <v>0</v>
      </c>
      <c r="W42">
        <v>0</v>
      </c>
      <c r="X42">
        <v>0</v>
      </c>
      <c r="Y42">
        <v>0</v>
      </c>
      <c r="Z42">
        <v>0</v>
      </c>
      <c r="AA42">
        <v>0</v>
      </c>
      <c r="AB42">
        <v>0</v>
      </c>
      <c r="AC42">
        <v>0</v>
      </c>
      <c r="AD42">
        <v>0</v>
      </c>
      <c r="AE42">
        <v>0</v>
      </c>
    </row>
    <row r="43" spans="1:31" hidden="1">
      <c r="A43" s="2" t="s">
        <v>35</v>
      </c>
      <c r="B43" s="2" t="s">
        <v>239</v>
      </c>
      <c r="C43" s="2">
        <v>5</v>
      </c>
      <c r="D43">
        <v>1</v>
      </c>
      <c r="H43" s="2" t="s">
        <v>184</v>
      </c>
      <c r="I43">
        <v>3</v>
      </c>
      <c r="J43" s="2">
        <f>'Nom du personnage'!$U$51</f>
        <v>0</v>
      </c>
      <c r="K43" s="2">
        <v>5</v>
      </c>
      <c r="M43" s="9">
        <f>IF('Bonus Humain'!I44=0,IF(AND(Religion!D29=TRUE,'Nom du personnage'!F60=Données!N3),Compétences!H43,0),'Bonus Humain'!D44)</f>
        <v>0</v>
      </c>
      <c r="N43" t="e">
        <f>IF(M43='Bonus Humain'!D44,Compétences!I43-1,VLOOKUP(M43,H43:J100,2,FALSE))</f>
        <v>#N/A</v>
      </c>
      <c r="O43" t="e">
        <f t="shared" si="4"/>
        <v>#N/A</v>
      </c>
      <c r="P43">
        <f>'Nom du personnage'!$U$51</f>
        <v>0</v>
      </c>
      <c r="Q43" s="2" t="s">
        <v>81</v>
      </c>
      <c r="R43" s="2" t="s">
        <v>164</v>
      </c>
      <c r="T43" s="2" t="str">
        <f t="shared" si="1"/>
        <v>N/A</v>
      </c>
      <c r="U43">
        <v>-1</v>
      </c>
      <c r="V43" cm="1">
        <f t="array" ref="V43:AE43">'Nom du personnage'!$F$51:$O$51</f>
        <v>0</v>
      </c>
      <c r="W43">
        <v>0</v>
      </c>
      <c r="X43">
        <v>0</v>
      </c>
      <c r="Y43">
        <v>0</v>
      </c>
      <c r="Z43">
        <v>0</v>
      </c>
      <c r="AA43">
        <v>0</v>
      </c>
      <c r="AB43">
        <v>0</v>
      </c>
      <c r="AC43">
        <v>0</v>
      </c>
      <c r="AD43">
        <v>0</v>
      </c>
      <c r="AE43">
        <v>0</v>
      </c>
    </row>
    <row r="44" spans="1:31" hidden="1">
      <c r="A44" s="2" t="s">
        <v>35</v>
      </c>
      <c r="B44" s="2" t="s">
        <v>212</v>
      </c>
      <c r="C44" s="2">
        <v>6</v>
      </c>
      <c r="D44">
        <v>1</v>
      </c>
      <c r="H44" s="2" t="s">
        <v>185</v>
      </c>
      <c r="I44">
        <v>6</v>
      </c>
      <c r="J44" s="2" t="s">
        <v>30</v>
      </c>
      <c r="K44" s="2">
        <f>VLOOKUP(H44,$B$3:$D$115,3,FALSE)</f>
        <v>1</v>
      </c>
      <c r="M44">
        <f t="shared" ref="M44:M102" si="5">IF(P44=J44,H44,)</f>
        <v>0</v>
      </c>
      <c r="N44" t="e">
        <f t="shared" ref="N44:N67" si="6">VLOOKUP(M44,H44:J101,2,FALSE)</f>
        <v>#N/A</v>
      </c>
      <c r="O44" t="e">
        <f t="shared" si="4"/>
        <v>#N/A</v>
      </c>
      <c r="P44">
        <f>'Nom du personnage'!$U$51</f>
        <v>0</v>
      </c>
      <c r="Q44" s="2" t="s">
        <v>81</v>
      </c>
      <c r="R44" s="2" t="s">
        <v>138</v>
      </c>
      <c r="T44" s="2" t="str">
        <f t="shared" si="1"/>
        <v>N/A</v>
      </c>
      <c r="U44">
        <v>-1</v>
      </c>
      <c r="V44" cm="1">
        <f t="array" ref="V44:AE44">'Nom du personnage'!$F$51:$O$51</f>
        <v>0</v>
      </c>
      <c r="W44">
        <v>0</v>
      </c>
      <c r="X44">
        <v>0</v>
      </c>
      <c r="Y44">
        <v>0</v>
      </c>
      <c r="Z44">
        <v>0</v>
      </c>
      <c r="AA44">
        <v>0</v>
      </c>
      <c r="AB44">
        <v>0</v>
      </c>
      <c r="AC44">
        <v>0</v>
      </c>
      <c r="AD44">
        <v>0</v>
      </c>
      <c r="AE44">
        <v>0</v>
      </c>
    </row>
    <row r="45" spans="1:31" hidden="1">
      <c r="A45" s="2" t="s">
        <v>35</v>
      </c>
      <c r="B45" s="2" t="s">
        <v>240</v>
      </c>
      <c r="C45" s="2">
        <v>6</v>
      </c>
      <c r="D45">
        <v>1</v>
      </c>
      <c r="H45" s="2" t="s">
        <v>199</v>
      </c>
      <c r="I45">
        <v>6</v>
      </c>
      <c r="J45" s="2" t="s">
        <v>30</v>
      </c>
      <c r="K45" s="2">
        <f t="shared" ref="K45:K108" si="7">VLOOKUP(H45,$B$3:$D$115,3,FALSE)</f>
        <v>1</v>
      </c>
      <c r="M45" s="2" cm="1">
        <f t="array" ref="M45">IF(AND('Nom du personnage'!U51=Compétences!J45,OR('Nom du personnage'!$C$65:$L$85=Compétences!$M$13,'Nom du personnage'!$Q$65:$Z$85=Compétences!$M$13)),H45,0)</f>
        <v>0</v>
      </c>
      <c r="N45" t="e">
        <f t="shared" si="6"/>
        <v>#N/A</v>
      </c>
      <c r="O45" t="e">
        <f t="shared" si="4"/>
        <v>#N/A</v>
      </c>
      <c r="P45">
        <f>'Nom du personnage'!$U$51</f>
        <v>0</v>
      </c>
      <c r="Q45" s="2" t="s">
        <v>103</v>
      </c>
      <c r="R45" s="2" t="s">
        <v>171</v>
      </c>
      <c r="T45" s="2" t="str">
        <f t="shared" si="1"/>
        <v>N/A</v>
      </c>
      <c r="U45">
        <v>-1</v>
      </c>
      <c r="V45" cm="1">
        <f t="array" ref="V45:AE45">'Nom du personnage'!$F$51:$O$51</f>
        <v>0</v>
      </c>
      <c r="W45">
        <v>0</v>
      </c>
      <c r="X45">
        <v>0</v>
      </c>
      <c r="Y45">
        <v>0</v>
      </c>
      <c r="Z45">
        <v>0</v>
      </c>
      <c r="AA45">
        <v>0</v>
      </c>
      <c r="AB45">
        <v>0</v>
      </c>
      <c r="AC45">
        <v>0</v>
      </c>
      <c r="AD45">
        <v>0</v>
      </c>
      <c r="AE45">
        <v>0</v>
      </c>
    </row>
    <row r="46" spans="1:31" hidden="1">
      <c r="A46" s="2" t="s">
        <v>35</v>
      </c>
      <c r="B46" s="2" t="s">
        <v>241</v>
      </c>
      <c r="C46" s="2">
        <v>6</v>
      </c>
      <c r="D46">
        <v>1</v>
      </c>
      <c r="H46" s="2" t="s">
        <v>200</v>
      </c>
      <c r="I46">
        <v>6</v>
      </c>
      <c r="J46" s="2" t="s">
        <v>30</v>
      </c>
      <c r="K46" s="2">
        <f t="shared" si="7"/>
        <v>1</v>
      </c>
      <c r="M46">
        <f t="shared" si="5"/>
        <v>0</v>
      </c>
      <c r="N46" t="e">
        <f t="shared" si="6"/>
        <v>#N/A</v>
      </c>
      <c r="O46" t="e">
        <f t="shared" si="4"/>
        <v>#N/A</v>
      </c>
      <c r="P46">
        <f>'Nom du personnage'!$U$51</f>
        <v>0</v>
      </c>
      <c r="Q46" s="2" t="s">
        <v>103</v>
      </c>
      <c r="R46" s="2" t="s">
        <v>136</v>
      </c>
      <c r="T46" s="2" t="str">
        <f t="shared" si="1"/>
        <v>N/A</v>
      </c>
      <c r="U46">
        <v>-1</v>
      </c>
      <c r="V46" cm="1">
        <f t="array" ref="V46:AE46">'Nom du personnage'!$F$51:$O$51</f>
        <v>0</v>
      </c>
      <c r="W46">
        <v>0</v>
      </c>
      <c r="X46">
        <v>0</v>
      </c>
      <c r="Y46">
        <v>0</v>
      </c>
      <c r="Z46">
        <v>0</v>
      </c>
      <c r="AA46">
        <v>0</v>
      </c>
      <c r="AB46">
        <v>0</v>
      </c>
      <c r="AC46">
        <v>0</v>
      </c>
      <c r="AD46">
        <v>0</v>
      </c>
      <c r="AE46">
        <v>0</v>
      </c>
    </row>
    <row r="47" spans="1:31" hidden="1">
      <c r="A47" s="2" t="s">
        <v>35</v>
      </c>
      <c r="B47" s="2" t="s">
        <v>242</v>
      </c>
      <c r="C47" s="2">
        <v>6</v>
      </c>
      <c r="D47">
        <v>5</v>
      </c>
      <c r="H47" s="2" t="s">
        <v>201</v>
      </c>
      <c r="I47">
        <v>6</v>
      </c>
      <c r="J47" s="2" t="s">
        <v>30</v>
      </c>
      <c r="K47" s="2">
        <f t="shared" si="7"/>
        <v>1</v>
      </c>
      <c r="M47">
        <f t="shared" si="5"/>
        <v>0</v>
      </c>
      <c r="N47" t="e">
        <f t="shared" si="6"/>
        <v>#N/A</v>
      </c>
      <c r="O47" t="e">
        <f t="shared" si="4"/>
        <v>#N/A</v>
      </c>
      <c r="P47">
        <f>'Nom du personnage'!$U$51</f>
        <v>0</v>
      </c>
      <c r="Q47" s="2" t="s">
        <v>148</v>
      </c>
      <c r="R47" s="2" t="s">
        <v>261</v>
      </c>
      <c r="T47" s="2" t="str">
        <f t="shared" si="1"/>
        <v>N/A</v>
      </c>
      <c r="U47">
        <v>-1</v>
      </c>
      <c r="V47" cm="1">
        <f t="array" ref="V47:AE47">'Nom du personnage'!$F$51:$O$51</f>
        <v>0</v>
      </c>
      <c r="W47">
        <v>0</v>
      </c>
      <c r="X47">
        <v>0</v>
      </c>
      <c r="Y47">
        <v>0</v>
      </c>
      <c r="Z47">
        <v>0</v>
      </c>
      <c r="AA47">
        <v>0</v>
      </c>
      <c r="AB47">
        <v>0</v>
      </c>
      <c r="AC47">
        <v>0</v>
      </c>
      <c r="AD47">
        <v>0</v>
      </c>
      <c r="AE47">
        <v>0</v>
      </c>
    </row>
    <row r="48" spans="1:31" hidden="1">
      <c r="A48" s="2" t="s">
        <v>35</v>
      </c>
      <c r="B48" s="2" t="s">
        <v>243</v>
      </c>
      <c r="C48" s="2">
        <v>5</v>
      </c>
      <c r="D48">
        <v>1</v>
      </c>
      <c r="H48" s="2" t="s">
        <v>202</v>
      </c>
      <c r="I48">
        <v>5</v>
      </c>
      <c r="J48" s="2" t="s">
        <v>30</v>
      </c>
      <c r="K48" s="2">
        <f t="shared" si="7"/>
        <v>5</v>
      </c>
      <c r="M48">
        <f t="shared" si="5"/>
        <v>0</v>
      </c>
      <c r="N48" t="e">
        <f t="shared" si="6"/>
        <v>#N/A</v>
      </c>
      <c r="O48" t="e">
        <f t="shared" si="4"/>
        <v>#N/A</v>
      </c>
      <c r="P48">
        <f>'Nom du personnage'!$U$51</f>
        <v>0</v>
      </c>
      <c r="Q48" s="2" t="s">
        <v>148</v>
      </c>
      <c r="R48" s="2" t="s">
        <v>183</v>
      </c>
      <c r="T48" s="2" t="str">
        <f t="shared" si="1"/>
        <v>N/A</v>
      </c>
      <c r="U48">
        <v>-1</v>
      </c>
      <c r="V48" cm="1">
        <f t="array" ref="V48:AE48">'Nom du personnage'!$F$51:$O$51</f>
        <v>0</v>
      </c>
      <c r="W48">
        <v>0</v>
      </c>
      <c r="X48">
        <v>0</v>
      </c>
      <c r="Y48">
        <v>0</v>
      </c>
      <c r="Z48">
        <v>0</v>
      </c>
      <c r="AA48">
        <v>0</v>
      </c>
      <c r="AB48">
        <v>0</v>
      </c>
      <c r="AC48">
        <v>0</v>
      </c>
      <c r="AD48">
        <v>0</v>
      </c>
      <c r="AE48">
        <v>0</v>
      </c>
    </row>
    <row r="49" spans="1:31" hidden="1">
      <c r="A49" s="2" t="s">
        <v>35</v>
      </c>
      <c r="B49" s="2" t="s">
        <v>244</v>
      </c>
      <c r="C49" s="2">
        <v>5</v>
      </c>
      <c r="D49">
        <v>5</v>
      </c>
      <c r="H49" s="2" t="s">
        <v>203</v>
      </c>
      <c r="I49">
        <v>6</v>
      </c>
      <c r="J49" s="2" t="s">
        <v>30</v>
      </c>
      <c r="K49" s="2">
        <f t="shared" si="7"/>
        <v>5</v>
      </c>
      <c r="M49" s="2" cm="1">
        <f t="array" ref="M49">IF(AND('Nom du personnage'!U51=Compétences!J49,OR('Nom du personnage'!$C$65:$L$85=Compétences!$H$48,'Nom du personnage'!$Q$65:$Z$85=Compétences!$H$48)),H49,0)</f>
        <v>0</v>
      </c>
      <c r="N49" t="e">
        <f t="shared" si="6"/>
        <v>#N/A</v>
      </c>
      <c r="O49" t="e">
        <f t="shared" si="4"/>
        <v>#N/A</v>
      </c>
      <c r="P49">
        <f>'Nom du personnage'!$U$51</f>
        <v>0</v>
      </c>
      <c r="Q49" s="2" t="s">
        <v>452</v>
      </c>
      <c r="R49" s="2" t="s">
        <v>236</v>
      </c>
      <c r="T49" s="2" t="str">
        <f t="shared" si="1"/>
        <v>N/A</v>
      </c>
      <c r="U49">
        <v>-1</v>
      </c>
      <c r="V49" cm="1">
        <f t="array" ref="V49:AE49">'Nom du personnage'!$F$51:$O$51</f>
        <v>0</v>
      </c>
      <c r="W49">
        <v>0</v>
      </c>
      <c r="X49">
        <v>0</v>
      </c>
      <c r="Y49">
        <v>0</v>
      </c>
      <c r="Z49">
        <v>0</v>
      </c>
      <c r="AA49">
        <v>0</v>
      </c>
      <c r="AB49">
        <v>0</v>
      </c>
      <c r="AC49">
        <v>0</v>
      </c>
      <c r="AD49">
        <v>0</v>
      </c>
      <c r="AE49">
        <v>0</v>
      </c>
    </row>
    <row r="50" spans="1:31" hidden="1">
      <c r="A50" s="2" t="s">
        <v>35</v>
      </c>
      <c r="B50" s="2" t="s">
        <v>245</v>
      </c>
      <c r="C50" s="2">
        <v>2</v>
      </c>
      <c r="D50">
        <v>5</v>
      </c>
      <c r="H50" s="2" t="s">
        <v>204</v>
      </c>
      <c r="I50">
        <v>4</v>
      </c>
      <c r="J50" s="2" t="s">
        <v>30</v>
      </c>
      <c r="K50" s="2">
        <f t="shared" si="7"/>
        <v>1</v>
      </c>
      <c r="M50">
        <f t="shared" si="5"/>
        <v>0</v>
      </c>
      <c r="N50" t="e">
        <f t="shared" si="6"/>
        <v>#N/A</v>
      </c>
      <c r="O50" t="e">
        <f t="shared" si="4"/>
        <v>#N/A</v>
      </c>
      <c r="P50">
        <f>'Nom du personnage'!$U$51</f>
        <v>0</v>
      </c>
      <c r="Q50" s="2" t="s">
        <v>452</v>
      </c>
      <c r="R50" s="2" t="s">
        <v>241</v>
      </c>
      <c r="T50" s="2" t="str">
        <f t="shared" si="1"/>
        <v>N/A</v>
      </c>
      <c r="U50">
        <v>-1</v>
      </c>
      <c r="V50" cm="1">
        <f t="array" ref="V50:AE50">'Nom du personnage'!$F$51:$O$51</f>
        <v>0</v>
      </c>
      <c r="W50">
        <v>0</v>
      </c>
      <c r="X50">
        <v>0</v>
      </c>
      <c r="Y50">
        <v>0</v>
      </c>
      <c r="Z50">
        <v>0</v>
      </c>
      <c r="AA50">
        <v>0</v>
      </c>
      <c r="AB50">
        <v>0</v>
      </c>
      <c r="AC50">
        <v>0</v>
      </c>
      <c r="AD50">
        <v>0</v>
      </c>
      <c r="AE50">
        <v>0</v>
      </c>
    </row>
    <row r="51" spans="1:31" hidden="1">
      <c r="A51" s="2" t="s">
        <v>39</v>
      </c>
      <c r="B51" s="2" t="s">
        <v>232</v>
      </c>
      <c r="C51" s="2">
        <v>5</v>
      </c>
      <c r="D51">
        <v>5</v>
      </c>
      <c r="H51" s="2" t="s">
        <v>205</v>
      </c>
      <c r="I51">
        <v>5</v>
      </c>
      <c r="J51" s="2" t="s">
        <v>30</v>
      </c>
      <c r="K51" s="2">
        <f t="shared" si="7"/>
        <v>5</v>
      </c>
      <c r="M51" s="2" cm="1">
        <f t="array" ref="M51">IF(AND('Nom du personnage'!U51=Compétences!J51,OR('Nom du personnage'!$C$65:$L$85=Compétences!$H$50,'Nom du personnage'!$Q$65:$Z$85=Compétences!$H$50)),H51,0)</f>
        <v>0</v>
      </c>
      <c r="N51" t="e">
        <f t="shared" si="6"/>
        <v>#N/A</v>
      </c>
      <c r="O51" t="e">
        <f t="shared" si="4"/>
        <v>#N/A</v>
      </c>
      <c r="P51">
        <f>'Nom du personnage'!$U$51</f>
        <v>0</v>
      </c>
      <c r="Q51" s="2" t="s">
        <v>100</v>
      </c>
      <c r="R51" s="2" t="s">
        <v>199</v>
      </c>
      <c r="T51" s="2" t="str">
        <f t="shared" si="1"/>
        <v>N/A</v>
      </c>
      <c r="U51">
        <v>-1</v>
      </c>
      <c r="V51" cm="1">
        <f t="array" ref="V51:AE51">'Nom du personnage'!$F$51:$O$51</f>
        <v>0</v>
      </c>
      <c r="W51">
        <v>0</v>
      </c>
      <c r="X51">
        <v>0</v>
      </c>
      <c r="Y51">
        <v>0</v>
      </c>
      <c r="Z51">
        <v>0</v>
      </c>
      <c r="AA51">
        <v>0</v>
      </c>
      <c r="AB51">
        <v>0</v>
      </c>
      <c r="AC51">
        <v>0</v>
      </c>
      <c r="AD51">
        <v>0</v>
      </c>
      <c r="AE51">
        <v>0</v>
      </c>
    </row>
    <row r="52" spans="1:31">
      <c r="A52" s="2" t="s">
        <v>39</v>
      </c>
      <c r="B52" s="2" t="s">
        <v>233</v>
      </c>
      <c r="C52" s="2">
        <v>6</v>
      </c>
      <c r="D52">
        <v>5</v>
      </c>
      <c r="H52" s="2" t="s">
        <v>206</v>
      </c>
      <c r="I52">
        <v>3</v>
      </c>
      <c r="J52" s="2" t="s">
        <v>30</v>
      </c>
      <c r="K52" s="2">
        <f>VLOOKUP(H52,$B$3:$D$115,3,FALSE)</f>
        <v>5</v>
      </c>
      <c r="M52" s="2" cm="1">
        <f t="array" ref="M52">IF(AND('Nom du personnage'!U51=Compétences!J52,OR('Nom du personnage'!$C$65:$L$85=Compétences!$M$18,'Nom du personnage'!$Q$65:$Z$85=Compétences!$M$18)),H52,0)</f>
        <v>0</v>
      </c>
      <c r="N52" t="e">
        <f t="shared" si="6"/>
        <v>#N/A</v>
      </c>
      <c r="O52" t="e">
        <f t="shared" si="4"/>
        <v>#N/A</v>
      </c>
      <c r="P52">
        <f>'Nom du personnage'!$U$51</f>
        <v>0</v>
      </c>
      <c r="Q52" s="2" t="s">
        <v>100</v>
      </c>
      <c r="R52" s="2" t="s">
        <v>171</v>
      </c>
      <c r="T52" s="2" t="str">
        <f t="shared" si="1"/>
        <v>N/A</v>
      </c>
      <c r="U52">
        <v>-1</v>
      </c>
      <c r="V52" cm="1">
        <f t="array" ref="V52:AE52">'Nom du personnage'!$F$51:$O$51</f>
        <v>0</v>
      </c>
      <c r="W52">
        <v>0</v>
      </c>
      <c r="X52">
        <v>0</v>
      </c>
      <c r="Y52">
        <v>0</v>
      </c>
      <c r="Z52">
        <v>0</v>
      </c>
      <c r="AA52">
        <v>0</v>
      </c>
      <c r="AB52">
        <v>0</v>
      </c>
      <c r="AC52">
        <v>0</v>
      </c>
      <c r="AD52">
        <v>0</v>
      </c>
      <c r="AE52">
        <v>0</v>
      </c>
    </row>
    <row r="53" spans="1:31" hidden="1">
      <c r="A53" s="2" t="s">
        <v>39</v>
      </c>
      <c r="B53" s="2" t="s">
        <v>234</v>
      </c>
      <c r="C53" s="2">
        <v>6</v>
      </c>
      <c r="D53">
        <v>5</v>
      </c>
      <c r="H53" s="2" t="s">
        <v>1005</v>
      </c>
      <c r="I53" s="2">
        <v>2</v>
      </c>
      <c r="J53" s="2" t="s">
        <v>30</v>
      </c>
      <c r="K53" s="2">
        <f>VLOOKUP(H53,$B$3:$D$115,3,FALSE)</f>
        <v>5</v>
      </c>
      <c r="M53" s="2" cm="1">
        <f t="array" ref="M53">IF(AND('Nom du personnage'!$U$51=Compétences!J53,OR('Nom du personnage'!$C$65:$L$85=Compétences!$M$3,'Nom du personnage'!$Q$65:$Z$85=Compétences!$M$3)),H53,0)</f>
        <v>0</v>
      </c>
      <c r="N53" t="e">
        <f t="shared" si="6"/>
        <v>#N/A</v>
      </c>
      <c r="O53" t="e">
        <f t="shared" si="4"/>
        <v>#N/A</v>
      </c>
      <c r="P53">
        <f>'Nom du personnage'!$U$51</f>
        <v>0</v>
      </c>
      <c r="Q53" s="2" t="s">
        <v>42</v>
      </c>
      <c r="R53" s="2" t="s">
        <v>185</v>
      </c>
      <c r="T53" s="2" t="str">
        <f t="shared" si="1"/>
        <v>N/A</v>
      </c>
      <c r="U53">
        <v>-1</v>
      </c>
      <c r="V53" cm="1">
        <f t="array" ref="V53:AE53">'Nom du personnage'!$F$51:$O$51</f>
        <v>0</v>
      </c>
      <c r="W53">
        <v>0</v>
      </c>
      <c r="X53">
        <v>0</v>
      </c>
      <c r="Y53">
        <v>0</v>
      </c>
      <c r="Z53">
        <v>0</v>
      </c>
      <c r="AA53">
        <v>0</v>
      </c>
      <c r="AB53">
        <v>0</v>
      </c>
      <c r="AC53">
        <v>0</v>
      </c>
      <c r="AD53">
        <v>0</v>
      </c>
      <c r="AE53">
        <v>0</v>
      </c>
    </row>
    <row r="54" spans="1:31" hidden="1">
      <c r="A54" s="2" t="s">
        <v>39</v>
      </c>
      <c r="B54" s="2" t="s">
        <v>235</v>
      </c>
      <c r="C54" s="2">
        <v>6</v>
      </c>
      <c r="D54">
        <v>5</v>
      </c>
      <c r="H54" s="2" t="s">
        <v>208</v>
      </c>
      <c r="I54" s="2">
        <v>6</v>
      </c>
      <c r="J54" s="2" t="s">
        <v>30</v>
      </c>
      <c r="K54" s="2">
        <f t="shared" si="7"/>
        <v>1</v>
      </c>
      <c r="M54">
        <f t="shared" si="5"/>
        <v>0</v>
      </c>
      <c r="N54" t="e">
        <f t="shared" si="6"/>
        <v>#N/A</v>
      </c>
      <c r="O54" t="e">
        <f t="shared" si="4"/>
        <v>#N/A</v>
      </c>
      <c r="P54">
        <f>'Nom du personnage'!$U$51</f>
        <v>0</v>
      </c>
      <c r="Q54" s="2" t="s">
        <v>42</v>
      </c>
      <c r="R54" s="2" t="s">
        <v>269</v>
      </c>
      <c r="T54" s="2" t="str">
        <f t="shared" si="1"/>
        <v>N/A</v>
      </c>
      <c r="U54">
        <v>-1</v>
      </c>
      <c r="V54" cm="1">
        <f t="array" ref="V54:AE54">'Nom du personnage'!$F$51:$O$51</f>
        <v>0</v>
      </c>
      <c r="W54">
        <v>0</v>
      </c>
      <c r="X54">
        <v>0</v>
      </c>
      <c r="Y54">
        <v>0</v>
      </c>
      <c r="Z54">
        <v>0</v>
      </c>
      <c r="AA54">
        <v>0</v>
      </c>
      <c r="AB54">
        <v>0</v>
      </c>
      <c r="AC54">
        <v>0</v>
      </c>
      <c r="AD54">
        <v>0</v>
      </c>
      <c r="AE54">
        <v>0</v>
      </c>
    </row>
    <row r="55" spans="1:31" hidden="1">
      <c r="A55" s="2" t="s">
        <v>39</v>
      </c>
      <c r="B55" s="2" t="s">
        <v>236</v>
      </c>
      <c r="C55" s="2">
        <v>3</v>
      </c>
      <c r="D55">
        <v>1</v>
      </c>
      <c r="H55" s="2" t="s">
        <v>209</v>
      </c>
      <c r="I55" s="2">
        <v>4</v>
      </c>
      <c r="J55" s="2" t="s">
        <v>30</v>
      </c>
      <c r="K55" s="2">
        <f t="shared" si="7"/>
        <v>1</v>
      </c>
      <c r="M55">
        <f t="shared" si="5"/>
        <v>0</v>
      </c>
      <c r="N55" t="e">
        <f t="shared" si="6"/>
        <v>#N/A</v>
      </c>
      <c r="O55" t="e">
        <f t="shared" si="4"/>
        <v>#N/A</v>
      </c>
      <c r="P55">
        <f>'Nom du personnage'!$U$51</f>
        <v>0</v>
      </c>
      <c r="Q55" s="2" t="s">
        <v>78</v>
      </c>
      <c r="R55" s="2" t="s">
        <v>269</v>
      </c>
      <c r="T55" s="2" t="str">
        <f t="shared" si="1"/>
        <v>N/A</v>
      </c>
      <c r="U55">
        <v>-1</v>
      </c>
      <c r="V55" cm="1">
        <f t="array" ref="V55:AE55">'Nom du personnage'!$F$51:$O$51</f>
        <v>0</v>
      </c>
      <c r="W55">
        <v>0</v>
      </c>
      <c r="X55">
        <v>0</v>
      </c>
      <c r="Y55">
        <v>0</v>
      </c>
      <c r="Z55">
        <v>0</v>
      </c>
      <c r="AA55">
        <v>0</v>
      </c>
      <c r="AB55">
        <v>0</v>
      </c>
      <c r="AC55">
        <v>0</v>
      </c>
      <c r="AD55">
        <v>0</v>
      </c>
      <c r="AE55">
        <v>0</v>
      </c>
    </row>
    <row r="56" spans="1:31" hidden="1">
      <c r="A56" s="2" t="s">
        <v>39</v>
      </c>
      <c r="B56" s="2" t="s">
        <v>237</v>
      </c>
      <c r="C56" s="2">
        <v>5</v>
      </c>
      <c r="D56">
        <v>1</v>
      </c>
      <c r="H56" s="2" t="s">
        <v>211</v>
      </c>
      <c r="I56" s="2">
        <v>4</v>
      </c>
      <c r="J56" s="2" t="s">
        <v>30</v>
      </c>
      <c r="K56" s="2">
        <f t="shared" si="7"/>
        <v>1</v>
      </c>
      <c r="M56">
        <f t="shared" si="5"/>
        <v>0</v>
      </c>
      <c r="N56" t="e">
        <f t="shared" si="6"/>
        <v>#N/A</v>
      </c>
      <c r="O56" t="e">
        <f t="shared" si="4"/>
        <v>#N/A</v>
      </c>
      <c r="P56">
        <f>'Nom du personnage'!$U$51</f>
        <v>0</v>
      </c>
      <c r="Q56" s="2" t="s">
        <v>78</v>
      </c>
      <c r="R56" s="2" t="s">
        <v>232</v>
      </c>
      <c r="T56" s="2" t="str">
        <f t="shared" si="1"/>
        <v>N/A</v>
      </c>
      <c r="U56">
        <v>-1</v>
      </c>
      <c r="V56" cm="1">
        <f t="array" ref="V56:AE56">'Nom du personnage'!$F$51:$O$51</f>
        <v>0</v>
      </c>
      <c r="W56">
        <v>0</v>
      </c>
      <c r="X56">
        <v>0</v>
      </c>
      <c r="Y56">
        <v>0</v>
      </c>
      <c r="Z56">
        <v>0</v>
      </c>
      <c r="AA56">
        <v>0</v>
      </c>
      <c r="AB56">
        <v>0</v>
      </c>
      <c r="AC56">
        <v>0</v>
      </c>
      <c r="AD56">
        <v>0</v>
      </c>
      <c r="AE56">
        <v>0</v>
      </c>
    </row>
    <row r="57" spans="1:31" hidden="1">
      <c r="A57" s="2" t="s">
        <v>39</v>
      </c>
      <c r="B57" s="2" t="s">
        <v>238</v>
      </c>
      <c r="C57" s="2">
        <v>3</v>
      </c>
      <c r="D57">
        <v>1</v>
      </c>
      <c r="H57" s="2" t="s">
        <v>210</v>
      </c>
      <c r="I57" s="2">
        <v>6</v>
      </c>
      <c r="J57" s="2" t="s">
        <v>30</v>
      </c>
      <c r="K57" s="2">
        <f t="shared" si="7"/>
        <v>1</v>
      </c>
      <c r="M57">
        <f t="shared" si="5"/>
        <v>0</v>
      </c>
      <c r="N57" t="e">
        <f t="shared" si="6"/>
        <v>#N/A</v>
      </c>
      <c r="O57" t="e">
        <f t="shared" si="4"/>
        <v>#N/A</v>
      </c>
      <c r="P57">
        <f>'Nom du personnage'!$U$51</f>
        <v>0</v>
      </c>
      <c r="Q57" s="2" t="s">
        <v>93</v>
      </c>
      <c r="R57" s="2" t="s">
        <v>183</v>
      </c>
      <c r="T57" s="2" t="str">
        <f t="shared" si="1"/>
        <v>N/A</v>
      </c>
      <c r="U57">
        <v>-1</v>
      </c>
      <c r="V57" cm="1">
        <f t="array" ref="V57:AE57">'Nom du personnage'!$F$51:$O$51</f>
        <v>0</v>
      </c>
      <c r="W57">
        <v>0</v>
      </c>
      <c r="X57">
        <v>0</v>
      </c>
      <c r="Y57">
        <v>0</v>
      </c>
      <c r="Z57">
        <v>0</v>
      </c>
      <c r="AA57">
        <v>0</v>
      </c>
      <c r="AB57">
        <v>0</v>
      </c>
      <c r="AC57">
        <v>0</v>
      </c>
      <c r="AD57">
        <v>0</v>
      </c>
      <c r="AE57">
        <v>0</v>
      </c>
    </row>
    <row r="58" spans="1:31" hidden="1">
      <c r="A58" s="2" t="s">
        <v>39</v>
      </c>
      <c r="B58" s="2" t="s">
        <v>246</v>
      </c>
      <c r="C58" s="2">
        <v>6</v>
      </c>
      <c r="D58">
        <v>5</v>
      </c>
      <c r="H58" s="2" t="s">
        <v>212</v>
      </c>
      <c r="I58" s="2">
        <v>6</v>
      </c>
      <c r="J58" s="2" t="s">
        <v>30</v>
      </c>
      <c r="K58" s="2">
        <f t="shared" si="7"/>
        <v>1</v>
      </c>
      <c r="M58">
        <f t="shared" si="5"/>
        <v>0</v>
      </c>
      <c r="N58" t="e">
        <f t="shared" si="6"/>
        <v>#N/A</v>
      </c>
      <c r="O58" t="e">
        <f t="shared" si="4"/>
        <v>#N/A</v>
      </c>
      <c r="P58">
        <f>'Nom du personnage'!$U$51</f>
        <v>0</v>
      </c>
      <c r="Q58" s="2" t="s">
        <v>93</v>
      </c>
      <c r="R58" s="2" t="s">
        <v>171</v>
      </c>
      <c r="T58" s="2" t="str">
        <f t="shared" si="1"/>
        <v>N/A</v>
      </c>
      <c r="U58">
        <v>-1</v>
      </c>
      <c r="V58" cm="1">
        <f t="array" ref="V58:AE58">'Nom du personnage'!$F$51:$O$51</f>
        <v>0</v>
      </c>
      <c r="W58">
        <v>0</v>
      </c>
      <c r="X58">
        <v>0</v>
      </c>
      <c r="Y58">
        <v>0</v>
      </c>
      <c r="Z58">
        <v>0</v>
      </c>
      <c r="AA58">
        <v>0</v>
      </c>
      <c r="AB58">
        <v>0</v>
      </c>
      <c r="AC58">
        <v>0</v>
      </c>
      <c r="AD58">
        <v>0</v>
      </c>
      <c r="AE58">
        <v>0</v>
      </c>
    </row>
    <row r="59" spans="1:31" hidden="1">
      <c r="A59" s="2" t="s">
        <v>39</v>
      </c>
      <c r="B59" s="2" t="s">
        <v>239</v>
      </c>
      <c r="C59" s="2">
        <v>5</v>
      </c>
      <c r="D59">
        <v>1</v>
      </c>
      <c r="H59" s="2" t="s">
        <v>213</v>
      </c>
      <c r="I59" s="2">
        <v>6</v>
      </c>
      <c r="J59" s="2" t="s">
        <v>30</v>
      </c>
      <c r="K59" s="2">
        <f t="shared" si="7"/>
        <v>1</v>
      </c>
      <c r="M59">
        <f t="shared" si="5"/>
        <v>0</v>
      </c>
      <c r="N59" t="e">
        <f t="shared" si="6"/>
        <v>#N/A</v>
      </c>
      <c r="O59" t="e">
        <f t="shared" si="4"/>
        <v>#N/A</v>
      </c>
      <c r="P59">
        <f>'Nom du personnage'!$U$51</f>
        <v>0</v>
      </c>
      <c r="Q59" s="2" t="s">
        <v>34</v>
      </c>
      <c r="R59" s="2" t="s">
        <v>162</v>
      </c>
      <c r="T59" s="2" t="str">
        <f t="shared" si="1"/>
        <v>N/A</v>
      </c>
      <c r="U59">
        <v>-1</v>
      </c>
      <c r="V59" cm="1">
        <f t="array" ref="V59:AE59">'Nom du personnage'!$F$51:$O$51</f>
        <v>0</v>
      </c>
      <c r="W59">
        <v>0</v>
      </c>
      <c r="X59">
        <v>0</v>
      </c>
      <c r="Y59">
        <v>0</v>
      </c>
      <c r="Z59">
        <v>0</v>
      </c>
      <c r="AA59">
        <v>0</v>
      </c>
      <c r="AB59">
        <v>0</v>
      </c>
      <c r="AC59">
        <v>0</v>
      </c>
      <c r="AD59">
        <v>0</v>
      </c>
      <c r="AE59">
        <v>0</v>
      </c>
    </row>
    <row r="60" spans="1:31" hidden="1">
      <c r="A60" s="2" t="s">
        <v>39</v>
      </c>
      <c r="B60" s="2" t="s">
        <v>240</v>
      </c>
      <c r="C60" s="2">
        <v>6</v>
      </c>
      <c r="D60">
        <v>1</v>
      </c>
      <c r="H60" s="2" t="s">
        <v>227</v>
      </c>
      <c r="I60" s="2">
        <v>3</v>
      </c>
      <c r="J60" s="2" t="s">
        <v>32</v>
      </c>
      <c r="K60" s="2">
        <f t="shared" si="7"/>
        <v>5</v>
      </c>
      <c r="M60" s="2" cm="1">
        <f t="array" ref="M60">IF(AND('Nom du personnage'!$U$51=Compétences!J60,OR('Nom du personnage'!$C$65:$L$85=Compétences!$M$12,'Nom du personnage'!$Q$65:$Z$85=Compétences!$M$12)),H60,0)</f>
        <v>0</v>
      </c>
      <c r="N60" t="e">
        <f t="shared" si="6"/>
        <v>#N/A</v>
      </c>
      <c r="O60" t="e">
        <f t="shared" si="4"/>
        <v>#N/A</v>
      </c>
      <c r="P60">
        <f>'Nom du personnage'!$U$51</f>
        <v>0</v>
      </c>
      <c r="Q60" s="2" t="s">
        <v>34</v>
      </c>
      <c r="R60" s="2" t="s">
        <v>266</v>
      </c>
      <c r="T60" s="2" t="str">
        <f t="shared" si="1"/>
        <v>N/A</v>
      </c>
      <c r="U60">
        <v>-1</v>
      </c>
      <c r="V60" cm="1">
        <f t="array" ref="V60:AE60">'Nom du personnage'!$F$51:$O$51</f>
        <v>0</v>
      </c>
      <c r="W60">
        <v>0</v>
      </c>
      <c r="X60">
        <v>0</v>
      </c>
      <c r="Y60">
        <v>0</v>
      </c>
      <c r="Z60">
        <v>0</v>
      </c>
      <c r="AA60">
        <v>0</v>
      </c>
      <c r="AB60">
        <v>0</v>
      </c>
      <c r="AC60">
        <v>0</v>
      </c>
      <c r="AD60">
        <v>0</v>
      </c>
      <c r="AE60">
        <v>0</v>
      </c>
    </row>
    <row r="61" spans="1:31" hidden="1">
      <c r="A61" s="2" t="s">
        <v>39</v>
      </c>
      <c r="B61" s="2" t="s">
        <v>241</v>
      </c>
      <c r="C61" s="2">
        <v>6</v>
      </c>
      <c r="D61">
        <v>1</v>
      </c>
      <c r="H61" s="2" t="s">
        <v>199</v>
      </c>
      <c r="I61" s="2">
        <v>6</v>
      </c>
      <c r="J61" s="2" t="s">
        <v>32</v>
      </c>
      <c r="K61" s="2">
        <f t="shared" si="7"/>
        <v>1</v>
      </c>
      <c r="M61" s="2" cm="1">
        <f t="array" ref="M61">IF(AND('Nom du personnage'!U67=Compétences!J61,OR('Nom du personnage'!$C$65:$L$85=Compétences!$M$13,'Nom du personnage'!$Q$65:$Z$85=Compétences!$M$13)),H61,0)</f>
        <v>0</v>
      </c>
      <c r="N61" t="e">
        <f t="shared" si="6"/>
        <v>#N/A</v>
      </c>
      <c r="O61" t="e">
        <f t="shared" si="4"/>
        <v>#N/A</v>
      </c>
      <c r="P61">
        <f>'Nom du personnage'!$U$51</f>
        <v>0</v>
      </c>
      <c r="Q61" s="2" t="s">
        <v>46</v>
      </c>
      <c r="R61" s="2" t="s">
        <v>212</v>
      </c>
      <c r="T61" s="2" t="str">
        <f t="shared" si="1"/>
        <v>N/A</v>
      </c>
      <c r="U61">
        <v>-1</v>
      </c>
      <c r="V61" cm="1">
        <f t="array" ref="V61:AE61">'Nom du personnage'!$F$51:$O$51</f>
        <v>0</v>
      </c>
      <c r="W61">
        <v>0</v>
      </c>
      <c r="X61">
        <v>0</v>
      </c>
      <c r="Y61">
        <v>0</v>
      </c>
      <c r="Z61">
        <v>0</v>
      </c>
      <c r="AA61">
        <v>0</v>
      </c>
      <c r="AB61">
        <v>0</v>
      </c>
      <c r="AC61">
        <v>0</v>
      </c>
      <c r="AD61">
        <v>0</v>
      </c>
      <c r="AE61">
        <v>0</v>
      </c>
    </row>
    <row r="62" spans="1:31" hidden="1">
      <c r="A62" s="2" t="s">
        <v>39</v>
      </c>
      <c r="B62" s="2" t="s">
        <v>242</v>
      </c>
      <c r="C62" s="2">
        <v>6</v>
      </c>
      <c r="D62">
        <v>5</v>
      </c>
      <c r="H62" s="2" t="s">
        <v>200</v>
      </c>
      <c r="I62" s="2">
        <v>6</v>
      </c>
      <c r="J62" s="2" t="s">
        <v>32</v>
      </c>
      <c r="K62" s="2">
        <f t="shared" si="7"/>
        <v>1</v>
      </c>
      <c r="M62">
        <f t="shared" si="5"/>
        <v>0</v>
      </c>
      <c r="N62" t="e">
        <f t="shared" si="6"/>
        <v>#N/A</v>
      </c>
      <c r="O62" t="e">
        <f t="shared" si="4"/>
        <v>#N/A</v>
      </c>
      <c r="P62">
        <f>'Nom du personnage'!$U$51</f>
        <v>0</v>
      </c>
      <c r="Q62" s="2" t="s">
        <v>46</v>
      </c>
      <c r="R62" s="2" t="s">
        <v>232</v>
      </c>
      <c r="T62" s="2" t="str">
        <f t="shared" si="1"/>
        <v>N/A</v>
      </c>
      <c r="U62">
        <v>-1</v>
      </c>
      <c r="V62" cm="1">
        <f t="array" ref="V62:AE62">'Nom du personnage'!$F$51:$O$51</f>
        <v>0</v>
      </c>
      <c r="W62">
        <v>0</v>
      </c>
      <c r="X62">
        <v>0</v>
      </c>
      <c r="Y62">
        <v>0</v>
      </c>
      <c r="Z62">
        <v>0</v>
      </c>
      <c r="AA62">
        <v>0</v>
      </c>
      <c r="AB62">
        <v>0</v>
      </c>
      <c r="AC62">
        <v>0</v>
      </c>
      <c r="AD62">
        <v>0</v>
      </c>
      <c r="AE62">
        <v>0</v>
      </c>
    </row>
    <row r="63" spans="1:31" hidden="1">
      <c r="A63" s="2" t="s">
        <v>39</v>
      </c>
      <c r="B63" s="2" t="s">
        <v>243</v>
      </c>
      <c r="C63" s="2">
        <v>5</v>
      </c>
      <c r="D63">
        <v>1</v>
      </c>
      <c r="H63" s="2" t="s">
        <v>202</v>
      </c>
      <c r="I63" s="2">
        <v>5</v>
      </c>
      <c r="J63" s="2" t="s">
        <v>32</v>
      </c>
      <c r="K63" s="2">
        <f t="shared" si="7"/>
        <v>5</v>
      </c>
      <c r="M63">
        <f t="shared" si="5"/>
        <v>0</v>
      </c>
      <c r="N63" t="e">
        <f t="shared" si="6"/>
        <v>#N/A</v>
      </c>
      <c r="O63" t="e">
        <f t="shared" si="4"/>
        <v>#N/A</v>
      </c>
      <c r="P63">
        <f>'Nom du personnage'!$U$51</f>
        <v>0</v>
      </c>
      <c r="Q63" s="2" t="s">
        <v>109</v>
      </c>
      <c r="R63" s="2" t="s">
        <v>171</v>
      </c>
      <c r="T63" s="2" t="str">
        <f t="shared" si="1"/>
        <v>N/A</v>
      </c>
      <c r="U63">
        <v>-1</v>
      </c>
      <c r="V63" cm="1">
        <f t="array" ref="V63:AE63">'Nom du personnage'!$F$51:$O$51</f>
        <v>0</v>
      </c>
      <c r="W63">
        <v>0</v>
      </c>
      <c r="X63">
        <v>0</v>
      </c>
      <c r="Y63">
        <v>0</v>
      </c>
      <c r="Z63">
        <v>0</v>
      </c>
      <c r="AA63">
        <v>0</v>
      </c>
      <c r="AB63">
        <v>0</v>
      </c>
      <c r="AC63">
        <v>0</v>
      </c>
      <c r="AD63">
        <v>0</v>
      </c>
      <c r="AE63">
        <v>0</v>
      </c>
    </row>
    <row r="64" spans="1:31" hidden="1">
      <c r="A64" s="2" t="s">
        <v>39</v>
      </c>
      <c r="B64" s="2" t="s">
        <v>244</v>
      </c>
      <c r="C64" s="2">
        <v>5</v>
      </c>
      <c r="D64">
        <v>5</v>
      </c>
      <c r="H64" s="2" t="s">
        <v>203</v>
      </c>
      <c r="I64" s="2">
        <v>6</v>
      </c>
      <c r="J64" s="2" t="s">
        <v>32</v>
      </c>
      <c r="K64" s="2">
        <f t="shared" si="7"/>
        <v>5</v>
      </c>
      <c r="M64" s="2" cm="1">
        <f t="array" ref="M64">IF(AND('Nom du personnage'!U51=Compétences!J64,OR('Nom du personnage'!$C$65:$L$85=Compétences!$H$48,'Nom du personnage'!$Q$65:$Z$85=Compétences!$H$48)),H64,0)</f>
        <v>0</v>
      </c>
      <c r="N64" t="e">
        <f t="shared" si="6"/>
        <v>#N/A</v>
      </c>
      <c r="O64" t="e">
        <f t="shared" si="4"/>
        <v>#N/A</v>
      </c>
      <c r="P64">
        <f>'Nom du personnage'!$U$51</f>
        <v>0</v>
      </c>
      <c r="Q64" s="2" t="s">
        <v>109</v>
      </c>
      <c r="R64" s="2" t="s">
        <v>178</v>
      </c>
      <c r="T64" s="2" t="str">
        <f t="shared" si="1"/>
        <v>N/A</v>
      </c>
      <c r="U64">
        <v>-1</v>
      </c>
      <c r="V64" cm="1">
        <f t="array" ref="V64:AE64">'Nom du personnage'!$F$51:$O$51</f>
        <v>0</v>
      </c>
      <c r="W64">
        <v>0</v>
      </c>
      <c r="X64">
        <v>0</v>
      </c>
      <c r="Y64">
        <v>0</v>
      </c>
      <c r="Z64">
        <v>0</v>
      </c>
      <c r="AA64">
        <v>0</v>
      </c>
      <c r="AB64">
        <v>0</v>
      </c>
      <c r="AC64">
        <v>0</v>
      </c>
      <c r="AD64">
        <v>0</v>
      </c>
      <c r="AE64">
        <v>0</v>
      </c>
    </row>
    <row r="65" spans="1:31" hidden="1">
      <c r="A65" s="2" t="s">
        <v>39</v>
      </c>
      <c r="B65" s="2" t="s">
        <v>245</v>
      </c>
      <c r="C65" s="2">
        <v>2</v>
      </c>
      <c r="D65">
        <v>5</v>
      </c>
      <c r="H65" s="2" t="s">
        <v>228</v>
      </c>
      <c r="I65" s="2">
        <v>4</v>
      </c>
      <c r="J65" s="2" t="s">
        <v>32</v>
      </c>
      <c r="K65" s="2">
        <f t="shared" si="7"/>
        <v>5</v>
      </c>
      <c r="M65">
        <f t="shared" si="5"/>
        <v>0</v>
      </c>
      <c r="N65" t="e">
        <f t="shared" si="6"/>
        <v>#N/A</v>
      </c>
      <c r="O65" t="e">
        <f t="shared" si="4"/>
        <v>#N/A</v>
      </c>
      <c r="P65">
        <f>'Nom du personnage'!$U$51</f>
        <v>0</v>
      </c>
      <c r="Q65" s="2" t="s">
        <v>112</v>
      </c>
      <c r="R65" s="2" t="s">
        <v>171</v>
      </c>
      <c r="T65" s="2" t="str">
        <f t="shared" si="1"/>
        <v>N/A</v>
      </c>
      <c r="U65">
        <v>-1</v>
      </c>
      <c r="V65" cm="1">
        <f t="array" ref="V65:AE65">'Nom du personnage'!$F$51:$O$51</f>
        <v>0</v>
      </c>
      <c r="W65">
        <v>0</v>
      </c>
      <c r="X65">
        <v>0</v>
      </c>
      <c r="Y65">
        <v>0</v>
      </c>
      <c r="Z65">
        <v>0</v>
      </c>
      <c r="AA65">
        <v>0</v>
      </c>
      <c r="AB65">
        <v>0</v>
      </c>
      <c r="AC65">
        <v>0</v>
      </c>
      <c r="AD65">
        <v>0</v>
      </c>
      <c r="AE65">
        <v>0</v>
      </c>
    </row>
    <row r="66" spans="1:31" hidden="1">
      <c r="A66" s="2" t="s">
        <v>43</v>
      </c>
      <c r="B66" s="2" t="s">
        <v>247</v>
      </c>
      <c r="C66" s="2">
        <v>5</v>
      </c>
      <c r="D66">
        <v>5</v>
      </c>
      <c r="H66" s="2" t="s">
        <v>204</v>
      </c>
      <c r="I66" s="2">
        <v>5</v>
      </c>
      <c r="J66" s="2" t="s">
        <v>32</v>
      </c>
      <c r="K66" s="2">
        <f t="shared" si="7"/>
        <v>1</v>
      </c>
      <c r="M66">
        <f t="shared" si="5"/>
        <v>0</v>
      </c>
      <c r="N66" t="e">
        <f t="shared" si="6"/>
        <v>#N/A</v>
      </c>
      <c r="O66" t="e">
        <f t="shared" si="4"/>
        <v>#N/A</v>
      </c>
      <c r="P66">
        <f>'Nom du personnage'!$U$51</f>
        <v>0</v>
      </c>
      <c r="Q66" s="2" t="s">
        <v>112</v>
      </c>
      <c r="R66" s="2" t="s">
        <v>212</v>
      </c>
      <c r="T66" s="2" t="str">
        <f t="shared" si="1"/>
        <v>N/A</v>
      </c>
      <c r="U66">
        <v>-1</v>
      </c>
      <c r="V66" cm="1">
        <f t="array" ref="V66:AE66">'Nom du personnage'!$F$51:$O$51</f>
        <v>0</v>
      </c>
      <c r="W66">
        <v>0</v>
      </c>
      <c r="X66">
        <v>0</v>
      </c>
      <c r="Y66">
        <v>0</v>
      </c>
      <c r="Z66">
        <v>0</v>
      </c>
      <c r="AA66">
        <v>0</v>
      </c>
      <c r="AB66">
        <v>0</v>
      </c>
      <c r="AC66">
        <v>0</v>
      </c>
      <c r="AD66">
        <v>0</v>
      </c>
      <c r="AE66">
        <v>0</v>
      </c>
    </row>
    <row r="67" spans="1:31" hidden="1">
      <c r="A67" s="2" t="s">
        <v>43</v>
      </c>
      <c r="B67" s="2" t="s">
        <v>248</v>
      </c>
      <c r="C67" s="2">
        <v>5</v>
      </c>
      <c r="D67">
        <v>5</v>
      </c>
      <c r="H67" s="2" t="s">
        <v>205</v>
      </c>
      <c r="I67" s="2">
        <v>5</v>
      </c>
      <c r="J67" s="2" t="s">
        <v>32</v>
      </c>
      <c r="K67" s="2">
        <f t="shared" si="7"/>
        <v>5</v>
      </c>
      <c r="M67" s="2" cm="1">
        <f t="array" ref="M67">IF(AND('Nom du personnage'!U67=Compétences!J67,OR('Nom du personnage'!$C$65:$L$85=Compétences!$H$50,'Nom du personnage'!$Q$65:$Z$85=Compétences!$H$50)),H67,0)</f>
        <v>0</v>
      </c>
      <c r="N67" t="e">
        <f t="shared" si="6"/>
        <v>#N/A</v>
      </c>
      <c r="O67" t="e">
        <f t="shared" si="4"/>
        <v>#N/A</v>
      </c>
      <c r="P67">
        <f>'Nom du personnage'!$U$51</f>
        <v>0</v>
      </c>
      <c r="Q67" s="2" t="s">
        <v>149</v>
      </c>
      <c r="R67" s="2" t="s">
        <v>171</v>
      </c>
      <c r="T67" s="2" t="str">
        <f t="shared" si="1"/>
        <v>N/A</v>
      </c>
      <c r="U67">
        <v>-1</v>
      </c>
      <c r="V67" cm="1">
        <f t="array" ref="V67:AE67">'Nom du personnage'!$F$51:$O$51</f>
        <v>0</v>
      </c>
      <c r="W67">
        <v>0</v>
      </c>
      <c r="X67">
        <v>0</v>
      </c>
      <c r="Y67">
        <v>0</v>
      </c>
      <c r="Z67">
        <v>0</v>
      </c>
      <c r="AA67">
        <v>0</v>
      </c>
      <c r="AB67">
        <v>0</v>
      </c>
      <c r="AC67">
        <v>0</v>
      </c>
      <c r="AD67">
        <v>0</v>
      </c>
      <c r="AE67">
        <v>0</v>
      </c>
    </row>
    <row r="68" spans="1:31" hidden="1">
      <c r="A68" s="2" t="s">
        <v>43</v>
      </c>
      <c r="B68" s="2" t="s">
        <v>249</v>
      </c>
      <c r="C68" s="2">
        <v>5</v>
      </c>
      <c r="D68">
        <v>5</v>
      </c>
      <c r="H68" s="2" t="s">
        <v>229</v>
      </c>
      <c r="I68" s="2">
        <v>6</v>
      </c>
      <c r="J68" s="2" t="s">
        <v>32</v>
      </c>
      <c r="K68" s="2">
        <f t="shared" si="7"/>
        <v>5</v>
      </c>
      <c r="M68">
        <f t="shared" si="5"/>
        <v>0</v>
      </c>
      <c r="N68" t="e">
        <f t="shared" ref="N68:N96" si="8">VLOOKUP(M68,H68:J125,2,FALSE)</f>
        <v>#N/A</v>
      </c>
      <c r="O68" t="e">
        <f t="shared" ref="O68:O96" si="9">VLOOKUP(M68,H68:J125,2,FALSE)</f>
        <v>#N/A</v>
      </c>
      <c r="P68">
        <f>'Nom du personnage'!$U$51</f>
        <v>0</v>
      </c>
      <c r="Q68" s="2" t="s">
        <v>149</v>
      </c>
      <c r="R68" s="2" t="s">
        <v>243</v>
      </c>
      <c r="T68" s="2" t="str">
        <f t="shared" ref="T68" si="10">+IF(V68=Q68,R68,"N/A")</f>
        <v>N/A</v>
      </c>
      <c r="U68">
        <v>-1</v>
      </c>
      <c r="V68" cm="1">
        <f t="array" ref="V68:AE68">'Nom du personnage'!$F$51:$O$51</f>
        <v>0</v>
      </c>
      <c r="W68">
        <v>0</v>
      </c>
      <c r="X68">
        <v>0</v>
      </c>
      <c r="Y68">
        <v>0</v>
      </c>
      <c r="Z68">
        <v>0</v>
      </c>
      <c r="AA68">
        <v>0</v>
      </c>
      <c r="AB68">
        <v>0</v>
      </c>
      <c r="AC68">
        <v>0</v>
      </c>
      <c r="AD68">
        <v>0</v>
      </c>
      <c r="AE68">
        <v>0</v>
      </c>
    </row>
    <row r="69" spans="1:31">
      <c r="A69" s="2" t="s">
        <v>43</v>
      </c>
      <c r="B69" s="2" t="s">
        <v>250</v>
      </c>
      <c r="C69" s="2">
        <v>5</v>
      </c>
      <c r="D69">
        <v>5</v>
      </c>
      <c r="H69" s="2" t="s">
        <v>206</v>
      </c>
      <c r="I69" s="2">
        <v>3</v>
      </c>
      <c r="J69" s="2" t="s">
        <v>32</v>
      </c>
      <c r="K69" s="2">
        <f t="shared" si="7"/>
        <v>5</v>
      </c>
      <c r="M69" s="2" cm="1">
        <f t="array" ref="M69">IF(AND('Nom du personnage'!U68=Compétences!J69,OR('Nom du personnage'!$C$65:$L$85=Compétences!$M$18,'Nom du personnage'!$Q$65:$Z$85=Compétences!$M$18)),H69,0)</f>
        <v>0</v>
      </c>
      <c r="N69" t="e">
        <f t="shared" si="8"/>
        <v>#N/A</v>
      </c>
      <c r="O69" t="e">
        <f t="shared" si="9"/>
        <v>#N/A</v>
      </c>
      <c r="P69">
        <f>'Nom du personnage'!$U$51</f>
        <v>0</v>
      </c>
      <c r="T69" s="2"/>
    </row>
    <row r="70" spans="1:31" hidden="1">
      <c r="A70" s="2" t="s">
        <v>43</v>
      </c>
      <c r="B70" s="2" t="s">
        <v>251</v>
      </c>
      <c r="C70" s="2">
        <v>6</v>
      </c>
      <c r="D70">
        <v>5</v>
      </c>
      <c r="H70" s="2" t="s">
        <v>230</v>
      </c>
      <c r="I70" s="2">
        <v>7</v>
      </c>
      <c r="J70" s="2" t="s">
        <v>32</v>
      </c>
      <c r="K70" s="2">
        <f t="shared" si="7"/>
        <v>5</v>
      </c>
      <c r="M70">
        <f t="shared" si="5"/>
        <v>0</v>
      </c>
      <c r="N70" t="e">
        <f t="shared" si="8"/>
        <v>#N/A</v>
      </c>
      <c r="O70" t="e">
        <f t="shared" si="9"/>
        <v>#N/A</v>
      </c>
      <c r="P70">
        <f>'Nom du personnage'!$U$51</f>
        <v>0</v>
      </c>
      <c r="T70" s="2"/>
    </row>
    <row r="71" spans="1:31" hidden="1">
      <c r="A71" s="2" t="s">
        <v>43</v>
      </c>
      <c r="B71" s="2" t="s">
        <v>252</v>
      </c>
      <c r="C71" s="2">
        <v>10</v>
      </c>
      <c r="D71">
        <v>5</v>
      </c>
      <c r="H71" s="2" t="s">
        <v>1005</v>
      </c>
      <c r="I71" s="2">
        <v>2</v>
      </c>
      <c r="J71" s="2" t="s">
        <v>32</v>
      </c>
      <c r="K71" s="2">
        <f t="shared" si="7"/>
        <v>5</v>
      </c>
      <c r="M71" s="2" cm="1">
        <f t="array" ref="M71">IF(AND('Nom du personnage'!$U$51=Compétences!J71,OR('Nom du personnage'!$C$65:$L$85=Compétences!$M$3,'Nom du personnage'!$Q$65:$Z$85=Compétences!$M$3)),H71,0)</f>
        <v>0</v>
      </c>
      <c r="N71" t="e">
        <f t="shared" si="8"/>
        <v>#N/A</v>
      </c>
      <c r="O71" t="e">
        <f t="shared" si="9"/>
        <v>#N/A</v>
      </c>
      <c r="P71">
        <f>'Nom du personnage'!$U$51</f>
        <v>0</v>
      </c>
      <c r="T71" s="2"/>
    </row>
    <row r="72" spans="1:31" hidden="1">
      <c r="A72" s="2" t="s">
        <v>43</v>
      </c>
      <c r="B72" s="2" t="s">
        <v>253</v>
      </c>
      <c r="C72" s="2">
        <v>10</v>
      </c>
      <c r="D72">
        <v>5</v>
      </c>
      <c r="H72" s="2" t="s">
        <v>231</v>
      </c>
      <c r="I72" s="2">
        <v>6</v>
      </c>
      <c r="J72" s="2" t="s">
        <v>32</v>
      </c>
      <c r="K72" s="2">
        <f t="shared" si="7"/>
        <v>5</v>
      </c>
      <c r="M72">
        <f t="shared" si="5"/>
        <v>0</v>
      </c>
      <c r="N72" t="e">
        <f t="shared" si="8"/>
        <v>#N/A</v>
      </c>
      <c r="O72" t="e">
        <f t="shared" si="9"/>
        <v>#N/A</v>
      </c>
      <c r="P72">
        <f>'Nom du personnage'!$U$51</f>
        <v>0</v>
      </c>
      <c r="T72" s="2"/>
    </row>
    <row r="73" spans="1:31" hidden="1">
      <c r="A73" s="2" t="s">
        <v>43</v>
      </c>
      <c r="B73" s="2" t="s">
        <v>254</v>
      </c>
      <c r="C73" s="2">
        <v>6</v>
      </c>
      <c r="D73">
        <v>5</v>
      </c>
      <c r="H73" s="2" t="s">
        <v>211</v>
      </c>
      <c r="I73" s="2">
        <v>4</v>
      </c>
      <c r="J73" s="2" t="s">
        <v>32</v>
      </c>
      <c r="K73" s="2">
        <f t="shared" si="7"/>
        <v>1</v>
      </c>
      <c r="M73">
        <f t="shared" si="5"/>
        <v>0</v>
      </c>
      <c r="N73" t="e">
        <f t="shared" si="8"/>
        <v>#N/A</v>
      </c>
      <c r="O73" t="e">
        <f t="shared" si="9"/>
        <v>#N/A</v>
      </c>
      <c r="P73">
        <f>'Nom du personnage'!$U$51</f>
        <v>0</v>
      </c>
      <c r="T73" s="2"/>
    </row>
    <row r="74" spans="1:31" hidden="1">
      <c r="A74" s="2" t="s">
        <v>43</v>
      </c>
      <c r="B74" s="2" t="s">
        <v>255</v>
      </c>
      <c r="C74" s="2">
        <v>5</v>
      </c>
      <c r="D74">
        <v>1</v>
      </c>
      <c r="H74" s="2" t="s">
        <v>210</v>
      </c>
      <c r="I74" s="2">
        <v>6</v>
      </c>
      <c r="J74" s="2" t="s">
        <v>32</v>
      </c>
      <c r="K74" s="2">
        <f t="shared" si="7"/>
        <v>1</v>
      </c>
      <c r="M74">
        <f t="shared" si="5"/>
        <v>0</v>
      </c>
      <c r="N74" t="e">
        <f t="shared" si="8"/>
        <v>#N/A</v>
      </c>
      <c r="O74" t="e">
        <f t="shared" si="9"/>
        <v>#N/A</v>
      </c>
      <c r="P74">
        <f>'Nom du personnage'!$U$51</f>
        <v>0</v>
      </c>
      <c r="T74" s="2"/>
    </row>
    <row r="75" spans="1:31" hidden="1">
      <c r="A75" s="2" t="s">
        <v>43</v>
      </c>
      <c r="B75" s="2" t="s">
        <v>256</v>
      </c>
      <c r="C75" s="2">
        <v>6</v>
      </c>
      <c r="D75">
        <v>5</v>
      </c>
      <c r="H75" s="2" t="s">
        <v>213</v>
      </c>
      <c r="I75" s="2">
        <v>6</v>
      </c>
      <c r="J75" s="2" t="s">
        <v>32</v>
      </c>
      <c r="K75" s="2">
        <f t="shared" si="7"/>
        <v>1</v>
      </c>
      <c r="M75">
        <f t="shared" si="5"/>
        <v>0</v>
      </c>
      <c r="N75" t="e">
        <f t="shared" si="8"/>
        <v>#N/A</v>
      </c>
      <c r="O75" t="e">
        <f t="shared" si="9"/>
        <v>#N/A</v>
      </c>
      <c r="P75">
        <f>'Nom du personnage'!$U$51</f>
        <v>0</v>
      </c>
      <c r="T75" s="2"/>
    </row>
    <row r="76" spans="1:31" hidden="1">
      <c r="A76" s="2" t="s">
        <v>43</v>
      </c>
      <c r="B76" s="2" t="s">
        <v>257</v>
      </c>
      <c r="C76" s="2">
        <v>6</v>
      </c>
      <c r="D76">
        <v>1</v>
      </c>
      <c r="H76" s="2" t="s">
        <v>232</v>
      </c>
      <c r="I76" s="2">
        <v>5</v>
      </c>
      <c r="J76" s="2" t="s">
        <v>35</v>
      </c>
      <c r="K76" s="2">
        <f t="shared" si="7"/>
        <v>5</v>
      </c>
      <c r="M76">
        <f>IF(AND('Nom du personnage'!$U$51=Compétences!J76,Religion!$D$29=TRUE),Compétences!H76,0)</f>
        <v>0</v>
      </c>
      <c r="N76" t="e">
        <f t="shared" si="8"/>
        <v>#N/A</v>
      </c>
      <c r="O76" t="e">
        <f t="shared" si="9"/>
        <v>#N/A</v>
      </c>
      <c r="P76">
        <f>'Nom du personnage'!$U$51</f>
        <v>0</v>
      </c>
      <c r="T76" s="2"/>
    </row>
    <row r="77" spans="1:31" hidden="1">
      <c r="A77" s="2" t="s">
        <v>43</v>
      </c>
      <c r="B77" s="2" t="s">
        <v>1005</v>
      </c>
      <c r="C77" s="2">
        <v>2</v>
      </c>
      <c r="D77">
        <v>5</v>
      </c>
      <c r="H77" s="2" t="s">
        <v>233</v>
      </c>
      <c r="I77" s="2">
        <v>6</v>
      </c>
      <c r="J77" s="2" t="s">
        <v>35</v>
      </c>
      <c r="K77" s="2">
        <f t="shared" si="7"/>
        <v>5</v>
      </c>
      <c r="M77">
        <f t="shared" si="5"/>
        <v>0</v>
      </c>
      <c r="N77" t="e">
        <f t="shared" si="8"/>
        <v>#N/A</v>
      </c>
      <c r="O77" t="e">
        <f t="shared" si="9"/>
        <v>#N/A</v>
      </c>
      <c r="P77">
        <f>'Nom du personnage'!$U$51</f>
        <v>0</v>
      </c>
      <c r="T77" s="2"/>
    </row>
    <row r="78" spans="1:31" hidden="1">
      <c r="A78" s="2" t="s">
        <v>43</v>
      </c>
      <c r="B78" s="2" t="s">
        <v>212</v>
      </c>
      <c r="C78" s="2">
        <v>6</v>
      </c>
      <c r="D78">
        <v>1</v>
      </c>
      <c r="H78" s="2" t="s">
        <v>234</v>
      </c>
      <c r="I78" s="2">
        <v>6</v>
      </c>
      <c r="J78" s="2" t="s">
        <v>35</v>
      </c>
      <c r="K78" s="2">
        <f t="shared" si="7"/>
        <v>5</v>
      </c>
      <c r="M78">
        <f t="shared" si="5"/>
        <v>0</v>
      </c>
      <c r="N78" t="e">
        <f t="shared" si="8"/>
        <v>#N/A</v>
      </c>
      <c r="O78" t="e">
        <f t="shared" si="9"/>
        <v>#N/A</v>
      </c>
      <c r="P78">
        <f>'Nom du personnage'!$U$51</f>
        <v>0</v>
      </c>
      <c r="T78" s="2"/>
    </row>
    <row r="79" spans="1:31" hidden="1">
      <c r="A79" s="2" t="s">
        <v>43</v>
      </c>
      <c r="B79" s="2" t="s">
        <v>241</v>
      </c>
      <c r="C79" s="2">
        <v>6</v>
      </c>
      <c r="D79">
        <v>1</v>
      </c>
      <c r="H79" s="2"/>
      <c r="I79" s="2">
        <v>6</v>
      </c>
      <c r="J79" s="2" t="s">
        <v>35</v>
      </c>
      <c r="K79" s="2" t="e">
        <f>VLOOKUP(H79,$B$3:$D$115,3,FALSE)</f>
        <v>#N/A</v>
      </c>
      <c r="M79">
        <f t="shared" si="5"/>
        <v>0</v>
      </c>
      <c r="N79" t="e">
        <f t="shared" si="8"/>
        <v>#N/A</v>
      </c>
      <c r="O79" t="e">
        <f t="shared" si="9"/>
        <v>#N/A</v>
      </c>
      <c r="P79">
        <f>'Nom du personnage'!$U$51</f>
        <v>0</v>
      </c>
      <c r="T79" s="2"/>
    </row>
    <row r="80" spans="1:31" hidden="1">
      <c r="A80" s="2" t="s">
        <v>43</v>
      </c>
      <c r="B80" s="2" t="s">
        <v>258</v>
      </c>
      <c r="C80" s="2">
        <v>5</v>
      </c>
      <c r="D80">
        <v>5</v>
      </c>
      <c r="H80" s="2" t="s">
        <v>236</v>
      </c>
      <c r="I80" s="2">
        <v>3</v>
      </c>
      <c r="J80" s="2" t="s">
        <v>35</v>
      </c>
      <c r="K80" s="2">
        <f t="shared" si="7"/>
        <v>1</v>
      </c>
      <c r="M80">
        <f t="shared" si="5"/>
        <v>0</v>
      </c>
      <c r="N80" t="e">
        <f t="shared" si="8"/>
        <v>#N/A</v>
      </c>
      <c r="O80" t="e">
        <f t="shared" si="9"/>
        <v>#N/A</v>
      </c>
      <c r="P80">
        <f>'Nom du personnage'!$U$51</f>
        <v>0</v>
      </c>
      <c r="T80" s="2"/>
    </row>
    <row r="81" spans="1:20" hidden="1">
      <c r="A81" s="2" t="s">
        <v>43</v>
      </c>
      <c r="B81" s="2" t="s">
        <v>259</v>
      </c>
      <c r="C81" s="2">
        <v>4</v>
      </c>
      <c r="D81">
        <v>5</v>
      </c>
      <c r="H81" s="2" t="s">
        <v>237</v>
      </c>
      <c r="I81" s="2">
        <v>5</v>
      </c>
      <c r="J81" s="2" t="s">
        <v>35</v>
      </c>
      <c r="K81" s="2">
        <f t="shared" si="7"/>
        <v>1</v>
      </c>
      <c r="M81">
        <f t="shared" si="5"/>
        <v>0</v>
      </c>
      <c r="N81" t="e">
        <f t="shared" si="8"/>
        <v>#N/A</v>
      </c>
      <c r="O81" t="e">
        <f t="shared" si="9"/>
        <v>#N/A</v>
      </c>
      <c r="P81">
        <f>'Nom du personnage'!$U$51</f>
        <v>0</v>
      </c>
      <c r="T81" s="2"/>
    </row>
    <row r="82" spans="1:20" hidden="1">
      <c r="A82" s="2" t="s">
        <v>47</v>
      </c>
      <c r="B82" s="2" t="s">
        <v>260</v>
      </c>
      <c r="C82" s="2">
        <v>4</v>
      </c>
      <c r="D82">
        <v>1</v>
      </c>
      <c r="H82" s="2" t="s">
        <v>209</v>
      </c>
      <c r="I82" s="2">
        <v>4</v>
      </c>
      <c r="J82" s="2" t="s">
        <v>35</v>
      </c>
      <c r="K82" s="2">
        <f t="shared" si="7"/>
        <v>1</v>
      </c>
      <c r="M82">
        <f t="shared" si="5"/>
        <v>0</v>
      </c>
      <c r="N82" t="e">
        <f t="shared" si="8"/>
        <v>#N/A</v>
      </c>
      <c r="O82" t="e">
        <f t="shared" si="9"/>
        <v>#N/A</v>
      </c>
      <c r="P82">
        <f>'Nom du personnage'!$U$51</f>
        <v>0</v>
      </c>
      <c r="T82" s="2"/>
    </row>
    <row r="83" spans="1:20" hidden="1">
      <c r="A83" s="2" t="s">
        <v>47</v>
      </c>
      <c r="B83" s="2" t="s">
        <v>261</v>
      </c>
      <c r="C83" s="2">
        <v>5</v>
      </c>
      <c r="D83">
        <v>1</v>
      </c>
      <c r="H83" s="2" t="s">
        <v>238</v>
      </c>
      <c r="I83" s="2">
        <v>3</v>
      </c>
      <c r="J83" s="2" t="s">
        <v>35</v>
      </c>
      <c r="K83" s="2">
        <f t="shared" si="7"/>
        <v>1</v>
      </c>
      <c r="M83">
        <f t="shared" si="5"/>
        <v>0</v>
      </c>
      <c r="N83" t="e">
        <f t="shared" si="8"/>
        <v>#N/A</v>
      </c>
      <c r="O83" t="e">
        <f t="shared" si="9"/>
        <v>#N/A</v>
      </c>
      <c r="P83">
        <f>'Nom du personnage'!$U$51</f>
        <v>0</v>
      </c>
      <c r="T83" s="2"/>
    </row>
    <row r="84" spans="1:20" hidden="1">
      <c r="A84" s="2" t="s">
        <v>47</v>
      </c>
      <c r="B84" s="2" t="s">
        <v>232</v>
      </c>
      <c r="C84" s="2">
        <v>5</v>
      </c>
      <c r="D84">
        <v>5</v>
      </c>
      <c r="H84" s="2" t="s">
        <v>239</v>
      </c>
      <c r="I84" s="2">
        <v>5</v>
      </c>
      <c r="J84" s="2" t="s">
        <v>35</v>
      </c>
      <c r="K84" s="2">
        <f t="shared" si="7"/>
        <v>1</v>
      </c>
      <c r="M84">
        <f t="shared" si="5"/>
        <v>0</v>
      </c>
      <c r="N84" t="e">
        <f t="shared" si="8"/>
        <v>#N/A</v>
      </c>
      <c r="O84" t="e">
        <f t="shared" si="9"/>
        <v>#N/A</v>
      </c>
      <c r="P84">
        <f>'Nom du personnage'!$U$51</f>
        <v>0</v>
      </c>
      <c r="T84" s="2"/>
    </row>
    <row r="85" spans="1:20" hidden="1">
      <c r="A85" s="2" t="s">
        <v>47</v>
      </c>
      <c r="B85" s="2" t="s">
        <v>262</v>
      </c>
      <c r="C85" s="2">
        <v>5</v>
      </c>
      <c r="D85">
        <v>1</v>
      </c>
      <c r="H85" s="2" t="s">
        <v>212</v>
      </c>
      <c r="I85" s="2">
        <v>6</v>
      </c>
      <c r="J85" s="2" t="s">
        <v>35</v>
      </c>
      <c r="K85" s="2">
        <f t="shared" si="7"/>
        <v>1</v>
      </c>
      <c r="M85">
        <f t="shared" si="5"/>
        <v>0</v>
      </c>
      <c r="N85" t="e">
        <f t="shared" si="8"/>
        <v>#N/A</v>
      </c>
      <c r="O85" t="e">
        <f t="shared" si="9"/>
        <v>#N/A</v>
      </c>
      <c r="P85">
        <f>'Nom du personnage'!$U$51</f>
        <v>0</v>
      </c>
      <c r="T85" s="2"/>
    </row>
    <row r="86" spans="1:20" hidden="1">
      <c r="A86" s="2" t="s">
        <v>47</v>
      </c>
      <c r="B86" s="2" t="s">
        <v>233</v>
      </c>
      <c r="C86" s="2">
        <v>6</v>
      </c>
      <c r="D86">
        <v>5</v>
      </c>
      <c r="H86" s="2" t="s">
        <v>240</v>
      </c>
      <c r="I86" s="2">
        <v>6</v>
      </c>
      <c r="J86" s="2" t="s">
        <v>35</v>
      </c>
      <c r="K86" s="2">
        <f t="shared" si="7"/>
        <v>1</v>
      </c>
      <c r="M86">
        <f>IF(P86=J86,H86,)</f>
        <v>0</v>
      </c>
      <c r="N86" t="e">
        <f t="shared" si="8"/>
        <v>#N/A</v>
      </c>
      <c r="O86" t="e">
        <f t="shared" si="9"/>
        <v>#N/A</v>
      </c>
      <c r="P86">
        <f>'Nom du personnage'!$U$51</f>
        <v>0</v>
      </c>
      <c r="T86" s="2"/>
    </row>
    <row r="87" spans="1:20" hidden="1">
      <c r="A87" s="2" t="s">
        <v>47</v>
      </c>
      <c r="B87" s="2" t="s">
        <v>235</v>
      </c>
      <c r="C87" s="2">
        <v>6</v>
      </c>
      <c r="D87">
        <v>5</v>
      </c>
      <c r="H87" s="2" t="s">
        <v>241</v>
      </c>
      <c r="I87" s="2">
        <v>6</v>
      </c>
      <c r="J87" s="2" t="s">
        <v>35</v>
      </c>
      <c r="K87" s="2">
        <f t="shared" si="7"/>
        <v>1</v>
      </c>
      <c r="M87">
        <f t="shared" si="5"/>
        <v>0</v>
      </c>
      <c r="N87" t="e">
        <f t="shared" si="8"/>
        <v>#N/A</v>
      </c>
      <c r="O87" t="e">
        <f t="shared" si="9"/>
        <v>#N/A</v>
      </c>
      <c r="P87">
        <f>'Nom du personnage'!$U$51</f>
        <v>0</v>
      </c>
      <c r="T87" s="2"/>
    </row>
    <row r="88" spans="1:20" hidden="1">
      <c r="A88" s="2" t="s">
        <v>47</v>
      </c>
      <c r="B88" s="2" t="s">
        <v>236</v>
      </c>
      <c r="C88" s="2">
        <v>3</v>
      </c>
      <c r="D88">
        <v>1</v>
      </c>
      <c r="H88" s="2" t="s">
        <v>242</v>
      </c>
      <c r="I88" s="2">
        <v>6</v>
      </c>
      <c r="J88" s="2" t="s">
        <v>35</v>
      </c>
      <c r="K88" s="2">
        <f t="shared" si="7"/>
        <v>5</v>
      </c>
      <c r="M88">
        <f t="shared" si="5"/>
        <v>0</v>
      </c>
      <c r="N88" t="e">
        <f t="shared" si="8"/>
        <v>#N/A</v>
      </c>
      <c r="O88" t="e">
        <f t="shared" si="9"/>
        <v>#N/A</v>
      </c>
      <c r="P88">
        <f>'Nom du personnage'!$U$51</f>
        <v>0</v>
      </c>
      <c r="T88" s="2"/>
    </row>
    <row r="89" spans="1:20" hidden="1">
      <c r="A89" s="2" t="s">
        <v>47</v>
      </c>
      <c r="B89" s="2" t="s">
        <v>237</v>
      </c>
      <c r="C89" s="2">
        <v>5</v>
      </c>
      <c r="D89">
        <v>1</v>
      </c>
      <c r="H89" s="2" t="s">
        <v>243</v>
      </c>
      <c r="I89" s="2">
        <v>5</v>
      </c>
      <c r="J89" s="2" t="s">
        <v>35</v>
      </c>
      <c r="K89" s="2">
        <f t="shared" si="7"/>
        <v>1</v>
      </c>
      <c r="M89">
        <f t="shared" si="5"/>
        <v>0</v>
      </c>
      <c r="N89" t="e">
        <f t="shared" si="8"/>
        <v>#N/A</v>
      </c>
      <c r="O89" t="e">
        <f t="shared" si="9"/>
        <v>#N/A</v>
      </c>
      <c r="P89">
        <f>'Nom du personnage'!$U$51</f>
        <v>0</v>
      </c>
      <c r="T89" s="2"/>
    </row>
    <row r="90" spans="1:20" hidden="1">
      <c r="A90" s="2" t="s">
        <v>47</v>
      </c>
      <c r="B90" s="2" t="s">
        <v>238</v>
      </c>
      <c r="C90" s="2">
        <v>3</v>
      </c>
      <c r="D90">
        <v>1</v>
      </c>
      <c r="H90" s="2" t="s">
        <v>244</v>
      </c>
      <c r="I90" s="2">
        <v>5</v>
      </c>
      <c r="J90" s="2" t="s">
        <v>35</v>
      </c>
      <c r="K90" s="2">
        <f t="shared" si="7"/>
        <v>5</v>
      </c>
      <c r="M90" s="2" cm="1">
        <f t="array" ref="M90">IF(AND('Nom du personnage'!$U$51=Compétences!J90,OR('Nom du personnage'!$C$65:$L$85=Compétences!$H$89,'Nom du personnage'!$Q$65:$Z$85=Compétences!$H$89)),H90,0)</f>
        <v>0</v>
      </c>
      <c r="N90" t="e">
        <f t="shared" si="8"/>
        <v>#N/A</v>
      </c>
      <c r="O90" t="e">
        <f t="shared" si="9"/>
        <v>#N/A</v>
      </c>
      <c r="P90">
        <f>'Nom du personnage'!$U$51</f>
        <v>0</v>
      </c>
      <c r="T90" s="2"/>
    </row>
    <row r="91" spans="1:20" hidden="1">
      <c r="A91" s="2" t="s">
        <v>47</v>
      </c>
      <c r="B91" s="2" t="s">
        <v>240</v>
      </c>
      <c r="C91" s="2">
        <v>6</v>
      </c>
      <c r="D91">
        <v>1</v>
      </c>
      <c r="H91" s="2" t="s">
        <v>245</v>
      </c>
      <c r="I91" s="2">
        <v>2</v>
      </c>
      <c r="J91" s="2" t="s">
        <v>35</v>
      </c>
      <c r="K91" s="2">
        <f t="shared" si="7"/>
        <v>5</v>
      </c>
      <c r="M91">
        <f t="shared" si="5"/>
        <v>0</v>
      </c>
      <c r="N91" t="e">
        <f t="shared" si="8"/>
        <v>#N/A</v>
      </c>
      <c r="O91" t="e">
        <f t="shared" si="9"/>
        <v>#N/A</v>
      </c>
      <c r="P91">
        <f>'Nom du personnage'!$U$51</f>
        <v>0</v>
      </c>
      <c r="T91" s="2"/>
    </row>
    <row r="92" spans="1:20" hidden="1">
      <c r="A92" s="2" t="s">
        <v>47</v>
      </c>
      <c r="B92" s="2" t="s">
        <v>241</v>
      </c>
      <c r="C92" s="2">
        <v>6</v>
      </c>
      <c r="D92">
        <v>1</v>
      </c>
      <c r="H92" s="2" t="s">
        <v>232</v>
      </c>
      <c r="I92" s="2">
        <v>5</v>
      </c>
      <c r="J92" s="2" t="s">
        <v>39</v>
      </c>
      <c r="K92" s="2">
        <f t="shared" si="7"/>
        <v>5</v>
      </c>
      <c r="M92">
        <f>IF(AND('Nom du personnage'!$U$51=Compétences!J92,Religion!$D$29=TRUE),Compétences!H92,0)</f>
        <v>0</v>
      </c>
      <c r="N92" t="e">
        <f t="shared" si="8"/>
        <v>#N/A</v>
      </c>
      <c r="O92" t="e">
        <f t="shared" si="9"/>
        <v>#N/A</v>
      </c>
      <c r="P92">
        <f>'Nom du personnage'!$U$51</f>
        <v>0</v>
      </c>
      <c r="T92" s="2"/>
    </row>
    <row r="93" spans="1:20" hidden="1">
      <c r="A93" s="2" t="s">
        <v>47</v>
      </c>
      <c r="B93" s="2" t="s">
        <v>242</v>
      </c>
      <c r="C93" s="2">
        <v>6</v>
      </c>
      <c r="D93">
        <v>5</v>
      </c>
      <c r="H93" s="2" t="s">
        <v>233</v>
      </c>
      <c r="I93" s="2">
        <v>6</v>
      </c>
      <c r="J93" s="2" t="s">
        <v>39</v>
      </c>
      <c r="K93" s="2">
        <f t="shared" si="7"/>
        <v>5</v>
      </c>
      <c r="M93">
        <f t="shared" si="5"/>
        <v>0</v>
      </c>
      <c r="N93" t="e">
        <f t="shared" si="8"/>
        <v>#N/A</v>
      </c>
      <c r="O93" t="e">
        <f t="shared" si="9"/>
        <v>#N/A</v>
      </c>
      <c r="P93">
        <f>'Nom du personnage'!$U$51</f>
        <v>0</v>
      </c>
      <c r="T93" s="2"/>
    </row>
    <row r="94" spans="1:20" hidden="1">
      <c r="A94" s="2" t="s">
        <v>47</v>
      </c>
      <c r="B94" s="2" t="s">
        <v>243</v>
      </c>
      <c r="C94" s="2">
        <v>5</v>
      </c>
      <c r="D94">
        <v>1</v>
      </c>
      <c r="H94" s="2" t="s">
        <v>234</v>
      </c>
      <c r="I94" s="2">
        <v>6</v>
      </c>
      <c r="J94" s="2" t="s">
        <v>39</v>
      </c>
      <c r="K94" s="2">
        <f t="shared" si="7"/>
        <v>5</v>
      </c>
      <c r="M94">
        <f t="shared" si="5"/>
        <v>0</v>
      </c>
      <c r="N94" t="e">
        <f t="shared" si="8"/>
        <v>#N/A</v>
      </c>
      <c r="O94" t="e">
        <f t="shared" si="9"/>
        <v>#N/A</v>
      </c>
      <c r="P94">
        <f>'Nom du personnage'!$U$51</f>
        <v>0</v>
      </c>
      <c r="T94" s="2"/>
    </row>
    <row r="95" spans="1:20" hidden="1">
      <c r="A95" s="2" t="s">
        <v>47</v>
      </c>
      <c r="B95" s="2" t="s">
        <v>244</v>
      </c>
      <c r="C95" s="2">
        <v>5</v>
      </c>
      <c r="D95">
        <v>5</v>
      </c>
      <c r="H95" s="2"/>
      <c r="I95" s="2">
        <v>6</v>
      </c>
      <c r="J95" s="2" t="s">
        <v>39</v>
      </c>
      <c r="K95" s="2" t="e">
        <f t="shared" si="7"/>
        <v>#N/A</v>
      </c>
      <c r="M95">
        <f t="shared" si="5"/>
        <v>0</v>
      </c>
      <c r="N95" t="e">
        <f t="shared" si="8"/>
        <v>#N/A</v>
      </c>
      <c r="O95" t="e">
        <f t="shared" si="9"/>
        <v>#N/A</v>
      </c>
      <c r="P95">
        <f>'Nom du personnage'!$U$51</f>
        <v>0</v>
      </c>
      <c r="T95" s="2"/>
    </row>
    <row r="96" spans="1:20" hidden="1">
      <c r="A96" s="2" t="s">
        <v>47</v>
      </c>
      <c r="B96" s="2" t="s">
        <v>245</v>
      </c>
      <c r="C96" s="2">
        <v>2</v>
      </c>
      <c r="D96">
        <v>5</v>
      </c>
      <c r="H96" s="2" t="s">
        <v>236</v>
      </c>
      <c r="I96" s="2">
        <v>3</v>
      </c>
      <c r="J96" s="2" t="s">
        <v>39</v>
      </c>
      <c r="K96" s="2">
        <f t="shared" si="7"/>
        <v>1</v>
      </c>
      <c r="M96">
        <f t="shared" si="5"/>
        <v>0</v>
      </c>
      <c r="N96" t="e">
        <f t="shared" si="8"/>
        <v>#N/A</v>
      </c>
      <c r="O96" t="e">
        <f t="shared" si="9"/>
        <v>#N/A</v>
      </c>
      <c r="P96">
        <f>'Nom du personnage'!$U$51</f>
        <v>0</v>
      </c>
      <c r="T96" s="2"/>
    </row>
    <row r="97" spans="1:20" hidden="1">
      <c r="A97" s="2" t="s">
        <v>51</v>
      </c>
      <c r="B97" s="2" t="s">
        <v>263</v>
      </c>
      <c r="C97" s="2">
        <v>4</v>
      </c>
      <c r="D97">
        <v>5</v>
      </c>
      <c r="H97" s="2" t="s">
        <v>237</v>
      </c>
      <c r="I97" s="2">
        <v>5</v>
      </c>
      <c r="J97" s="2" t="s">
        <v>39</v>
      </c>
      <c r="K97" s="2">
        <f t="shared" si="7"/>
        <v>1</v>
      </c>
      <c r="M97">
        <f t="shared" si="5"/>
        <v>0</v>
      </c>
      <c r="N97" t="e">
        <f t="shared" ref="N97:N128" si="11">VLOOKUP(M97,H97:J153,2,FALSE)</f>
        <v>#N/A</v>
      </c>
      <c r="O97" t="e">
        <f t="shared" ref="O97:O128" si="12">VLOOKUP(M97,H97:J153,2,FALSE)</f>
        <v>#N/A</v>
      </c>
      <c r="P97">
        <f>'Nom du personnage'!$U$51</f>
        <v>0</v>
      </c>
      <c r="T97" s="2"/>
    </row>
    <row r="98" spans="1:20" hidden="1">
      <c r="A98" s="2" t="s">
        <v>51</v>
      </c>
      <c r="B98" s="2" t="s">
        <v>264</v>
      </c>
      <c r="C98" s="2">
        <v>5</v>
      </c>
      <c r="D98">
        <v>5</v>
      </c>
      <c r="H98" s="2" t="s">
        <v>238</v>
      </c>
      <c r="I98" s="2">
        <v>3</v>
      </c>
      <c r="J98" s="2" t="s">
        <v>39</v>
      </c>
      <c r="K98" s="2">
        <f t="shared" si="7"/>
        <v>1</v>
      </c>
      <c r="M98">
        <f t="shared" si="5"/>
        <v>0</v>
      </c>
      <c r="N98" t="e">
        <f t="shared" si="11"/>
        <v>#N/A</v>
      </c>
      <c r="O98" t="e">
        <f t="shared" si="12"/>
        <v>#N/A</v>
      </c>
      <c r="P98">
        <f>'Nom du personnage'!$U$51</f>
        <v>0</v>
      </c>
      <c r="T98" s="2"/>
    </row>
    <row r="99" spans="1:20" hidden="1">
      <c r="A99" s="2" t="s">
        <v>51</v>
      </c>
      <c r="B99" s="2" t="s">
        <v>265</v>
      </c>
      <c r="C99" s="2">
        <v>4</v>
      </c>
      <c r="D99">
        <v>5</v>
      </c>
      <c r="H99" s="2" t="s">
        <v>246</v>
      </c>
      <c r="I99" s="2">
        <v>6</v>
      </c>
      <c r="J99" s="2" t="s">
        <v>39</v>
      </c>
      <c r="K99" s="2">
        <f t="shared" si="7"/>
        <v>5</v>
      </c>
      <c r="M99" s="2" cm="1">
        <f t="array" ref="M99">IF(AND('Nom du personnage'!$U$51=Compétences!J99,OR('Nom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personnage'!$Q$65:$Z$85=Compétences!$H$1052)),H99,0)</f>
        <v>0</v>
      </c>
      <c r="N99" t="e">
        <f t="shared" si="11"/>
        <v>#N/A</v>
      </c>
      <c r="O99" t="e">
        <f t="shared" si="12"/>
        <v>#N/A</v>
      </c>
      <c r="P99">
        <f>'Nom du personnage'!$U$51</f>
        <v>0</v>
      </c>
      <c r="T99" s="2"/>
    </row>
    <row r="100" spans="1:20" hidden="1">
      <c r="A100" s="2" t="s">
        <v>51</v>
      </c>
      <c r="B100" s="2" t="s">
        <v>254</v>
      </c>
      <c r="C100" s="2">
        <v>6</v>
      </c>
      <c r="D100">
        <v>5</v>
      </c>
      <c r="H100" s="2" t="s">
        <v>239</v>
      </c>
      <c r="I100" s="2">
        <v>5</v>
      </c>
      <c r="J100" s="2" t="s">
        <v>39</v>
      </c>
      <c r="K100" s="2">
        <f t="shared" si="7"/>
        <v>1</v>
      </c>
      <c r="M100">
        <f t="shared" si="5"/>
        <v>0</v>
      </c>
      <c r="N100" t="e">
        <f t="shared" si="11"/>
        <v>#N/A</v>
      </c>
      <c r="O100" t="e">
        <f t="shared" si="12"/>
        <v>#N/A</v>
      </c>
      <c r="P100">
        <f>'Nom du personnage'!$U$51</f>
        <v>0</v>
      </c>
      <c r="T100" s="2"/>
    </row>
    <row r="101" spans="1:20" hidden="1">
      <c r="A101" s="2" t="s">
        <v>51</v>
      </c>
      <c r="B101" s="2" t="s">
        <v>266</v>
      </c>
      <c r="C101" s="2">
        <v>6</v>
      </c>
      <c r="D101">
        <v>1</v>
      </c>
      <c r="H101" s="2" t="s">
        <v>240</v>
      </c>
      <c r="I101" s="2">
        <v>6</v>
      </c>
      <c r="J101" s="2" t="s">
        <v>39</v>
      </c>
      <c r="K101" s="2">
        <f t="shared" si="7"/>
        <v>1</v>
      </c>
      <c r="M101">
        <f>IF(P101=J101,H101,)</f>
        <v>0</v>
      </c>
      <c r="N101" t="e">
        <f t="shared" si="11"/>
        <v>#N/A</v>
      </c>
      <c r="O101" t="e">
        <f t="shared" si="12"/>
        <v>#N/A</v>
      </c>
      <c r="P101">
        <f>'Nom du personnage'!$U$51</f>
        <v>0</v>
      </c>
      <c r="T101" s="2"/>
    </row>
    <row r="102" spans="1:20" hidden="1">
      <c r="A102" s="2" t="s">
        <v>51</v>
      </c>
      <c r="B102" s="2" t="s">
        <v>267</v>
      </c>
      <c r="C102" s="2">
        <v>6</v>
      </c>
      <c r="D102">
        <v>1</v>
      </c>
      <c r="H102" s="2" t="s">
        <v>241</v>
      </c>
      <c r="I102" s="2">
        <v>6</v>
      </c>
      <c r="J102" s="2" t="s">
        <v>39</v>
      </c>
      <c r="K102" s="2">
        <f t="shared" si="7"/>
        <v>1</v>
      </c>
      <c r="M102">
        <f t="shared" si="5"/>
        <v>0</v>
      </c>
      <c r="N102" t="e">
        <f t="shared" si="11"/>
        <v>#N/A</v>
      </c>
      <c r="O102" t="e">
        <f t="shared" si="12"/>
        <v>#N/A</v>
      </c>
      <c r="P102">
        <f>'Nom du personnage'!$U$51</f>
        <v>0</v>
      </c>
      <c r="T102" s="2"/>
    </row>
    <row r="103" spans="1:20" hidden="1">
      <c r="A103" s="2" t="s">
        <v>51</v>
      </c>
      <c r="B103" s="2" t="s">
        <v>256</v>
      </c>
      <c r="C103" s="2">
        <v>6</v>
      </c>
      <c r="D103">
        <v>5</v>
      </c>
      <c r="H103" s="2" t="s">
        <v>242</v>
      </c>
      <c r="I103" s="2">
        <v>6</v>
      </c>
      <c r="J103" s="2" t="s">
        <v>39</v>
      </c>
      <c r="K103" s="2">
        <f t="shared" si="7"/>
        <v>5</v>
      </c>
      <c r="M103">
        <f t="shared" ref="M103:M166" si="13">IF(P103=J103,H103,)</f>
        <v>0</v>
      </c>
      <c r="N103" t="e">
        <f t="shared" si="11"/>
        <v>#N/A</v>
      </c>
      <c r="O103" t="e">
        <f t="shared" si="12"/>
        <v>#N/A</v>
      </c>
      <c r="P103">
        <f>'Nom du personnage'!$U$51</f>
        <v>0</v>
      </c>
      <c r="T103" s="2"/>
    </row>
    <row r="104" spans="1:20" hidden="1">
      <c r="A104" s="2" t="s">
        <v>51</v>
      </c>
      <c r="B104" s="2" t="s">
        <v>268</v>
      </c>
      <c r="C104" s="2">
        <v>4</v>
      </c>
      <c r="D104">
        <v>5</v>
      </c>
      <c r="H104" s="2" t="s">
        <v>243</v>
      </c>
      <c r="I104" s="2">
        <v>5</v>
      </c>
      <c r="J104" s="2" t="s">
        <v>39</v>
      </c>
      <c r="K104" s="2">
        <f t="shared" si="7"/>
        <v>1</v>
      </c>
      <c r="M104">
        <f t="shared" si="13"/>
        <v>0</v>
      </c>
      <c r="N104" t="e">
        <f t="shared" si="11"/>
        <v>#N/A</v>
      </c>
      <c r="O104" t="e">
        <f t="shared" si="12"/>
        <v>#N/A</v>
      </c>
      <c r="P104">
        <f>'Nom du personnage'!$U$51</f>
        <v>0</v>
      </c>
      <c r="T104" s="2"/>
    </row>
    <row r="105" spans="1:20" hidden="1">
      <c r="A105" s="2" t="s">
        <v>51</v>
      </c>
      <c r="B105" s="2" t="s">
        <v>269</v>
      </c>
      <c r="C105" s="2">
        <v>4</v>
      </c>
      <c r="D105">
        <v>1</v>
      </c>
      <c r="H105" s="2" t="s">
        <v>244</v>
      </c>
      <c r="I105" s="2">
        <v>5</v>
      </c>
      <c r="J105" s="2" t="s">
        <v>39</v>
      </c>
      <c r="K105" s="2">
        <f t="shared" si="7"/>
        <v>5</v>
      </c>
      <c r="M105" s="2" cm="1">
        <f t="array" ref="M105">IF(AND('Nom du personnage'!$U$51=Compétences!J105,OR('Nom du personnage'!$C$65:$L$85=Compétences!$H$89,'Nom du personnage'!$Q$65:$Z$85=Compétences!$H$89)),H105,0)</f>
        <v>0</v>
      </c>
      <c r="N105" t="e">
        <f t="shared" si="11"/>
        <v>#N/A</v>
      </c>
      <c r="O105" t="e">
        <f t="shared" si="12"/>
        <v>#N/A</v>
      </c>
      <c r="P105">
        <f>'Nom du personnage'!$U$51</f>
        <v>0</v>
      </c>
      <c r="T105" s="2"/>
    </row>
    <row r="106" spans="1:20" hidden="1">
      <c r="A106" s="2" t="s">
        <v>51</v>
      </c>
      <c r="B106" s="2" t="s">
        <v>207</v>
      </c>
      <c r="C106" s="2">
        <v>2</v>
      </c>
      <c r="D106">
        <v>5</v>
      </c>
      <c r="H106" s="2" t="s">
        <v>245</v>
      </c>
      <c r="I106" s="2">
        <v>2</v>
      </c>
      <c r="J106" s="2" t="s">
        <v>39</v>
      </c>
      <c r="K106" s="2">
        <f t="shared" si="7"/>
        <v>5</v>
      </c>
      <c r="M106">
        <f t="shared" si="13"/>
        <v>0</v>
      </c>
      <c r="N106" t="e">
        <f t="shared" si="11"/>
        <v>#N/A</v>
      </c>
      <c r="O106" t="e">
        <f t="shared" si="12"/>
        <v>#N/A</v>
      </c>
      <c r="P106">
        <f>'Nom du personnage'!$U$51</f>
        <v>0</v>
      </c>
      <c r="T106" s="2"/>
    </row>
    <row r="107" spans="1:20" hidden="1">
      <c r="A107" s="2" t="s">
        <v>51</v>
      </c>
      <c r="B107" s="2" t="s">
        <v>270</v>
      </c>
      <c r="C107" s="2">
        <v>6</v>
      </c>
      <c r="D107">
        <v>1</v>
      </c>
      <c r="H107" s="2" t="s">
        <v>247</v>
      </c>
      <c r="I107" s="2">
        <v>5</v>
      </c>
      <c r="J107" s="2" t="s">
        <v>43</v>
      </c>
      <c r="K107" s="2">
        <f t="shared" si="7"/>
        <v>5</v>
      </c>
      <c r="M107">
        <f>IF('Nom du personnage'!$U$51=Compétences!J107,'Contact marchand'!E3,0)</f>
        <v>0</v>
      </c>
      <c r="N107" t="e">
        <f>VLOOKUP(M107,H107:J163,2,FALSE)</f>
        <v>#N/A</v>
      </c>
      <c r="O107" t="e">
        <f t="shared" si="12"/>
        <v>#N/A</v>
      </c>
      <c r="P107">
        <f>'Nom du personnage'!$U$51</f>
        <v>0</v>
      </c>
      <c r="T107" s="2"/>
    </row>
    <row r="108" spans="1:20" hidden="1">
      <c r="A108" s="2" t="s">
        <v>51</v>
      </c>
      <c r="B108" s="2" t="s">
        <v>271</v>
      </c>
      <c r="C108" s="2">
        <v>5</v>
      </c>
      <c r="D108">
        <v>1</v>
      </c>
      <c r="H108" s="2" t="s">
        <v>248</v>
      </c>
      <c r="I108" s="2">
        <v>5</v>
      </c>
      <c r="J108" s="2" t="s">
        <v>43</v>
      </c>
      <c r="K108" s="2">
        <f t="shared" si="7"/>
        <v>5</v>
      </c>
      <c r="M108">
        <f>IF('Nom du personnage'!$U$51=Compétences!J108,'Contact marchand'!E4,0)</f>
        <v>0</v>
      </c>
      <c r="N108" t="e">
        <f t="shared" si="11"/>
        <v>#N/A</v>
      </c>
      <c r="O108" t="e">
        <f t="shared" si="12"/>
        <v>#N/A</v>
      </c>
      <c r="P108">
        <f>'Nom du personnage'!$U$51</f>
        <v>0</v>
      </c>
    </row>
    <row r="109" spans="1:20" hidden="1">
      <c r="A109" s="2" t="s">
        <v>51</v>
      </c>
      <c r="B109" s="2" t="s">
        <v>272</v>
      </c>
      <c r="C109" s="2">
        <v>3</v>
      </c>
      <c r="D109">
        <v>5</v>
      </c>
      <c r="H109" s="2" t="s">
        <v>249</v>
      </c>
      <c r="I109" s="2">
        <v>5</v>
      </c>
      <c r="J109" s="2" t="s">
        <v>43</v>
      </c>
      <c r="K109" s="2">
        <f t="shared" ref="K109:K172" si="14">VLOOKUP(H109,$B$3:$D$115,3,FALSE)</f>
        <v>5</v>
      </c>
      <c r="M109">
        <f>IF('Nom du personnage'!$U$51=Compétences!J109,'Contact marchand'!E5,0)</f>
        <v>0</v>
      </c>
      <c r="N109" t="e">
        <f t="shared" si="11"/>
        <v>#N/A</v>
      </c>
      <c r="O109" t="e">
        <f t="shared" si="12"/>
        <v>#N/A</v>
      </c>
      <c r="P109">
        <f>'Nom du personnage'!$U$51</f>
        <v>0</v>
      </c>
    </row>
    <row r="110" spans="1:20" hidden="1">
      <c r="A110" s="2" t="s">
        <v>51</v>
      </c>
      <c r="B110" s="2" t="s">
        <v>211</v>
      </c>
      <c r="C110" s="2">
        <v>4</v>
      </c>
      <c r="D110">
        <v>1</v>
      </c>
      <c r="H110" s="2" t="s">
        <v>250</v>
      </c>
      <c r="I110" s="2">
        <v>5</v>
      </c>
      <c r="J110" s="2" t="s">
        <v>43</v>
      </c>
      <c r="K110" s="2">
        <f t="shared" si="14"/>
        <v>5</v>
      </c>
      <c r="M110">
        <f>IF('Nom du personnage'!$U$51=Compétences!J110,'Contact marchand'!E6,0)</f>
        <v>0</v>
      </c>
      <c r="N110" t="e">
        <f t="shared" si="11"/>
        <v>#N/A</v>
      </c>
      <c r="O110" t="e">
        <f t="shared" si="12"/>
        <v>#N/A</v>
      </c>
      <c r="P110">
        <f>'Nom du personnage'!$U$51</f>
        <v>0</v>
      </c>
    </row>
    <row r="111" spans="1:20" hidden="1">
      <c r="A111" s="2" t="s">
        <v>51</v>
      </c>
      <c r="B111" s="2" t="s">
        <v>212</v>
      </c>
      <c r="C111" s="2">
        <v>6</v>
      </c>
      <c r="D111">
        <v>1</v>
      </c>
      <c r="H111" s="2" t="s">
        <v>251</v>
      </c>
      <c r="I111" s="2">
        <v>6</v>
      </c>
      <c r="J111" s="2" t="s">
        <v>43</v>
      </c>
      <c r="K111" s="2">
        <f t="shared" si="14"/>
        <v>5</v>
      </c>
      <c r="M111">
        <f>IF('Nom du personnage'!$U$51=Compétences!J111,'Contact marchand'!E7,0)</f>
        <v>0</v>
      </c>
      <c r="N111" t="e">
        <f t="shared" si="11"/>
        <v>#N/A</v>
      </c>
      <c r="O111" t="e">
        <f t="shared" si="12"/>
        <v>#N/A</v>
      </c>
      <c r="P111">
        <f>'Nom du personnage'!$U$51</f>
        <v>0</v>
      </c>
    </row>
    <row r="112" spans="1:20" hidden="1">
      <c r="A112" s="2" t="s">
        <v>51</v>
      </c>
      <c r="B112" s="2" t="s">
        <v>213</v>
      </c>
      <c r="C112" s="2">
        <v>6</v>
      </c>
      <c r="D112">
        <v>1</v>
      </c>
      <c r="H112" s="2" t="s">
        <v>252</v>
      </c>
      <c r="I112" s="2">
        <v>10</v>
      </c>
      <c r="J112" s="2" t="s">
        <v>43</v>
      </c>
      <c r="K112" s="2">
        <f t="shared" si="14"/>
        <v>5</v>
      </c>
      <c r="M112">
        <f>IF('Nom du personnage'!$U$51=Compétences!J112,'Contact marchand'!E8,0)</f>
        <v>0</v>
      </c>
      <c r="N112" t="e">
        <f t="shared" si="11"/>
        <v>#N/A</v>
      </c>
      <c r="O112" t="e">
        <f t="shared" si="12"/>
        <v>#N/A</v>
      </c>
      <c r="P112">
        <f>'Nom du personnage'!$U$51</f>
        <v>0</v>
      </c>
    </row>
    <row r="113" spans="1:16" hidden="1">
      <c r="A113" s="2" t="s">
        <v>51</v>
      </c>
      <c r="B113" s="2" t="s">
        <v>273</v>
      </c>
      <c r="C113" s="2">
        <v>4</v>
      </c>
      <c r="D113">
        <v>5</v>
      </c>
      <c r="H113" s="2" t="s">
        <v>253</v>
      </c>
      <c r="I113" s="2">
        <v>10</v>
      </c>
      <c r="J113" s="2" t="s">
        <v>43</v>
      </c>
      <c r="K113" s="2">
        <f t="shared" si="14"/>
        <v>5</v>
      </c>
      <c r="M113">
        <f>IF('Nom du personnage'!$U$51=Compétences!J113,'Contact marchand'!E9,0)</f>
        <v>0</v>
      </c>
      <c r="N113" t="e">
        <f t="shared" si="11"/>
        <v>#N/A</v>
      </c>
      <c r="O113" t="e">
        <f t="shared" si="12"/>
        <v>#N/A</v>
      </c>
      <c r="P113">
        <f>'Nom du personnage'!$U$51</f>
        <v>0</v>
      </c>
    </row>
    <row r="114" spans="1:16" hidden="1">
      <c r="A114" s="2" t="s">
        <v>51</v>
      </c>
      <c r="B114" s="2" t="s">
        <v>274</v>
      </c>
      <c r="C114" s="2">
        <v>4</v>
      </c>
      <c r="D114">
        <v>5</v>
      </c>
      <c r="H114" s="2" t="s">
        <v>254</v>
      </c>
      <c r="I114" s="2">
        <v>6</v>
      </c>
      <c r="J114" s="2" t="s">
        <v>43</v>
      </c>
      <c r="K114" s="2">
        <f t="shared" si="14"/>
        <v>5</v>
      </c>
      <c r="M114">
        <f t="shared" si="13"/>
        <v>0</v>
      </c>
      <c r="N114" t="e">
        <f t="shared" si="11"/>
        <v>#N/A</v>
      </c>
      <c r="O114" t="e">
        <f t="shared" si="12"/>
        <v>#N/A</v>
      </c>
      <c r="P114">
        <f>'Nom du personnage'!$U$51</f>
        <v>0</v>
      </c>
    </row>
    <row r="115" spans="1:16" hidden="1">
      <c r="A115" s="2" t="s">
        <v>51</v>
      </c>
      <c r="B115" s="2" t="s">
        <v>259</v>
      </c>
      <c r="C115" s="2">
        <v>4</v>
      </c>
      <c r="D115">
        <v>5</v>
      </c>
      <c r="H115" s="2" t="s">
        <v>255</v>
      </c>
      <c r="I115" s="2">
        <v>5</v>
      </c>
      <c r="J115" s="2" t="s">
        <v>43</v>
      </c>
      <c r="K115" s="2">
        <f t="shared" si="14"/>
        <v>1</v>
      </c>
      <c r="M115">
        <f>IF(AND(J115='Nom du personnage'!$U$51,Concoction!$F$45=TRUE),Compétences!H115,0)</f>
        <v>0</v>
      </c>
      <c r="N115" t="e">
        <f t="shared" si="11"/>
        <v>#N/A</v>
      </c>
      <c r="O115" t="e">
        <f t="shared" si="12"/>
        <v>#N/A</v>
      </c>
      <c r="P115">
        <f>'Nom du personnage'!$U$51</f>
        <v>0</v>
      </c>
    </row>
    <row r="116" spans="1:16" hidden="1">
      <c r="H116" s="2" t="s">
        <v>256</v>
      </c>
      <c r="I116" s="2">
        <v>6</v>
      </c>
      <c r="J116" s="2" t="s">
        <v>43</v>
      </c>
      <c r="K116" s="2">
        <f t="shared" si="14"/>
        <v>5</v>
      </c>
      <c r="M116">
        <f>IF(AND(J116='Nom du personnage'!$U$51,'Lecture et écriture'!$G$99=TRUE),Compétences!H116,0)</f>
        <v>0</v>
      </c>
      <c r="N116" t="e">
        <f t="shared" si="11"/>
        <v>#N/A</v>
      </c>
      <c r="O116" t="e">
        <f t="shared" si="12"/>
        <v>#N/A</v>
      </c>
      <c r="P116">
        <f>'Nom du personnage'!$U$51</f>
        <v>0</v>
      </c>
    </row>
    <row r="117" spans="1:16" hidden="1">
      <c r="H117" s="2" t="s">
        <v>257</v>
      </c>
      <c r="I117" s="2">
        <v>6</v>
      </c>
      <c r="J117" s="2" t="s">
        <v>43</v>
      </c>
      <c r="K117" s="2">
        <f t="shared" si="14"/>
        <v>1</v>
      </c>
      <c r="M117" s="2" cm="1">
        <f t="array" ref="M117">IF(AND(J117='Nom du personnage'!$U$51,OR('Nom du personnage'!$C$65:$L$85=Compétences!$H$19,'Nom du personnage'!$Q$65:$Z$85=Compétences!$H$19)),H117,0)</f>
        <v>0</v>
      </c>
      <c r="N117" t="e">
        <f t="shared" si="11"/>
        <v>#N/A</v>
      </c>
      <c r="O117" t="e">
        <f t="shared" si="12"/>
        <v>#N/A</v>
      </c>
      <c r="P117">
        <f>'Nom du personnage'!$U$51</f>
        <v>0</v>
      </c>
    </row>
    <row r="118" spans="1:16" hidden="1">
      <c r="H118" s="2" t="s">
        <v>1005</v>
      </c>
      <c r="I118" s="2">
        <v>2</v>
      </c>
      <c r="J118" s="2" t="s">
        <v>43</v>
      </c>
      <c r="K118" s="2">
        <f t="shared" si="14"/>
        <v>5</v>
      </c>
      <c r="M118" s="2" cm="1">
        <f t="array" ref="M118">IF(AND('Nom du personnage'!$U$51=Compétences!J118,OR('Nom du personnage'!$C$65:$L$85=Compétences!$M$3,'Nom du personnage'!$Q$65:$Z$85=Compétences!$M$3)),H118,0)</f>
        <v>0</v>
      </c>
      <c r="N118" t="e">
        <f t="shared" si="11"/>
        <v>#N/A</v>
      </c>
      <c r="O118" t="e">
        <f t="shared" si="12"/>
        <v>#N/A</v>
      </c>
      <c r="P118">
        <f>'Nom du personnage'!$U$51</f>
        <v>0</v>
      </c>
    </row>
    <row r="119" spans="1:16" hidden="1">
      <c r="H119" s="2" t="s">
        <v>212</v>
      </c>
      <c r="I119" s="2">
        <v>6</v>
      </c>
      <c r="J119" s="2" t="s">
        <v>43</v>
      </c>
      <c r="K119" s="2">
        <f t="shared" si="14"/>
        <v>1</v>
      </c>
      <c r="M119">
        <f t="shared" si="13"/>
        <v>0</v>
      </c>
      <c r="N119" t="e">
        <f t="shared" si="11"/>
        <v>#N/A</v>
      </c>
      <c r="O119" t="e">
        <f t="shared" si="12"/>
        <v>#N/A</v>
      </c>
      <c r="P119">
        <f>'Nom du personnage'!$U$51</f>
        <v>0</v>
      </c>
    </row>
    <row r="120" spans="1:16" hidden="1">
      <c r="H120" s="2" t="s">
        <v>241</v>
      </c>
      <c r="I120" s="2">
        <v>6</v>
      </c>
      <c r="J120" s="2" t="s">
        <v>43</v>
      </c>
      <c r="K120" s="2">
        <f t="shared" si="14"/>
        <v>1</v>
      </c>
      <c r="M120">
        <f t="shared" si="13"/>
        <v>0</v>
      </c>
      <c r="N120" t="e">
        <f t="shared" si="11"/>
        <v>#N/A</v>
      </c>
      <c r="O120" t="e">
        <f t="shared" si="12"/>
        <v>#N/A</v>
      </c>
      <c r="P120">
        <f>'Nom du personnage'!$U$51</f>
        <v>0</v>
      </c>
    </row>
    <row r="121" spans="1:16" hidden="1">
      <c r="H121" s="2" t="s">
        <v>258</v>
      </c>
      <c r="I121" s="2">
        <v>5</v>
      </c>
      <c r="J121" s="2" t="s">
        <v>43</v>
      </c>
      <c r="K121" s="2">
        <f t="shared" si="14"/>
        <v>5</v>
      </c>
      <c r="M121" s="2" cm="1">
        <f t="array" ref="M121">IF(AND(J121='Nom du personnage'!$U$51,OR('Nom du personnage'!$C$65:$L$85=Compétences!$H$19,'Nom du personnage'!$Q$65:$Z$85=Compétences!$H$19)),H121,0)</f>
        <v>0</v>
      </c>
      <c r="N121" t="e">
        <f t="shared" si="11"/>
        <v>#N/A</v>
      </c>
      <c r="O121" t="e">
        <f t="shared" si="12"/>
        <v>#N/A</v>
      </c>
      <c r="P121">
        <f>'Nom du personnage'!$U$51</f>
        <v>0</v>
      </c>
    </row>
    <row r="122" spans="1:16" hidden="1">
      <c r="H122" s="2" t="s">
        <v>259</v>
      </c>
      <c r="I122" s="2">
        <v>4</v>
      </c>
      <c r="J122" s="2" t="s">
        <v>43</v>
      </c>
      <c r="K122" s="2">
        <f t="shared" si="14"/>
        <v>5</v>
      </c>
      <c r="M122">
        <f t="shared" si="13"/>
        <v>0</v>
      </c>
      <c r="N122" t="e">
        <f t="shared" si="11"/>
        <v>#N/A</v>
      </c>
      <c r="O122" t="e">
        <f t="shared" si="12"/>
        <v>#N/A</v>
      </c>
      <c r="P122">
        <f>'Nom du personnage'!$U$51</f>
        <v>0</v>
      </c>
    </row>
    <row r="123" spans="1:16" hidden="1">
      <c r="H123" s="2" t="s">
        <v>260</v>
      </c>
      <c r="I123" s="2">
        <v>4</v>
      </c>
      <c r="J123" s="2" t="s">
        <v>47</v>
      </c>
      <c r="K123" s="2">
        <f t="shared" si="14"/>
        <v>1</v>
      </c>
      <c r="M123">
        <f t="shared" si="13"/>
        <v>0</v>
      </c>
      <c r="N123" t="e">
        <f t="shared" si="11"/>
        <v>#N/A</v>
      </c>
      <c r="O123" t="e">
        <f t="shared" si="12"/>
        <v>#N/A</v>
      </c>
      <c r="P123">
        <f>'Nom du personnage'!$U$51</f>
        <v>0</v>
      </c>
    </row>
    <row r="124" spans="1:16" hidden="1">
      <c r="H124" s="2" t="s">
        <v>261</v>
      </c>
      <c r="I124" s="2">
        <v>5</v>
      </c>
      <c r="J124" s="2" t="s">
        <v>47</v>
      </c>
      <c r="K124" s="2">
        <f t="shared" si="14"/>
        <v>1</v>
      </c>
      <c r="M124">
        <f>IF(AND(Religion!$D$29=TRUE,'Nom du personnage'!$F$60&lt;&gt;Données!$N$4,J124='Nom du personnage'!$U$51),Compétences!H124,0)</f>
        <v>0</v>
      </c>
      <c r="N124" t="e">
        <f t="shared" si="11"/>
        <v>#N/A</v>
      </c>
      <c r="O124" t="e">
        <f t="shared" si="12"/>
        <v>#N/A</v>
      </c>
      <c r="P124">
        <f>'Nom du personnage'!$U$51</f>
        <v>0</v>
      </c>
    </row>
    <row r="125" spans="1:16" hidden="1">
      <c r="H125" s="2" t="s">
        <v>232</v>
      </c>
      <c r="I125" s="2">
        <v>5</v>
      </c>
      <c r="J125" s="2" t="s">
        <v>47</v>
      </c>
      <c r="K125" s="2">
        <f t="shared" si="14"/>
        <v>5</v>
      </c>
      <c r="M125">
        <f>IF(AND('Nom du personnage'!$U$51=Compétences!J125,Religion!$D$29=TRUE),Compétences!H125,0)</f>
        <v>0</v>
      </c>
      <c r="N125" t="e">
        <f t="shared" si="11"/>
        <v>#N/A</v>
      </c>
      <c r="O125" t="e">
        <f t="shared" si="12"/>
        <v>#N/A</v>
      </c>
      <c r="P125">
        <f>'Nom du personnage'!$U$51</f>
        <v>0</v>
      </c>
    </row>
    <row r="126" spans="1:16" hidden="1">
      <c r="H126" s="2" t="s">
        <v>262</v>
      </c>
      <c r="I126" s="2">
        <v>5</v>
      </c>
      <c r="J126" s="2" t="s">
        <v>47</v>
      </c>
      <c r="K126" s="2">
        <f t="shared" si="14"/>
        <v>1</v>
      </c>
      <c r="M126">
        <f t="shared" si="13"/>
        <v>0</v>
      </c>
      <c r="N126" t="e">
        <f t="shared" si="11"/>
        <v>#N/A</v>
      </c>
      <c r="O126" t="e">
        <f t="shared" si="12"/>
        <v>#N/A</v>
      </c>
      <c r="P126">
        <f>'Nom du personnage'!$U$51</f>
        <v>0</v>
      </c>
    </row>
    <row r="127" spans="1:16" hidden="1">
      <c r="H127" s="2" t="s">
        <v>233</v>
      </c>
      <c r="I127" s="2">
        <v>6</v>
      </c>
      <c r="J127" s="2" t="s">
        <v>47</v>
      </c>
      <c r="K127" s="2">
        <f t="shared" si="14"/>
        <v>5</v>
      </c>
      <c r="M127">
        <f t="shared" si="13"/>
        <v>0</v>
      </c>
      <c r="N127" t="e">
        <f t="shared" si="11"/>
        <v>#N/A</v>
      </c>
      <c r="O127" t="e">
        <f t="shared" si="12"/>
        <v>#N/A</v>
      </c>
      <c r="P127">
        <f>'Nom du personnage'!$U$51</f>
        <v>0</v>
      </c>
    </row>
    <row r="128" spans="1:16" hidden="1">
      <c r="H128" s="2"/>
      <c r="I128" s="2">
        <v>6</v>
      </c>
      <c r="J128" s="2" t="s">
        <v>47</v>
      </c>
      <c r="K128" s="2" t="e">
        <f t="shared" si="14"/>
        <v>#N/A</v>
      </c>
      <c r="M128">
        <f t="shared" si="13"/>
        <v>0</v>
      </c>
      <c r="N128" t="e">
        <f t="shared" si="11"/>
        <v>#N/A</v>
      </c>
      <c r="O128" t="e">
        <f t="shared" si="12"/>
        <v>#N/A</v>
      </c>
      <c r="P128">
        <f>'Nom du personnage'!$U$51</f>
        <v>0</v>
      </c>
    </row>
    <row r="129" spans="8:16" hidden="1">
      <c r="H129" s="2" t="s">
        <v>236</v>
      </c>
      <c r="I129" s="2">
        <v>3</v>
      </c>
      <c r="J129" s="2" t="s">
        <v>47</v>
      </c>
      <c r="K129" s="2">
        <f t="shared" si="14"/>
        <v>1</v>
      </c>
      <c r="M129">
        <f t="shared" si="13"/>
        <v>0</v>
      </c>
      <c r="N129" t="e">
        <f t="shared" ref="N129:N148" si="15">VLOOKUP(M129,H129:J185,2,FALSE)</f>
        <v>#N/A</v>
      </c>
      <c r="O129" t="e">
        <f t="shared" ref="O129:O148" si="16">VLOOKUP(M129,H129:J185,2,FALSE)</f>
        <v>#N/A</v>
      </c>
      <c r="P129">
        <f>'Nom du personnage'!$U$51</f>
        <v>0</v>
      </c>
    </row>
    <row r="130" spans="8:16" hidden="1">
      <c r="H130" s="2" t="s">
        <v>237</v>
      </c>
      <c r="I130" s="2">
        <v>5</v>
      </c>
      <c r="J130" s="2" t="s">
        <v>47</v>
      </c>
      <c r="K130" s="2">
        <f t="shared" si="14"/>
        <v>1</v>
      </c>
      <c r="M130">
        <f t="shared" si="13"/>
        <v>0</v>
      </c>
      <c r="N130" t="e">
        <f t="shared" si="15"/>
        <v>#N/A</v>
      </c>
      <c r="O130" t="e">
        <f t="shared" si="16"/>
        <v>#N/A</v>
      </c>
      <c r="P130">
        <f>'Nom du personnage'!$U$51</f>
        <v>0</v>
      </c>
    </row>
    <row r="131" spans="8:16" hidden="1">
      <c r="H131" s="2" t="s">
        <v>238</v>
      </c>
      <c r="I131" s="2">
        <v>3</v>
      </c>
      <c r="J131" s="2" t="s">
        <v>47</v>
      </c>
      <c r="K131" s="2">
        <f t="shared" si="14"/>
        <v>1</v>
      </c>
      <c r="M131">
        <f t="shared" si="13"/>
        <v>0</v>
      </c>
      <c r="N131" t="e">
        <f t="shared" si="15"/>
        <v>#N/A</v>
      </c>
      <c r="O131" t="e">
        <f t="shared" si="16"/>
        <v>#N/A</v>
      </c>
      <c r="P131">
        <f>'Nom du personnage'!$U$51</f>
        <v>0</v>
      </c>
    </row>
    <row r="132" spans="8:16" hidden="1">
      <c r="H132" s="2" t="s">
        <v>240</v>
      </c>
      <c r="I132" s="2">
        <v>6</v>
      </c>
      <c r="J132" s="2" t="s">
        <v>47</v>
      </c>
      <c r="K132" s="2">
        <f t="shared" si="14"/>
        <v>1</v>
      </c>
      <c r="M132">
        <f t="shared" si="13"/>
        <v>0</v>
      </c>
      <c r="N132" t="e">
        <f t="shared" si="15"/>
        <v>#N/A</v>
      </c>
      <c r="O132" t="e">
        <f t="shared" si="16"/>
        <v>#N/A</v>
      </c>
      <c r="P132">
        <f>'Nom du personnage'!$U$51</f>
        <v>0</v>
      </c>
    </row>
    <row r="133" spans="8:16" hidden="1">
      <c r="H133" s="2" t="s">
        <v>241</v>
      </c>
      <c r="I133" s="2">
        <v>6</v>
      </c>
      <c r="J133" s="2" t="s">
        <v>47</v>
      </c>
      <c r="K133" s="2">
        <f t="shared" si="14"/>
        <v>1</v>
      </c>
      <c r="M133">
        <f t="shared" si="13"/>
        <v>0</v>
      </c>
      <c r="N133" t="e">
        <f t="shared" si="15"/>
        <v>#N/A</v>
      </c>
      <c r="O133" t="e">
        <f t="shared" si="16"/>
        <v>#N/A</v>
      </c>
      <c r="P133">
        <f>'Nom du personnage'!$U$51</f>
        <v>0</v>
      </c>
    </row>
    <row r="134" spans="8:16" hidden="1">
      <c r="H134" s="2" t="s">
        <v>242</v>
      </c>
      <c r="I134" s="2">
        <v>6</v>
      </c>
      <c r="J134" s="2" t="s">
        <v>47</v>
      </c>
      <c r="K134" s="2">
        <f t="shared" si="14"/>
        <v>5</v>
      </c>
      <c r="M134">
        <f t="shared" si="13"/>
        <v>0</v>
      </c>
      <c r="N134" t="e">
        <f t="shared" si="15"/>
        <v>#N/A</v>
      </c>
      <c r="O134" t="e">
        <f t="shared" si="16"/>
        <v>#N/A</v>
      </c>
      <c r="P134">
        <f>'Nom du personnage'!$U$51</f>
        <v>0</v>
      </c>
    </row>
    <row r="135" spans="8:16" hidden="1">
      <c r="H135" s="2" t="s">
        <v>243</v>
      </c>
      <c r="I135" s="2">
        <v>5</v>
      </c>
      <c r="J135" s="2" t="s">
        <v>47</v>
      </c>
      <c r="K135" s="2">
        <f t="shared" si="14"/>
        <v>1</v>
      </c>
      <c r="M135">
        <f t="shared" si="13"/>
        <v>0</v>
      </c>
      <c r="N135" t="e">
        <f t="shared" si="15"/>
        <v>#N/A</v>
      </c>
      <c r="O135" t="e">
        <f t="shared" si="16"/>
        <v>#N/A</v>
      </c>
      <c r="P135">
        <f>'Nom du personnage'!$U$51</f>
        <v>0</v>
      </c>
    </row>
    <row r="136" spans="8:16" hidden="1">
      <c r="H136" s="2" t="s">
        <v>244</v>
      </c>
      <c r="I136" s="2">
        <v>5</v>
      </c>
      <c r="J136" s="2" t="s">
        <v>47</v>
      </c>
      <c r="K136" s="2">
        <f t="shared" si="14"/>
        <v>5</v>
      </c>
      <c r="M136" s="2" cm="1">
        <f t="array" ref="M136">IF(AND('Nom du personnage'!$U$51=Compétences!J136,OR('Nom du personnage'!$C$65:$L$85=Compétences!$H$89,'Nom du personnage'!$Q$65:$Z$85=Compétences!$H$89)),H136,0)</f>
        <v>0</v>
      </c>
      <c r="N136" t="e">
        <f t="shared" si="15"/>
        <v>#N/A</v>
      </c>
      <c r="O136" t="e">
        <f t="shared" si="16"/>
        <v>#N/A</v>
      </c>
      <c r="P136">
        <f>'Nom du personnage'!$U$51</f>
        <v>0</v>
      </c>
    </row>
    <row r="137" spans="8:16" hidden="1">
      <c r="H137" s="2" t="s">
        <v>245</v>
      </c>
      <c r="I137" s="2">
        <v>2</v>
      </c>
      <c r="J137" s="2" t="s">
        <v>47</v>
      </c>
      <c r="K137" s="2">
        <f t="shared" si="14"/>
        <v>5</v>
      </c>
      <c r="M137">
        <f t="shared" si="13"/>
        <v>0</v>
      </c>
      <c r="N137" t="e">
        <f t="shared" si="15"/>
        <v>#N/A</v>
      </c>
      <c r="O137" t="e">
        <f t="shared" si="16"/>
        <v>#N/A</v>
      </c>
      <c r="P137">
        <f>'Nom du personnage'!$U$51</f>
        <v>0</v>
      </c>
    </row>
    <row r="138" spans="8:16" hidden="1">
      <c r="H138" s="2" t="s">
        <v>263</v>
      </c>
      <c r="I138" s="2">
        <v>0</v>
      </c>
      <c r="J138" s="2" t="s">
        <v>51</v>
      </c>
      <c r="K138" s="2">
        <f t="shared" si="14"/>
        <v>5</v>
      </c>
      <c r="M138">
        <f t="shared" si="13"/>
        <v>0</v>
      </c>
      <c r="N138" t="e">
        <f t="shared" si="15"/>
        <v>#N/A</v>
      </c>
      <c r="O138" t="e">
        <f t="shared" si="16"/>
        <v>#N/A</v>
      </c>
      <c r="P138">
        <f>'Nom du personnage'!$U$51</f>
        <v>0</v>
      </c>
    </row>
    <row r="139" spans="8:16" hidden="1">
      <c r="H139" s="2" t="s">
        <v>264</v>
      </c>
      <c r="I139" s="2">
        <v>5</v>
      </c>
      <c r="J139" s="2" t="s">
        <v>51</v>
      </c>
      <c r="K139" s="2">
        <f t="shared" si="14"/>
        <v>5</v>
      </c>
      <c r="M139">
        <f t="shared" si="13"/>
        <v>0</v>
      </c>
      <c r="N139" t="e">
        <f t="shared" si="15"/>
        <v>#N/A</v>
      </c>
      <c r="O139" t="e">
        <f t="shared" si="16"/>
        <v>#N/A</v>
      </c>
      <c r="P139">
        <f>'Nom du personnage'!$U$51</f>
        <v>0</v>
      </c>
    </row>
    <row r="140" spans="8:16" hidden="1">
      <c r="H140" s="2" t="s">
        <v>265</v>
      </c>
      <c r="I140" s="2">
        <v>4</v>
      </c>
      <c r="J140" s="2" t="s">
        <v>51</v>
      </c>
      <c r="K140" s="2">
        <f t="shared" si="14"/>
        <v>5</v>
      </c>
      <c r="M140">
        <f t="shared" si="13"/>
        <v>0</v>
      </c>
      <c r="N140" t="e">
        <f t="shared" si="15"/>
        <v>#N/A</v>
      </c>
      <c r="O140" t="e">
        <f t="shared" si="16"/>
        <v>#N/A</v>
      </c>
      <c r="P140">
        <f>'Nom du personnage'!$U$51</f>
        <v>0</v>
      </c>
    </row>
    <row r="141" spans="8:16" hidden="1">
      <c r="H141" s="2" t="s">
        <v>254</v>
      </c>
      <c r="I141" s="2">
        <v>6</v>
      </c>
      <c r="J141" s="2" t="s">
        <v>51</v>
      </c>
      <c r="K141" s="2">
        <f t="shared" si="14"/>
        <v>5</v>
      </c>
      <c r="M141">
        <f t="shared" si="13"/>
        <v>0</v>
      </c>
      <c r="N141" t="e">
        <f t="shared" si="15"/>
        <v>#N/A</v>
      </c>
      <c r="O141" t="e">
        <f t="shared" si="16"/>
        <v>#N/A</v>
      </c>
      <c r="P141">
        <f>'Nom du personnage'!$U$51</f>
        <v>0</v>
      </c>
    </row>
    <row r="142" spans="8:16" hidden="1">
      <c r="H142" s="2" t="s">
        <v>266</v>
      </c>
      <c r="I142" s="2">
        <v>6</v>
      </c>
      <c r="J142" s="2" t="s">
        <v>51</v>
      </c>
      <c r="K142" s="2">
        <f t="shared" si="14"/>
        <v>1</v>
      </c>
      <c r="M142">
        <f t="shared" si="13"/>
        <v>0</v>
      </c>
      <c r="N142" t="e">
        <f t="shared" si="15"/>
        <v>#N/A</v>
      </c>
      <c r="O142" t="e">
        <f t="shared" si="16"/>
        <v>#N/A</v>
      </c>
      <c r="P142">
        <f>'Nom du personnage'!$U$51</f>
        <v>0</v>
      </c>
    </row>
    <row r="143" spans="8:16" hidden="1">
      <c r="H143" s="2" t="s">
        <v>267</v>
      </c>
      <c r="I143" s="2">
        <v>6</v>
      </c>
      <c r="J143" s="2" t="s">
        <v>51</v>
      </c>
      <c r="K143" s="2">
        <f t="shared" si="14"/>
        <v>1</v>
      </c>
      <c r="M143">
        <f t="shared" si="13"/>
        <v>0</v>
      </c>
      <c r="N143" t="e">
        <f t="shared" si="15"/>
        <v>#N/A</v>
      </c>
      <c r="O143" t="e">
        <f t="shared" si="16"/>
        <v>#N/A</v>
      </c>
      <c r="P143">
        <f>'Nom du personnage'!$U$51</f>
        <v>0</v>
      </c>
    </row>
    <row r="144" spans="8:16" hidden="1">
      <c r="H144" s="2" t="s">
        <v>256</v>
      </c>
      <c r="I144" s="2">
        <v>6</v>
      </c>
      <c r="J144" s="2" t="s">
        <v>51</v>
      </c>
      <c r="K144" s="2">
        <f t="shared" si="14"/>
        <v>5</v>
      </c>
      <c r="M144">
        <f>IF(AND(J144='Nom du personnage'!$U$51,'Lecture et écriture'!$G$99=TRUE),Compétences!H144,0)</f>
        <v>0</v>
      </c>
      <c r="N144" t="e">
        <f t="shared" si="15"/>
        <v>#N/A</v>
      </c>
      <c r="O144" t="e">
        <f t="shared" si="16"/>
        <v>#N/A</v>
      </c>
      <c r="P144">
        <f>'Nom du personnage'!$U$51</f>
        <v>0</v>
      </c>
    </row>
    <row r="145" spans="8:16" hidden="1">
      <c r="H145" s="2" t="s">
        <v>268</v>
      </c>
      <c r="I145" s="2">
        <v>4</v>
      </c>
      <c r="J145" s="2" t="s">
        <v>51</v>
      </c>
      <c r="K145" s="2">
        <f t="shared" si="14"/>
        <v>5</v>
      </c>
      <c r="M145">
        <f t="shared" si="13"/>
        <v>0</v>
      </c>
      <c r="N145" t="e">
        <f t="shared" si="15"/>
        <v>#N/A</v>
      </c>
      <c r="O145" t="e">
        <f t="shared" si="16"/>
        <v>#N/A</v>
      </c>
      <c r="P145">
        <f>'Nom du personnage'!$U$51</f>
        <v>0</v>
      </c>
    </row>
    <row r="146" spans="8:16" hidden="1">
      <c r="H146" s="2" t="s">
        <v>269</v>
      </c>
      <c r="I146" s="2">
        <v>4</v>
      </c>
      <c r="J146" s="2" t="s">
        <v>51</v>
      </c>
      <c r="K146" s="2">
        <f t="shared" si="14"/>
        <v>1</v>
      </c>
      <c r="M146">
        <f t="shared" si="13"/>
        <v>0</v>
      </c>
      <c r="N146" t="e">
        <f t="shared" si="15"/>
        <v>#N/A</v>
      </c>
      <c r="O146" t="e">
        <f t="shared" si="16"/>
        <v>#N/A</v>
      </c>
      <c r="P146">
        <f>'Nom du personnage'!$U$51</f>
        <v>0</v>
      </c>
    </row>
    <row r="147" spans="8:16" hidden="1">
      <c r="H147" s="2" t="s">
        <v>1005</v>
      </c>
      <c r="I147" s="2">
        <v>2</v>
      </c>
      <c r="J147" s="2" t="s">
        <v>51</v>
      </c>
      <c r="K147" s="2">
        <f t="shared" si="14"/>
        <v>5</v>
      </c>
      <c r="M147" s="2" cm="1">
        <f t="array" ref="M147">IF(AND('Nom du personnage'!$U$51=Compétences!J147,OR('Nom du personnage'!$C$65:$L$85=Compétences!$M$3,'Nom du personnage'!$Q$65:$Z$85=Compétences!$M$3)),H147,0)</f>
        <v>0</v>
      </c>
      <c r="N147" t="e">
        <f t="shared" si="15"/>
        <v>#N/A</v>
      </c>
      <c r="O147" t="e">
        <f t="shared" si="16"/>
        <v>#N/A</v>
      </c>
      <c r="P147">
        <f>'Nom du personnage'!$U$51</f>
        <v>0</v>
      </c>
    </row>
    <row r="148" spans="8:16" hidden="1">
      <c r="H148" s="2" t="s">
        <v>270</v>
      </c>
      <c r="I148" s="2">
        <v>6</v>
      </c>
      <c r="J148" s="2" t="s">
        <v>51</v>
      </c>
      <c r="K148" s="2">
        <f t="shared" si="14"/>
        <v>1</v>
      </c>
      <c r="M148">
        <f t="shared" si="13"/>
        <v>0</v>
      </c>
      <c r="N148" t="e">
        <f t="shared" si="15"/>
        <v>#N/A</v>
      </c>
      <c r="O148" t="e">
        <f t="shared" si="16"/>
        <v>#N/A</v>
      </c>
      <c r="P148">
        <f>'Nom du personnage'!$U$51</f>
        <v>0</v>
      </c>
    </row>
    <row r="149" spans="8:16" hidden="1">
      <c r="H149" s="2" t="s">
        <v>271</v>
      </c>
      <c r="I149" s="2">
        <v>5</v>
      </c>
      <c r="J149" s="2" t="s">
        <v>51</v>
      </c>
      <c r="K149" s="2">
        <f t="shared" si="14"/>
        <v>1</v>
      </c>
      <c r="M149">
        <f t="shared" si="13"/>
        <v>0</v>
      </c>
      <c r="N149" t="e">
        <f>VLOOKUP(M149,H149:J204,2,FALSE)</f>
        <v>#N/A</v>
      </c>
      <c r="O149" t="e">
        <f>VLOOKUP(M149,H149:J204,2,FALSE)</f>
        <v>#N/A</v>
      </c>
      <c r="P149">
        <f>'Nom du personnage'!$U$51</f>
        <v>0</v>
      </c>
    </row>
    <row r="150" spans="8:16" hidden="1">
      <c r="H150" s="2" t="s">
        <v>272</v>
      </c>
      <c r="I150" s="2">
        <v>3</v>
      </c>
      <c r="J150" s="2" t="s">
        <v>51</v>
      </c>
      <c r="K150" s="2">
        <f t="shared" si="14"/>
        <v>5</v>
      </c>
      <c r="M150">
        <f t="shared" si="13"/>
        <v>0</v>
      </c>
      <c r="N150" t="e">
        <f>VLOOKUP(M150,H150:J205,2,FALSE)</f>
        <v>#N/A</v>
      </c>
      <c r="O150" t="e">
        <f>VLOOKUP(M150,H150:J205,2,FALSE)</f>
        <v>#N/A</v>
      </c>
      <c r="P150">
        <f>'Nom du personnage'!$U$51</f>
        <v>0</v>
      </c>
    </row>
    <row r="151" spans="8:16" hidden="1">
      <c r="H151" s="2" t="s">
        <v>211</v>
      </c>
      <c r="I151" s="2">
        <v>4</v>
      </c>
      <c r="J151" s="2" t="s">
        <v>51</v>
      </c>
      <c r="K151" s="2">
        <f t="shared" si="14"/>
        <v>1</v>
      </c>
      <c r="M151">
        <f t="shared" si="13"/>
        <v>0</v>
      </c>
      <c r="N151" t="e">
        <f>VLOOKUP(M151,H151:J206,2,FALSE)</f>
        <v>#N/A</v>
      </c>
      <c r="O151" t="e">
        <f>VLOOKUP(M151,H151:J206,2,FALSE)</f>
        <v>#N/A</v>
      </c>
      <c r="P151">
        <f>'Nom du personnage'!$U$51</f>
        <v>0</v>
      </c>
    </row>
    <row r="152" spans="8:16" hidden="1">
      <c r="H152" s="2" t="s">
        <v>212</v>
      </c>
      <c r="I152" s="2">
        <v>6</v>
      </c>
      <c r="J152" s="2" t="s">
        <v>51</v>
      </c>
      <c r="K152" s="2">
        <f t="shared" si="14"/>
        <v>1</v>
      </c>
      <c r="M152">
        <f t="shared" si="13"/>
        <v>0</v>
      </c>
      <c r="N152" t="e">
        <f>VLOOKUP(M152,H152:J207,2,FALSE)</f>
        <v>#N/A</v>
      </c>
      <c r="O152" t="e">
        <f>VLOOKUP(M152,H152:J207,2,FALSE)</f>
        <v>#N/A</v>
      </c>
      <c r="P152">
        <f>'Nom du personnage'!$U$51</f>
        <v>0</v>
      </c>
    </row>
    <row r="153" spans="8:16" hidden="1">
      <c r="H153" s="2" t="s">
        <v>213</v>
      </c>
      <c r="I153" s="2">
        <v>6</v>
      </c>
      <c r="J153" s="2" t="s">
        <v>51</v>
      </c>
      <c r="K153" s="2">
        <f t="shared" si="14"/>
        <v>1</v>
      </c>
      <c r="M153">
        <f t="shared" si="13"/>
        <v>0</v>
      </c>
      <c r="N153" t="e">
        <f>VLOOKUP(M153,H153:J208,2,FALSE)</f>
        <v>#N/A</v>
      </c>
      <c r="O153" t="e">
        <f>VLOOKUP(M153,H153:J208,2,FALSE)</f>
        <v>#N/A</v>
      </c>
      <c r="P153">
        <f>'Nom du personnage'!$U$51</f>
        <v>0</v>
      </c>
    </row>
    <row r="154" spans="8:16" hidden="1">
      <c r="H154" s="2" t="s">
        <v>274</v>
      </c>
      <c r="I154" s="2">
        <v>4</v>
      </c>
      <c r="J154" s="2" t="s">
        <v>51</v>
      </c>
      <c r="K154" s="2">
        <f t="shared" si="14"/>
        <v>5</v>
      </c>
      <c r="M154">
        <f t="shared" si="13"/>
        <v>0</v>
      </c>
      <c r="N154" t="e">
        <f t="shared" ref="N154:N181" si="17">VLOOKUP(M154,H154:J210,2,FALSE)</f>
        <v>#N/A</v>
      </c>
      <c r="O154" t="e">
        <f>VLOOKUP(M154,H154:J210,2,FALSE)</f>
        <v>#N/A</v>
      </c>
      <c r="P154">
        <f>'Nom du personnage'!$U$51</f>
        <v>0</v>
      </c>
    </row>
    <row r="155" spans="8:16" hidden="1">
      <c r="H155" s="2" t="s">
        <v>259</v>
      </c>
      <c r="I155" s="2">
        <v>4</v>
      </c>
      <c r="J155" s="2" t="s">
        <v>51</v>
      </c>
      <c r="K155" s="2">
        <f t="shared" si="14"/>
        <v>5</v>
      </c>
      <c r="M155">
        <f t="shared" si="13"/>
        <v>0</v>
      </c>
      <c r="N155" t="e">
        <f t="shared" si="17"/>
        <v>#N/A</v>
      </c>
      <c r="O155" t="e">
        <f>VLOOKUP(M155,H155:J211,2,FALSE)</f>
        <v>#N/A</v>
      </c>
      <c r="P155">
        <f>'Nom du personnage'!$U$51</f>
        <v>0</v>
      </c>
    </row>
    <row r="156" spans="8:16" hidden="1">
      <c r="H156" s="2" t="s">
        <v>232</v>
      </c>
      <c r="I156" s="2">
        <v>5</v>
      </c>
      <c r="J156" s="2" t="s">
        <v>55</v>
      </c>
      <c r="K156" s="2">
        <f t="shared" si="14"/>
        <v>5</v>
      </c>
      <c r="M156">
        <f>IF(AND('Nom du personnage'!$U$51=Compétences!J156,Religion!$D$29=TRUE),Compétences!H156,0)</f>
        <v>0</v>
      </c>
      <c r="N156" t="e">
        <f t="shared" si="17"/>
        <v>#N/A</v>
      </c>
      <c r="O156" t="e">
        <f>VLOOKUP(M156,H156:J212,2,FALSE)</f>
        <v>#N/A</v>
      </c>
      <c r="P156">
        <f>'Nom du personnage'!$U$51</f>
        <v>0</v>
      </c>
    </row>
    <row r="157" spans="8:16" hidden="1">
      <c r="H157" s="2" t="s">
        <v>233</v>
      </c>
      <c r="I157" s="2">
        <v>6</v>
      </c>
      <c r="J157" s="2" t="s">
        <v>55</v>
      </c>
      <c r="K157" s="2">
        <f t="shared" si="14"/>
        <v>5</v>
      </c>
      <c r="M157">
        <f t="shared" si="13"/>
        <v>0</v>
      </c>
      <c r="N157" t="e">
        <f t="shared" si="17"/>
        <v>#N/A</v>
      </c>
      <c r="O157" t="e">
        <f>VLOOKUP(M157,H157:J213,2,FALSE)</f>
        <v>#N/A</v>
      </c>
      <c r="P157">
        <f>'Nom du personnage'!$U$51</f>
        <v>0</v>
      </c>
    </row>
    <row r="158" spans="8:16" hidden="1">
      <c r="H158" s="2" t="s">
        <v>234</v>
      </c>
      <c r="I158" s="2">
        <v>6</v>
      </c>
      <c r="J158" s="2" t="s">
        <v>55</v>
      </c>
      <c r="K158" s="2">
        <f t="shared" si="14"/>
        <v>5</v>
      </c>
      <c r="M158">
        <f t="shared" si="13"/>
        <v>0</v>
      </c>
      <c r="N158" t="e">
        <f t="shared" si="17"/>
        <v>#N/A</v>
      </c>
      <c r="O158" t="e">
        <f>VLOOKUP(M158,H158:J214,2,FALSE)+1</f>
        <v>#N/A</v>
      </c>
      <c r="P158">
        <f>'Nom du personnage'!$U$51</f>
        <v>0</v>
      </c>
    </row>
    <row r="159" spans="8:16" hidden="1">
      <c r="H159" s="2" t="s">
        <v>235</v>
      </c>
      <c r="I159" s="2">
        <v>6</v>
      </c>
      <c r="J159" s="2" t="s">
        <v>55</v>
      </c>
      <c r="K159" s="2">
        <f t="shared" si="14"/>
        <v>5</v>
      </c>
      <c r="M159">
        <f>IF(AND('Nom du personnage'!$U$51=Compétences!J159,Religion!$D$29),Compétences!H159,0)</f>
        <v>0</v>
      </c>
      <c r="N159" t="e">
        <f t="shared" si="17"/>
        <v>#N/A</v>
      </c>
      <c r="O159" t="e">
        <f>VLOOKUP(M159,H159:J215,2,FALSE)</f>
        <v>#N/A</v>
      </c>
      <c r="P159">
        <f>'Nom du personnage'!$U$51</f>
        <v>0</v>
      </c>
    </row>
    <row r="160" spans="8:16" hidden="1">
      <c r="H160" s="2" t="s">
        <v>236</v>
      </c>
      <c r="I160" s="2">
        <v>3</v>
      </c>
      <c r="J160" s="2" t="s">
        <v>55</v>
      </c>
      <c r="K160" s="2">
        <f t="shared" si="14"/>
        <v>1</v>
      </c>
      <c r="M160">
        <f t="shared" si="13"/>
        <v>0</v>
      </c>
      <c r="N160" t="e">
        <f t="shared" si="17"/>
        <v>#N/A</v>
      </c>
      <c r="O160" t="e">
        <f>VLOOKUP(M160,H160:J216,2,FALSE)</f>
        <v>#N/A</v>
      </c>
      <c r="P160">
        <f>'Nom du personnage'!$U$51</f>
        <v>0</v>
      </c>
    </row>
    <row r="161" spans="8:16" hidden="1">
      <c r="H161" s="2" t="s">
        <v>237</v>
      </c>
      <c r="I161" s="2">
        <v>5</v>
      </c>
      <c r="J161" s="2" t="s">
        <v>55</v>
      </c>
      <c r="K161" s="2">
        <f t="shared" si="14"/>
        <v>1</v>
      </c>
      <c r="M161">
        <f t="shared" si="13"/>
        <v>0</v>
      </c>
      <c r="N161" t="e">
        <f t="shared" si="17"/>
        <v>#N/A</v>
      </c>
      <c r="O161" t="e">
        <f>VLOOKUP(M161,H161:J217,2,FALSE)</f>
        <v>#N/A</v>
      </c>
      <c r="P161">
        <f>'Nom du personnage'!$U$51</f>
        <v>0</v>
      </c>
    </row>
    <row r="162" spans="8:16" hidden="1">
      <c r="H162" s="2" t="s">
        <v>209</v>
      </c>
      <c r="I162" s="2">
        <v>4</v>
      </c>
      <c r="J162" s="2" t="s">
        <v>55</v>
      </c>
      <c r="K162" s="2">
        <f t="shared" si="14"/>
        <v>1</v>
      </c>
      <c r="M162">
        <f t="shared" si="13"/>
        <v>0</v>
      </c>
      <c r="N162" t="e">
        <f t="shared" si="17"/>
        <v>#N/A</v>
      </c>
      <c r="O162" t="e">
        <f>VLOOKUP(M162,H162:J218,2,FALSE)+1</f>
        <v>#N/A</v>
      </c>
      <c r="P162">
        <f>'Nom du personnage'!$U$51</f>
        <v>0</v>
      </c>
    </row>
    <row r="163" spans="8:16" hidden="1">
      <c r="H163" s="2" t="s">
        <v>238</v>
      </c>
      <c r="I163" s="2">
        <v>3</v>
      </c>
      <c r="J163" s="2" t="s">
        <v>55</v>
      </c>
      <c r="K163" s="2">
        <f t="shared" si="14"/>
        <v>1</v>
      </c>
      <c r="M163">
        <f t="shared" si="13"/>
        <v>0</v>
      </c>
      <c r="N163" t="e">
        <f t="shared" si="17"/>
        <v>#N/A</v>
      </c>
      <c r="O163" t="e">
        <f>VLOOKUP(M163,H163:J219,2,FALSE)</f>
        <v>#N/A</v>
      </c>
      <c r="P163">
        <f>'Nom du personnage'!$U$51</f>
        <v>0</v>
      </c>
    </row>
    <row r="164" spans="8:16" hidden="1">
      <c r="H164" s="2" t="s">
        <v>239</v>
      </c>
      <c r="I164" s="2">
        <v>5</v>
      </c>
      <c r="J164" s="2" t="s">
        <v>55</v>
      </c>
      <c r="K164" s="2">
        <f t="shared" si="14"/>
        <v>1</v>
      </c>
      <c r="M164">
        <f t="shared" si="13"/>
        <v>0</v>
      </c>
      <c r="N164" t="e">
        <f t="shared" si="17"/>
        <v>#N/A</v>
      </c>
      <c r="O164" t="e">
        <f>VLOOKUP(M164,H164:J220,2,FALSE)+1</f>
        <v>#N/A</v>
      </c>
      <c r="P164">
        <f>'Nom du personnage'!$U$51</f>
        <v>0</v>
      </c>
    </row>
    <row r="165" spans="8:16" hidden="1">
      <c r="H165" s="2" t="s">
        <v>212</v>
      </c>
      <c r="I165" s="2">
        <v>6</v>
      </c>
      <c r="J165" s="2" t="s">
        <v>55</v>
      </c>
      <c r="K165" s="2">
        <f t="shared" si="14"/>
        <v>1</v>
      </c>
      <c r="M165">
        <f t="shared" si="13"/>
        <v>0</v>
      </c>
      <c r="N165" t="e">
        <f t="shared" si="17"/>
        <v>#N/A</v>
      </c>
      <c r="O165" t="e">
        <f>VLOOKUP(M165,H165:J221,2,FALSE)+1</f>
        <v>#N/A</v>
      </c>
      <c r="P165">
        <f>'Nom du personnage'!$U$51</f>
        <v>0</v>
      </c>
    </row>
    <row r="166" spans="8:16" hidden="1">
      <c r="H166" s="2" t="s">
        <v>240</v>
      </c>
      <c r="I166" s="2">
        <v>6</v>
      </c>
      <c r="J166" s="2" t="s">
        <v>55</v>
      </c>
      <c r="K166" s="2">
        <f t="shared" si="14"/>
        <v>1</v>
      </c>
      <c r="M166">
        <f t="shared" si="13"/>
        <v>0</v>
      </c>
      <c r="N166" t="e">
        <f t="shared" si="17"/>
        <v>#N/A</v>
      </c>
      <c r="O166" t="e">
        <f>VLOOKUP(M166,H166:J222,2,FALSE)</f>
        <v>#N/A</v>
      </c>
      <c r="P166">
        <f>'Nom du personnage'!$U$51</f>
        <v>0</v>
      </c>
    </row>
    <row r="167" spans="8:16" hidden="1">
      <c r="H167" s="2" t="s">
        <v>241</v>
      </c>
      <c r="I167" s="2">
        <v>6</v>
      </c>
      <c r="J167" s="2" t="s">
        <v>55</v>
      </c>
      <c r="K167" s="2">
        <f t="shared" si="14"/>
        <v>1</v>
      </c>
      <c r="M167">
        <f t="shared" ref="M167:M230" si="18">IF(P167=J167,H167,)</f>
        <v>0</v>
      </c>
      <c r="N167" t="e">
        <f t="shared" si="17"/>
        <v>#N/A</v>
      </c>
      <c r="O167" t="e">
        <f t="shared" ref="O167:O171" si="19">VLOOKUP(M167,H167:J223,2,FALSE)</f>
        <v>#N/A</v>
      </c>
      <c r="P167">
        <f>'Nom du personnage'!$U$51</f>
        <v>0</v>
      </c>
    </row>
    <row r="168" spans="8:16" hidden="1">
      <c r="H168" s="2" t="s">
        <v>242</v>
      </c>
      <c r="I168" s="2">
        <v>6</v>
      </c>
      <c r="J168" s="2" t="s">
        <v>55</v>
      </c>
      <c r="K168" s="2">
        <f t="shared" si="14"/>
        <v>5</v>
      </c>
      <c r="M168">
        <f t="shared" si="18"/>
        <v>0</v>
      </c>
      <c r="N168" t="e">
        <f t="shared" si="17"/>
        <v>#N/A</v>
      </c>
      <c r="O168" t="e">
        <f t="shared" si="19"/>
        <v>#N/A</v>
      </c>
      <c r="P168">
        <f>'Nom du personnage'!$U$51</f>
        <v>0</v>
      </c>
    </row>
    <row r="169" spans="8:16" hidden="1">
      <c r="H169" s="2" t="s">
        <v>243</v>
      </c>
      <c r="I169" s="2">
        <v>5</v>
      </c>
      <c r="J169" s="2" t="s">
        <v>55</v>
      </c>
      <c r="K169" s="2">
        <f t="shared" si="14"/>
        <v>1</v>
      </c>
      <c r="M169">
        <f t="shared" si="18"/>
        <v>0</v>
      </c>
      <c r="N169" t="e">
        <f t="shared" si="17"/>
        <v>#N/A</v>
      </c>
      <c r="O169" t="e">
        <f t="shared" si="19"/>
        <v>#N/A</v>
      </c>
      <c r="P169">
        <f>'Nom du personnage'!$U$51</f>
        <v>0</v>
      </c>
    </row>
    <row r="170" spans="8:16" hidden="1">
      <c r="H170" s="2" t="s">
        <v>244</v>
      </c>
      <c r="I170" s="2">
        <v>5</v>
      </c>
      <c r="J170" s="2" t="s">
        <v>55</v>
      </c>
      <c r="K170" s="2">
        <f t="shared" si="14"/>
        <v>5</v>
      </c>
      <c r="M170" s="2" cm="1">
        <f t="array" ref="M170">IF(AND('Nom du personnage'!$U$51=Compétences!J170,OR('Nom du personnage'!$C$65:$L$85=Compétences!$H$89,'Nom du personnage'!$Q$65:$Z$85=Compétences!$H$89)),H170,0)</f>
        <v>0</v>
      </c>
      <c r="N170" t="e">
        <f t="shared" si="17"/>
        <v>#N/A</v>
      </c>
      <c r="O170" t="e">
        <f t="shared" si="19"/>
        <v>#N/A</v>
      </c>
      <c r="P170">
        <f>'Nom du personnage'!$U$51</f>
        <v>0</v>
      </c>
    </row>
    <row r="171" spans="8:16" hidden="1">
      <c r="H171" s="2" t="s">
        <v>245</v>
      </c>
      <c r="I171" s="2">
        <v>2</v>
      </c>
      <c r="J171" s="2" t="s">
        <v>55</v>
      </c>
      <c r="K171" s="2">
        <f t="shared" si="14"/>
        <v>5</v>
      </c>
      <c r="M171">
        <f t="shared" si="18"/>
        <v>0</v>
      </c>
      <c r="N171" t="e">
        <f t="shared" si="17"/>
        <v>#N/A</v>
      </c>
      <c r="O171" t="e">
        <f t="shared" si="19"/>
        <v>#N/A</v>
      </c>
      <c r="P171">
        <f>'Nom du personnage'!$U$51</f>
        <v>0</v>
      </c>
    </row>
    <row r="172" spans="8:16" hidden="1">
      <c r="H172" s="2" t="s">
        <v>260</v>
      </c>
      <c r="I172" s="2">
        <v>4</v>
      </c>
      <c r="J172" s="2" t="s">
        <v>55</v>
      </c>
      <c r="K172" s="2">
        <f t="shared" si="14"/>
        <v>1</v>
      </c>
      <c r="M172">
        <f t="shared" si="18"/>
        <v>0</v>
      </c>
      <c r="N172" t="e">
        <f t="shared" si="17"/>
        <v>#N/A</v>
      </c>
      <c r="O172" t="e">
        <f t="shared" ref="O172:O181" si="20">VLOOKUP(M172,H172:J228,2,FALSE)+1</f>
        <v>#N/A</v>
      </c>
      <c r="P172">
        <f>'Nom du personnage'!$U$51</f>
        <v>0</v>
      </c>
    </row>
    <row r="173" spans="8:16" hidden="1">
      <c r="H173" s="2" t="s">
        <v>261</v>
      </c>
      <c r="I173" s="2">
        <v>5</v>
      </c>
      <c r="J173" s="2" t="s">
        <v>55</v>
      </c>
      <c r="K173" s="2">
        <f t="shared" ref="K173:K236" si="21">VLOOKUP(H173,$B$3:$D$115,3,FALSE)</f>
        <v>1</v>
      </c>
      <c r="M173">
        <f>IF(AND(Religion!$D$29=TRUE,'Nom du personnage'!$F$60&lt;&gt;Données!$N$4,J173='Nom du personnage'!$U$51),Compétences!H173,0)</f>
        <v>0</v>
      </c>
      <c r="N173" t="e">
        <f t="shared" si="17"/>
        <v>#N/A</v>
      </c>
      <c r="O173" t="e">
        <f t="shared" si="20"/>
        <v>#N/A</v>
      </c>
      <c r="P173">
        <f>'Nom du personnage'!$U$51</f>
        <v>0</v>
      </c>
    </row>
    <row r="174" spans="8:16" hidden="1">
      <c r="H174" s="2" t="s">
        <v>262</v>
      </c>
      <c r="I174" s="2">
        <v>5</v>
      </c>
      <c r="J174" s="2" t="s">
        <v>55</v>
      </c>
      <c r="K174" s="2">
        <f t="shared" si="21"/>
        <v>1</v>
      </c>
      <c r="M174">
        <f t="shared" si="18"/>
        <v>0</v>
      </c>
      <c r="N174" t="e">
        <f t="shared" si="17"/>
        <v>#N/A</v>
      </c>
      <c r="O174" t="e">
        <f t="shared" si="20"/>
        <v>#N/A</v>
      </c>
      <c r="P174">
        <f>'Nom du personnage'!$U$51</f>
        <v>0</v>
      </c>
    </row>
    <row r="175" spans="8:16" hidden="1">
      <c r="H175" t="s">
        <v>227</v>
      </c>
      <c r="I175">
        <v>3</v>
      </c>
      <c r="J175" s="2" t="s">
        <v>59</v>
      </c>
      <c r="K175" s="2">
        <f t="shared" si="21"/>
        <v>5</v>
      </c>
      <c r="M175" s="2" cm="1">
        <f t="array" ref="M175">IF(AND('Nom du personnage'!$U$51=Compétences!J175,OR('Nom du personnage'!$C$65:$L$85=Compétences!$M$12,'Nom du personnage'!$Q$65:$Z$85=Compétences!$M$12)),H175,0)</f>
        <v>0</v>
      </c>
      <c r="N175" t="e">
        <f t="shared" si="17"/>
        <v>#N/A</v>
      </c>
      <c r="O175" t="e">
        <f t="shared" si="20"/>
        <v>#N/A</v>
      </c>
      <c r="P175">
        <f>'Nom du personnage'!$U$51</f>
        <v>0</v>
      </c>
    </row>
    <row r="176" spans="8:16" hidden="1">
      <c r="H176" t="s">
        <v>199</v>
      </c>
      <c r="I176">
        <v>6</v>
      </c>
      <c r="J176" s="2" t="s">
        <v>59</v>
      </c>
      <c r="K176" s="2">
        <f t="shared" si="21"/>
        <v>1</v>
      </c>
      <c r="M176" s="2" cm="1">
        <f t="array" ref="M176">IF(AND('Nom du personnage'!U182=Compétences!J176,OR('Nom du personnage'!$C$65:$L$85=Compétences!$M$13,'Nom du personnage'!$Q$65:$Z$85=Compétences!$M$13)),H176,0)</f>
        <v>0</v>
      </c>
      <c r="N176" t="e">
        <f t="shared" si="17"/>
        <v>#N/A</v>
      </c>
      <c r="O176" t="e">
        <f t="shared" si="20"/>
        <v>#N/A</v>
      </c>
      <c r="P176">
        <f>'Nom du personnage'!$U$51</f>
        <v>0</v>
      </c>
    </row>
    <row r="177" spans="8:16" hidden="1">
      <c r="H177" t="s">
        <v>200</v>
      </c>
      <c r="I177">
        <v>6</v>
      </c>
      <c r="J177" s="2" t="s">
        <v>59</v>
      </c>
      <c r="K177" s="2">
        <f t="shared" si="21"/>
        <v>1</v>
      </c>
      <c r="M177">
        <f t="shared" si="18"/>
        <v>0</v>
      </c>
      <c r="N177" t="e">
        <f t="shared" si="17"/>
        <v>#N/A</v>
      </c>
      <c r="O177" t="e">
        <f t="shared" si="20"/>
        <v>#N/A</v>
      </c>
      <c r="P177">
        <f>'Nom du personnage'!$U$51</f>
        <v>0</v>
      </c>
    </row>
    <row r="178" spans="8:16" hidden="1">
      <c r="H178" t="s">
        <v>202</v>
      </c>
      <c r="I178">
        <v>5</v>
      </c>
      <c r="J178" s="2" t="s">
        <v>59</v>
      </c>
      <c r="K178" s="2">
        <f t="shared" si="21"/>
        <v>5</v>
      </c>
      <c r="M178">
        <f t="shared" si="18"/>
        <v>0</v>
      </c>
      <c r="N178" t="e">
        <f t="shared" si="17"/>
        <v>#N/A</v>
      </c>
      <c r="O178" t="e">
        <f t="shared" si="20"/>
        <v>#N/A</v>
      </c>
      <c r="P178">
        <f>'Nom du personnage'!$U$51</f>
        <v>0</v>
      </c>
    </row>
    <row r="179" spans="8:16" hidden="1">
      <c r="H179" t="s">
        <v>203</v>
      </c>
      <c r="I179">
        <v>6</v>
      </c>
      <c r="J179" s="2" t="s">
        <v>59</v>
      </c>
      <c r="K179" s="2">
        <f t="shared" si="21"/>
        <v>5</v>
      </c>
      <c r="M179" s="2" cm="1">
        <f t="array" ref="M179">IF(AND('Nom du personnage'!U51=Compétences!J179,OR('Nom du personnage'!$C$65:$L$85=Compétences!$H$48,'Nom du personnage'!$Q$65:$Z$85=Compétences!$H$48)),H179,0)</f>
        <v>0</v>
      </c>
      <c r="N179" t="e">
        <f t="shared" si="17"/>
        <v>#N/A</v>
      </c>
      <c r="O179" t="e">
        <f t="shared" si="20"/>
        <v>#N/A</v>
      </c>
      <c r="P179">
        <f>'Nom du personnage'!$U$51</f>
        <v>0</v>
      </c>
    </row>
    <row r="180" spans="8:16" hidden="1">
      <c r="H180" t="s">
        <v>228</v>
      </c>
      <c r="I180">
        <v>4</v>
      </c>
      <c r="J180" s="2" t="s">
        <v>59</v>
      </c>
      <c r="K180" s="2">
        <f t="shared" si="21"/>
        <v>5</v>
      </c>
      <c r="M180">
        <f t="shared" si="18"/>
        <v>0</v>
      </c>
      <c r="N180" t="e">
        <f t="shared" si="17"/>
        <v>#N/A</v>
      </c>
      <c r="O180" t="e">
        <f t="shared" si="20"/>
        <v>#N/A</v>
      </c>
      <c r="P180">
        <f>'Nom du personnage'!$U$51</f>
        <v>0</v>
      </c>
    </row>
    <row r="181" spans="8:16" hidden="1">
      <c r="H181" t="s">
        <v>204</v>
      </c>
      <c r="I181">
        <v>5</v>
      </c>
      <c r="J181" s="2" t="s">
        <v>59</v>
      </c>
      <c r="K181" s="2">
        <f t="shared" si="21"/>
        <v>1</v>
      </c>
      <c r="M181">
        <f t="shared" si="18"/>
        <v>0</v>
      </c>
      <c r="N181" t="e">
        <f t="shared" si="17"/>
        <v>#N/A</v>
      </c>
      <c r="O181" t="e">
        <f t="shared" si="20"/>
        <v>#N/A</v>
      </c>
      <c r="P181">
        <f>'Nom du personnage'!$U$51</f>
        <v>0</v>
      </c>
    </row>
    <row r="182" spans="8:16" hidden="1">
      <c r="H182" t="s">
        <v>205</v>
      </c>
      <c r="I182">
        <v>5</v>
      </c>
      <c r="J182" s="2" t="s">
        <v>59</v>
      </c>
      <c r="K182" s="2">
        <f t="shared" si="21"/>
        <v>5</v>
      </c>
      <c r="M182" s="2" cm="1">
        <f t="array" ref="M182">IF(AND('Nom du personnage'!U182=Compétences!J182,OR('Nom du personnage'!$C$65:$L$85=Compétences!$H$50,'Nom du personnage'!$Q$65:$Z$85=Compétences!$H$50)),H182,0)</f>
        <v>0</v>
      </c>
      <c r="N182" t="e">
        <f>VLOOKUP(M182,H182:J237,2,FALSE)</f>
        <v>#N/A</v>
      </c>
      <c r="O182" t="e">
        <f>VLOOKUP(M182,H182:J237,2,FALSE)+1</f>
        <v>#N/A</v>
      </c>
      <c r="P182">
        <f>'Nom du personnage'!$U$51</f>
        <v>0</v>
      </c>
    </row>
    <row r="183" spans="8:16" hidden="1">
      <c r="H183" t="s">
        <v>229</v>
      </c>
      <c r="I183">
        <v>6</v>
      </c>
      <c r="J183" s="2" t="s">
        <v>59</v>
      </c>
      <c r="K183" s="2">
        <f t="shared" si="21"/>
        <v>5</v>
      </c>
      <c r="M183">
        <f t="shared" si="18"/>
        <v>0</v>
      </c>
      <c r="N183" t="e">
        <f>VLOOKUP(M183,H183:J238,2,FALSE)</f>
        <v>#N/A</v>
      </c>
      <c r="O183" t="e">
        <f>VLOOKUP(M183,H183:J238,2,FALSE)+1</f>
        <v>#N/A</v>
      </c>
      <c r="P183">
        <f>'Nom du personnage'!$U$51</f>
        <v>0</v>
      </c>
    </row>
    <row r="184" spans="8:16">
      <c r="H184" t="s">
        <v>206</v>
      </c>
      <c r="I184">
        <v>3</v>
      </c>
      <c r="J184" s="2" t="s">
        <v>59</v>
      </c>
      <c r="K184" s="2">
        <f t="shared" si="21"/>
        <v>5</v>
      </c>
      <c r="M184" s="2" cm="1">
        <f t="array" ref="M184">IF(AND('Nom du personnage'!U183=Compétences!J184,OR('Nom du personnage'!$C$65:$L$85=Compétences!$M$18,'Nom du personnage'!$Q$65:$Z$85=Compétences!$M$18)),H184,0)</f>
        <v>0</v>
      </c>
      <c r="N184" t="e">
        <f>VLOOKUP(M184,H184:J239,2,FALSE)</f>
        <v>#N/A</v>
      </c>
      <c r="O184" t="e">
        <f>VLOOKUP(M184,H184:J239,2,FALSE)+1</f>
        <v>#N/A</v>
      </c>
      <c r="P184">
        <f>'Nom du personnage'!$U$51</f>
        <v>0</v>
      </c>
    </row>
    <row r="185" spans="8:16" hidden="1">
      <c r="H185" t="s">
        <v>230</v>
      </c>
      <c r="I185">
        <v>7</v>
      </c>
      <c r="J185" s="2" t="s">
        <v>59</v>
      </c>
      <c r="K185" s="2">
        <f t="shared" si="21"/>
        <v>5</v>
      </c>
      <c r="M185">
        <f t="shared" si="18"/>
        <v>0</v>
      </c>
      <c r="N185" t="e">
        <f>VLOOKUP(M185,H185:J239,2,FALSE)</f>
        <v>#N/A</v>
      </c>
      <c r="O185" t="e">
        <f>VLOOKUP(M185,H185:J239,2,FALSE)+1</f>
        <v>#N/A</v>
      </c>
      <c r="P185">
        <f>'Nom du personnage'!$U$51</f>
        <v>0</v>
      </c>
    </row>
    <row r="186" spans="8:16" hidden="1">
      <c r="H186" s="2" t="s">
        <v>1005</v>
      </c>
      <c r="I186">
        <v>2</v>
      </c>
      <c r="J186" s="2" t="s">
        <v>59</v>
      </c>
      <c r="K186" s="2">
        <f t="shared" si="21"/>
        <v>5</v>
      </c>
      <c r="M186" s="2" cm="1">
        <f t="array" ref="M186">IF(AND('Nom du personnage'!$U$51=Compétences!J186,OR('Nom du personnage'!$C$65:$L$85=Compétences!$M$3,'Nom du personnage'!$Q$65:$Z$85=Compétences!$M$3)),H186,0)</f>
        <v>0</v>
      </c>
      <c r="N186" t="e">
        <f>VLOOKUP(M186,H186:J239,2,FALSE)</f>
        <v>#N/A</v>
      </c>
      <c r="O186" t="e">
        <f>VLOOKUP(M186,H186:J239,2,FALSE)</f>
        <v>#N/A</v>
      </c>
      <c r="P186">
        <f>'Nom du personnage'!$U$51</f>
        <v>0</v>
      </c>
    </row>
    <row r="187" spans="8:16" hidden="1">
      <c r="H187" t="s">
        <v>231</v>
      </c>
      <c r="I187">
        <v>6</v>
      </c>
      <c r="J187" s="2" t="s">
        <v>59</v>
      </c>
      <c r="K187" s="2">
        <f t="shared" si="21"/>
        <v>5</v>
      </c>
      <c r="M187">
        <f t="shared" si="18"/>
        <v>0</v>
      </c>
      <c r="N187" t="e">
        <f>VLOOKUP(M187,H187:J239,2,FALSE)</f>
        <v>#N/A</v>
      </c>
      <c r="O187" t="e">
        <f>VLOOKUP(M187,H187:J239,2,FALSE)+1</f>
        <v>#N/A</v>
      </c>
      <c r="P187">
        <f>'Nom du personnage'!$U$51</f>
        <v>0</v>
      </c>
    </row>
    <row r="188" spans="8:16" hidden="1">
      <c r="H188" t="s">
        <v>211</v>
      </c>
      <c r="I188">
        <v>4</v>
      </c>
      <c r="J188" s="2" t="s">
        <v>59</v>
      </c>
      <c r="K188" s="2">
        <f t="shared" si="21"/>
        <v>1</v>
      </c>
      <c r="M188">
        <f t="shared" si="18"/>
        <v>0</v>
      </c>
      <c r="N188" t="e">
        <f>VLOOKUP(M188,H188:J239,2,FALSE)</f>
        <v>#N/A</v>
      </c>
      <c r="O188" t="e">
        <f>VLOOKUP(M188,H188:J239,2,FALSE)+1</f>
        <v>#N/A</v>
      </c>
      <c r="P188">
        <f>'Nom du personnage'!$U$51</f>
        <v>0</v>
      </c>
    </row>
    <row r="189" spans="8:16" hidden="1">
      <c r="H189" t="s">
        <v>210</v>
      </c>
      <c r="I189">
        <v>6</v>
      </c>
      <c r="J189" s="2" t="s">
        <v>59</v>
      </c>
      <c r="K189" s="2">
        <f t="shared" si="21"/>
        <v>1</v>
      </c>
      <c r="M189">
        <f t="shared" si="18"/>
        <v>0</v>
      </c>
      <c r="N189" t="e">
        <f>VLOOKUP(M189,H189:J239,2,FALSE)</f>
        <v>#N/A</v>
      </c>
      <c r="O189" t="e">
        <f>VLOOKUP(M189,H189:J239,2,FALSE)+1</f>
        <v>#N/A</v>
      </c>
      <c r="P189">
        <f>'Nom du personnage'!$U$51</f>
        <v>0</v>
      </c>
    </row>
    <row r="190" spans="8:16" hidden="1">
      <c r="H190" t="s">
        <v>213</v>
      </c>
      <c r="I190">
        <v>6</v>
      </c>
      <c r="J190" s="2" t="s">
        <v>59</v>
      </c>
      <c r="K190" s="2">
        <f t="shared" si="21"/>
        <v>1</v>
      </c>
      <c r="M190">
        <f t="shared" si="18"/>
        <v>0</v>
      </c>
      <c r="N190" t="e">
        <f>VLOOKUP(M190,H190:J239,2,FALSE)</f>
        <v>#N/A</v>
      </c>
      <c r="O190" t="e">
        <f>VLOOKUP(M190,H190:J239,2,FALSE)</f>
        <v>#N/A</v>
      </c>
      <c r="P190">
        <f>'Nom du personnage'!$U$51</f>
        <v>0</v>
      </c>
    </row>
    <row r="191" spans="8:16" hidden="1">
      <c r="H191" t="s">
        <v>263</v>
      </c>
      <c r="I191">
        <v>4</v>
      </c>
      <c r="J191" s="2" t="s">
        <v>59</v>
      </c>
      <c r="K191" s="2">
        <f t="shared" si="21"/>
        <v>5</v>
      </c>
      <c r="M191">
        <f t="shared" si="18"/>
        <v>0</v>
      </c>
      <c r="N191" t="e">
        <f>VLOOKUP(M191,H191:J239,2,FALSE)</f>
        <v>#N/A</v>
      </c>
      <c r="O191" t="e">
        <f>VLOOKUP(M191,H191:J239,2,FALSE)+1</f>
        <v>#N/A</v>
      </c>
      <c r="P191">
        <f>'Nom du personnage'!$U$51</f>
        <v>0</v>
      </c>
    </row>
    <row r="192" spans="8:16" hidden="1">
      <c r="H192" t="s">
        <v>264</v>
      </c>
      <c r="I192">
        <v>5</v>
      </c>
      <c r="J192" s="2" t="s">
        <v>59</v>
      </c>
      <c r="K192" s="2">
        <f t="shared" si="21"/>
        <v>5</v>
      </c>
      <c r="M192">
        <f t="shared" si="18"/>
        <v>0</v>
      </c>
      <c r="N192" t="e">
        <f>VLOOKUP(M192,H192:J239,2,FALSE)</f>
        <v>#N/A</v>
      </c>
      <c r="O192" t="e">
        <f>VLOOKUP(M192,H192:J239,2,FALSE)+1</f>
        <v>#N/A</v>
      </c>
      <c r="P192">
        <f>'Nom du personnage'!$U$51</f>
        <v>0</v>
      </c>
    </row>
    <row r="193" spans="8:16" hidden="1">
      <c r="H193" t="s">
        <v>265</v>
      </c>
      <c r="I193">
        <v>4</v>
      </c>
      <c r="J193" s="2" t="s">
        <v>59</v>
      </c>
      <c r="K193" s="2">
        <f t="shared" si="21"/>
        <v>5</v>
      </c>
      <c r="M193">
        <f t="shared" si="18"/>
        <v>0</v>
      </c>
      <c r="N193" t="e">
        <f>VLOOKUP(M193,H193:J239,2,FALSE)</f>
        <v>#N/A</v>
      </c>
      <c r="O193" t="e">
        <f>VLOOKUP(M193,H193:J239,2,FALSE)+1</f>
        <v>#N/A</v>
      </c>
      <c r="P193">
        <f>'Nom du personnage'!$U$51</f>
        <v>0</v>
      </c>
    </row>
    <row r="194" spans="8:16" hidden="1">
      <c r="H194" t="s">
        <v>254</v>
      </c>
      <c r="I194">
        <v>6</v>
      </c>
      <c r="J194" s="2" t="s">
        <v>59</v>
      </c>
      <c r="K194" s="2">
        <f t="shared" si="21"/>
        <v>5</v>
      </c>
      <c r="M194">
        <f t="shared" si="18"/>
        <v>0</v>
      </c>
      <c r="N194" t="e">
        <f>VLOOKUP(M194,H194:J239,2,FALSE)</f>
        <v>#N/A</v>
      </c>
      <c r="O194" t="e">
        <f>VLOOKUP(M194,H194:J239,2,FALSE)+1</f>
        <v>#N/A</v>
      </c>
      <c r="P194">
        <f>'Nom du personnage'!$U$51</f>
        <v>0</v>
      </c>
    </row>
    <row r="195" spans="8:16" hidden="1">
      <c r="H195" t="s">
        <v>266</v>
      </c>
      <c r="I195">
        <v>6</v>
      </c>
      <c r="J195" s="2" t="s">
        <v>59</v>
      </c>
      <c r="K195" s="2">
        <f t="shared" si="21"/>
        <v>1</v>
      </c>
      <c r="M195">
        <f t="shared" si="18"/>
        <v>0</v>
      </c>
      <c r="N195" t="e">
        <f>VLOOKUP(M195,H195:J239,2,FALSE)</f>
        <v>#N/A</v>
      </c>
      <c r="O195" t="e">
        <f>VLOOKUP(M195,H195:J239,2,FALSE)+1</f>
        <v>#N/A</v>
      </c>
      <c r="P195">
        <f>'Nom du personnage'!$U$51</f>
        <v>0</v>
      </c>
    </row>
    <row r="196" spans="8:16" hidden="1">
      <c r="H196" t="s">
        <v>267</v>
      </c>
      <c r="I196">
        <v>6</v>
      </c>
      <c r="J196" s="2" t="s">
        <v>59</v>
      </c>
      <c r="K196" s="2">
        <f t="shared" si="21"/>
        <v>1</v>
      </c>
      <c r="M196">
        <f t="shared" si="18"/>
        <v>0</v>
      </c>
      <c r="N196" t="e">
        <f>VLOOKUP(M196,H196:J239,2,FALSE)</f>
        <v>#N/A</v>
      </c>
      <c r="O196" t="e">
        <f>VLOOKUP(M196,H196:J239,2,FALSE)+1</f>
        <v>#N/A</v>
      </c>
      <c r="P196">
        <f>'Nom du personnage'!$U$51</f>
        <v>0</v>
      </c>
    </row>
    <row r="197" spans="8:16" hidden="1">
      <c r="H197" t="s">
        <v>256</v>
      </c>
      <c r="I197">
        <v>6</v>
      </c>
      <c r="J197" s="2" t="s">
        <v>59</v>
      </c>
      <c r="K197" s="2">
        <f t="shared" si="21"/>
        <v>5</v>
      </c>
      <c r="M197">
        <f>IF(AND(J197='Nom du personnage'!$U$51,'Lecture et écriture'!$G$99=TRUE),Compétences!H197,0)</f>
        <v>0</v>
      </c>
      <c r="N197" t="e">
        <f>VLOOKUP(M197,H197:J239,2,FALSE)</f>
        <v>#N/A</v>
      </c>
      <c r="O197" t="e">
        <f>VLOOKUP(M197,H197:J239,2,FALSE)+1</f>
        <v>#N/A</v>
      </c>
      <c r="P197">
        <f>'Nom du personnage'!$U$51</f>
        <v>0</v>
      </c>
    </row>
    <row r="198" spans="8:16" hidden="1">
      <c r="H198" t="s">
        <v>268</v>
      </c>
      <c r="I198">
        <v>4</v>
      </c>
      <c r="J198" s="2" t="s">
        <v>59</v>
      </c>
      <c r="K198" s="2">
        <f t="shared" si="21"/>
        <v>5</v>
      </c>
      <c r="M198">
        <f t="shared" si="18"/>
        <v>0</v>
      </c>
      <c r="N198" t="e">
        <f>VLOOKUP(M198,H198:J239,2,FALSE)</f>
        <v>#N/A</v>
      </c>
      <c r="O198" t="e">
        <f>VLOOKUP(M198,H198:J239,2,FALSE)+1</f>
        <v>#N/A</v>
      </c>
      <c r="P198">
        <f>'Nom du personnage'!$U$51</f>
        <v>0</v>
      </c>
    </row>
    <row r="199" spans="8:16" hidden="1">
      <c r="H199" t="s">
        <v>269</v>
      </c>
      <c r="I199">
        <v>4</v>
      </c>
      <c r="J199" s="2" t="s">
        <v>59</v>
      </c>
      <c r="K199" s="2">
        <f t="shared" si="21"/>
        <v>1</v>
      </c>
      <c r="M199">
        <f t="shared" si="18"/>
        <v>0</v>
      </c>
      <c r="N199" t="e">
        <f>VLOOKUP(M199,H199:J239,2,FALSE)</f>
        <v>#N/A</v>
      </c>
      <c r="O199" t="e">
        <f>VLOOKUP(M199,H199:J239,2,FALSE)+1</f>
        <v>#N/A</v>
      </c>
      <c r="P199">
        <f>'Nom du personnage'!$U$51</f>
        <v>0</v>
      </c>
    </row>
    <row r="200" spans="8:16" hidden="1">
      <c r="H200" t="s">
        <v>270</v>
      </c>
      <c r="I200">
        <v>6</v>
      </c>
      <c r="J200" s="2" t="s">
        <v>59</v>
      </c>
      <c r="K200" s="2">
        <f t="shared" si="21"/>
        <v>1</v>
      </c>
      <c r="M200">
        <f t="shared" si="18"/>
        <v>0</v>
      </c>
      <c r="N200" t="e">
        <f>VLOOKUP(M200,H200:J239,2,FALSE)</f>
        <v>#N/A</v>
      </c>
      <c r="O200" t="e">
        <f>VLOOKUP(M200,H200:J239,2,FALSE)+1</f>
        <v>#N/A</v>
      </c>
      <c r="P200">
        <f>'Nom du personnage'!$U$51</f>
        <v>0</v>
      </c>
    </row>
    <row r="201" spans="8:16" hidden="1">
      <c r="H201" t="s">
        <v>271</v>
      </c>
      <c r="I201">
        <v>5</v>
      </c>
      <c r="J201" s="2" t="s">
        <v>59</v>
      </c>
      <c r="K201" s="2">
        <f t="shared" si="21"/>
        <v>1</v>
      </c>
      <c r="M201">
        <f t="shared" si="18"/>
        <v>0</v>
      </c>
      <c r="N201" t="e">
        <f>VLOOKUP(M201,H201:J239,2,FALSE)</f>
        <v>#N/A</v>
      </c>
      <c r="O201" t="e">
        <f>VLOOKUP(M201,H201:J239,2,FALSE)+1</f>
        <v>#N/A</v>
      </c>
      <c r="P201">
        <f>'Nom du personnage'!$U$51</f>
        <v>0</v>
      </c>
    </row>
    <row r="202" spans="8:16" hidden="1">
      <c r="H202" t="s">
        <v>272</v>
      </c>
      <c r="I202">
        <v>3</v>
      </c>
      <c r="J202" s="2" t="s">
        <v>59</v>
      </c>
      <c r="K202" s="2">
        <f t="shared" si="21"/>
        <v>5</v>
      </c>
      <c r="M202">
        <f t="shared" si="18"/>
        <v>0</v>
      </c>
      <c r="N202" t="e">
        <f>VLOOKUP(M202,H202:J239,2,FALSE)</f>
        <v>#N/A</v>
      </c>
      <c r="O202" t="e">
        <f>VLOOKUP(M202,H202:J239,2,FALSE)+1</f>
        <v>#N/A</v>
      </c>
      <c r="P202">
        <f>'Nom du personnage'!$U$51</f>
        <v>0</v>
      </c>
    </row>
    <row r="203" spans="8:16" hidden="1">
      <c r="H203" t="s">
        <v>211</v>
      </c>
      <c r="I203">
        <v>4</v>
      </c>
      <c r="J203" s="2" t="s">
        <v>59</v>
      </c>
      <c r="K203" s="2">
        <f t="shared" si="21"/>
        <v>1</v>
      </c>
      <c r="M203">
        <f t="shared" si="18"/>
        <v>0</v>
      </c>
      <c r="N203" t="e">
        <f>VLOOKUP(M203,H203:J239,2,FALSE)</f>
        <v>#N/A</v>
      </c>
      <c r="O203" t="e">
        <f>VLOOKUP(M203,H203:J239,2,FALSE)+1</f>
        <v>#N/A</v>
      </c>
      <c r="P203">
        <f>'Nom du personnage'!$U$51</f>
        <v>0</v>
      </c>
    </row>
    <row r="204" spans="8:16" hidden="1">
      <c r="H204" t="s">
        <v>212</v>
      </c>
      <c r="I204">
        <v>6</v>
      </c>
      <c r="J204" s="2" t="s">
        <v>59</v>
      </c>
      <c r="K204" s="2">
        <f t="shared" si="21"/>
        <v>1</v>
      </c>
      <c r="M204">
        <f t="shared" si="18"/>
        <v>0</v>
      </c>
      <c r="N204" t="e">
        <f>VLOOKUP(M204,H204:J239,2,FALSE)</f>
        <v>#N/A</v>
      </c>
      <c r="O204" t="e">
        <f>VLOOKUP(M204,H204:J239,2,FALSE)+1</f>
        <v>#N/A</v>
      </c>
      <c r="P204">
        <f>'Nom du personnage'!$U$51</f>
        <v>0</v>
      </c>
    </row>
    <row r="205" spans="8:16" hidden="1">
      <c r="H205" t="s">
        <v>274</v>
      </c>
      <c r="I205">
        <v>4</v>
      </c>
      <c r="J205" s="2" t="s">
        <v>59</v>
      </c>
      <c r="K205" s="2">
        <f t="shared" si="21"/>
        <v>5</v>
      </c>
      <c r="M205">
        <f t="shared" si="18"/>
        <v>0</v>
      </c>
      <c r="N205" t="e">
        <f>VLOOKUP(M205,H205:J239,2,FALSE)</f>
        <v>#N/A</v>
      </c>
      <c r="O205" t="e">
        <f>VLOOKUP(M205,H205:J239,2,FALSE)+1</f>
        <v>#N/A</v>
      </c>
      <c r="P205">
        <f>'Nom du personnage'!$U$51</f>
        <v>0</v>
      </c>
    </row>
    <row r="206" spans="8:16" hidden="1">
      <c r="H206" t="s">
        <v>259</v>
      </c>
      <c r="I206">
        <v>4</v>
      </c>
      <c r="J206" s="2" t="s">
        <v>59</v>
      </c>
      <c r="K206" s="2">
        <f t="shared" si="21"/>
        <v>5</v>
      </c>
      <c r="M206">
        <f t="shared" si="18"/>
        <v>0</v>
      </c>
      <c r="N206" t="e">
        <f>VLOOKUP(M206,H206:J239,2,FALSE)</f>
        <v>#N/A</v>
      </c>
      <c r="O206" t="e">
        <f>VLOOKUP(M206,H206:J239,2,FALSE)+1</f>
        <v>#N/A</v>
      </c>
      <c r="P206">
        <f>'Nom du personnage'!$U$51</f>
        <v>0</v>
      </c>
    </row>
    <row r="207" spans="8:16" hidden="1">
      <c r="H207" s="2" t="s">
        <v>232</v>
      </c>
      <c r="I207" s="2">
        <v>5</v>
      </c>
      <c r="J207" s="2" t="s">
        <v>63</v>
      </c>
      <c r="K207" s="2">
        <f t="shared" si="21"/>
        <v>5</v>
      </c>
      <c r="M207">
        <f>IF(AND('Nom du personnage'!$U$51=Compétences!J207,Religion!$D$29=TRUE),Compétences!H207,0)</f>
        <v>0</v>
      </c>
      <c r="N207" t="e">
        <f t="shared" ref="N207:N237" si="22">VLOOKUP(M207,H207:J239,2,FALSE)</f>
        <v>#N/A</v>
      </c>
      <c r="O207" t="e">
        <f>VLOOKUP(M207,H207:J239,2,FALSE)+1</f>
        <v>#N/A</v>
      </c>
      <c r="P207">
        <f>'Nom du personnage'!$U$51</f>
        <v>0</v>
      </c>
    </row>
    <row r="208" spans="8:16" hidden="1">
      <c r="H208" s="2" t="s">
        <v>233</v>
      </c>
      <c r="I208" s="2">
        <v>6</v>
      </c>
      <c r="J208" s="2" t="s">
        <v>63</v>
      </c>
      <c r="K208" s="2">
        <f t="shared" si="21"/>
        <v>5</v>
      </c>
      <c r="M208">
        <f t="shared" si="18"/>
        <v>0</v>
      </c>
      <c r="N208" t="e">
        <f t="shared" si="22"/>
        <v>#N/A</v>
      </c>
      <c r="O208" t="e">
        <f>VLOOKUP(M208,H208:J240,2,FALSE)+1</f>
        <v>#N/A</v>
      </c>
      <c r="P208">
        <f>'Nom du personnage'!$U$51</f>
        <v>0</v>
      </c>
    </row>
    <row r="209" spans="8:16" hidden="1">
      <c r="H209" s="2" t="s">
        <v>234</v>
      </c>
      <c r="I209" s="2">
        <v>6</v>
      </c>
      <c r="J209" s="2" t="s">
        <v>63</v>
      </c>
      <c r="K209" s="2">
        <f t="shared" si="21"/>
        <v>5</v>
      </c>
      <c r="M209">
        <f t="shared" si="18"/>
        <v>0</v>
      </c>
      <c r="N209" t="e">
        <f t="shared" si="22"/>
        <v>#N/A</v>
      </c>
      <c r="O209" t="e">
        <f>VLOOKUP(M209,H209:J241,2,FALSE)+1</f>
        <v>#N/A</v>
      </c>
      <c r="P209">
        <f>'Nom du personnage'!$U$51</f>
        <v>0</v>
      </c>
    </row>
    <row r="210" spans="8:16" hidden="1">
      <c r="H210" s="2" t="s">
        <v>235</v>
      </c>
      <c r="I210" s="2">
        <v>0</v>
      </c>
      <c r="J210" s="2" t="s">
        <v>63</v>
      </c>
      <c r="K210" s="2">
        <f t="shared" si="21"/>
        <v>5</v>
      </c>
      <c r="M210">
        <f>IF(AND('Nom du personnage'!$U$51=Compétences!J210,Religion!$D$29),Compétences!H210,0)</f>
        <v>0</v>
      </c>
      <c r="N210" t="e">
        <f t="shared" si="22"/>
        <v>#N/A</v>
      </c>
      <c r="O210" t="e">
        <f>VLOOKUP(M210,H210:J242,2,FALSE)</f>
        <v>#N/A</v>
      </c>
      <c r="P210">
        <f>'Nom du personnage'!$U$51</f>
        <v>0</v>
      </c>
    </row>
    <row r="211" spans="8:16" hidden="1">
      <c r="H211" s="2" t="s">
        <v>236</v>
      </c>
      <c r="I211" s="2">
        <v>3</v>
      </c>
      <c r="J211" s="2" t="s">
        <v>63</v>
      </c>
      <c r="K211" s="2">
        <f t="shared" si="21"/>
        <v>1</v>
      </c>
      <c r="M211">
        <f t="shared" si="18"/>
        <v>0</v>
      </c>
      <c r="N211" t="e">
        <f t="shared" si="22"/>
        <v>#N/A</v>
      </c>
      <c r="O211" t="e">
        <f t="shared" ref="O211:O237" si="23">VLOOKUP(M211,H211:J243,2,FALSE)+1</f>
        <v>#N/A</v>
      </c>
      <c r="P211">
        <f>'Nom du personnage'!$U$51</f>
        <v>0</v>
      </c>
    </row>
    <row r="212" spans="8:16" hidden="1">
      <c r="H212" s="2" t="s">
        <v>237</v>
      </c>
      <c r="I212" s="2">
        <v>5</v>
      </c>
      <c r="J212" s="2" t="s">
        <v>63</v>
      </c>
      <c r="K212" s="2">
        <f t="shared" si="21"/>
        <v>1</v>
      </c>
      <c r="M212">
        <f t="shared" si="18"/>
        <v>0</v>
      </c>
      <c r="N212" t="e">
        <f t="shared" si="22"/>
        <v>#N/A</v>
      </c>
      <c r="O212" t="e">
        <f t="shared" si="23"/>
        <v>#N/A</v>
      </c>
      <c r="P212">
        <f>'Nom du personnage'!$U$51</f>
        <v>0</v>
      </c>
    </row>
    <row r="213" spans="8:16" hidden="1">
      <c r="H213" s="2" t="s">
        <v>238</v>
      </c>
      <c r="I213" s="2">
        <v>3</v>
      </c>
      <c r="J213" s="2" t="s">
        <v>63</v>
      </c>
      <c r="K213" s="2">
        <f t="shared" si="21"/>
        <v>1</v>
      </c>
      <c r="M213">
        <f t="shared" si="18"/>
        <v>0</v>
      </c>
      <c r="N213" t="e">
        <f t="shared" si="22"/>
        <v>#N/A</v>
      </c>
      <c r="O213" t="e">
        <f t="shared" si="23"/>
        <v>#N/A</v>
      </c>
      <c r="P213">
        <f>'Nom du personnage'!$U$51</f>
        <v>0</v>
      </c>
    </row>
    <row r="214" spans="8:16" hidden="1">
      <c r="H214" s="2" t="s">
        <v>246</v>
      </c>
      <c r="I214" s="2">
        <v>6</v>
      </c>
      <c r="J214" s="2" t="s">
        <v>63</v>
      </c>
      <c r="K214" s="2">
        <f t="shared" si="21"/>
        <v>5</v>
      </c>
      <c r="M214" s="2" cm="1">
        <f t="array" ref="M214">IF(AND('Nom du personnage'!$U$51=Compétences!J214,OR('Nom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personnage'!$Q$65:$Z$85=Compétences!$H$1052)),H214,0)</f>
        <v>0</v>
      </c>
      <c r="N214" t="e">
        <f t="shared" si="22"/>
        <v>#N/A</v>
      </c>
      <c r="O214" t="e">
        <f t="shared" si="23"/>
        <v>#N/A</v>
      </c>
      <c r="P214">
        <f>'Nom du personnage'!$U$51</f>
        <v>0</v>
      </c>
    </row>
    <row r="215" spans="8:16" hidden="1">
      <c r="H215" s="2" t="s">
        <v>239</v>
      </c>
      <c r="I215" s="2">
        <v>5</v>
      </c>
      <c r="J215" s="2" t="s">
        <v>63</v>
      </c>
      <c r="K215" s="2">
        <f t="shared" si="21"/>
        <v>1</v>
      </c>
      <c r="M215">
        <f t="shared" si="18"/>
        <v>0</v>
      </c>
      <c r="N215" t="e">
        <f t="shared" si="22"/>
        <v>#N/A</v>
      </c>
      <c r="O215" t="e">
        <f t="shared" si="23"/>
        <v>#N/A</v>
      </c>
      <c r="P215">
        <f>'Nom du personnage'!$U$51</f>
        <v>0</v>
      </c>
    </row>
    <row r="216" spans="8:16" hidden="1">
      <c r="H216" s="2" t="s">
        <v>240</v>
      </c>
      <c r="I216" s="2">
        <v>6</v>
      </c>
      <c r="J216" s="2" t="s">
        <v>63</v>
      </c>
      <c r="K216" s="2">
        <f t="shared" si="21"/>
        <v>1</v>
      </c>
      <c r="M216">
        <f t="shared" si="18"/>
        <v>0</v>
      </c>
      <c r="N216" t="e">
        <f t="shared" si="22"/>
        <v>#N/A</v>
      </c>
      <c r="O216" t="e">
        <f t="shared" si="23"/>
        <v>#N/A</v>
      </c>
      <c r="P216">
        <f>'Nom du personnage'!$U$51</f>
        <v>0</v>
      </c>
    </row>
    <row r="217" spans="8:16" hidden="1">
      <c r="H217" s="2" t="s">
        <v>241</v>
      </c>
      <c r="I217" s="2">
        <v>6</v>
      </c>
      <c r="J217" s="2" t="s">
        <v>63</v>
      </c>
      <c r="K217" s="2">
        <f t="shared" si="21"/>
        <v>1</v>
      </c>
      <c r="M217">
        <f t="shared" si="18"/>
        <v>0</v>
      </c>
      <c r="N217" t="e">
        <f t="shared" si="22"/>
        <v>#N/A</v>
      </c>
      <c r="O217" t="e">
        <f t="shared" si="23"/>
        <v>#N/A</v>
      </c>
      <c r="P217">
        <f>'Nom du personnage'!$U$51</f>
        <v>0</v>
      </c>
    </row>
    <row r="218" spans="8:16" hidden="1">
      <c r="H218" s="2" t="s">
        <v>242</v>
      </c>
      <c r="I218" s="2">
        <v>6</v>
      </c>
      <c r="J218" s="2" t="s">
        <v>63</v>
      </c>
      <c r="K218" s="2">
        <f t="shared" si="21"/>
        <v>5</v>
      </c>
      <c r="M218">
        <f t="shared" si="18"/>
        <v>0</v>
      </c>
      <c r="N218" t="e">
        <f t="shared" si="22"/>
        <v>#N/A</v>
      </c>
      <c r="O218" t="e">
        <f t="shared" si="23"/>
        <v>#N/A</v>
      </c>
      <c r="P218">
        <f>'Nom du personnage'!$U$51</f>
        <v>0</v>
      </c>
    </row>
    <row r="219" spans="8:16" hidden="1">
      <c r="H219" s="2" t="s">
        <v>243</v>
      </c>
      <c r="I219" s="2">
        <v>5</v>
      </c>
      <c r="J219" s="2" t="s">
        <v>63</v>
      </c>
      <c r="K219" s="2">
        <f t="shared" si="21"/>
        <v>1</v>
      </c>
      <c r="M219">
        <f t="shared" si="18"/>
        <v>0</v>
      </c>
      <c r="N219" t="e">
        <f t="shared" si="22"/>
        <v>#N/A</v>
      </c>
      <c r="O219" t="e">
        <f t="shared" si="23"/>
        <v>#N/A</v>
      </c>
      <c r="P219">
        <f>'Nom du personnage'!$U$51</f>
        <v>0</v>
      </c>
    </row>
    <row r="220" spans="8:16" hidden="1">
      <c r="H220" s="2" t="s">
        <v>244</v>
      </c>
      <c r="I220" s="2">
        <v>5</v>
      </c>
      <c r="J220" s="2" t="s">
        <v>63</v>
      </c>
      <c r="K220" s="2">
        <f t="shared" si="21"/>
        <v>5</v>
      </c>
      <c r="M220" s="2" cm="1">
        <f t="array" ref="M220">IF(AND('Nom du personnage'!$U$51=Compétences!J220,OR('Nom du personnage'!$C$65:$L$85=Compétences!$H$89,'Nom du personnage'!$Q$65:$Z$85=Compétences!$H$89)),H220,0)</f>
        <v>0</v>
      </c>
      <c r="N220" t="e">
        <f t="shared" si="22"/>
        <v>#N/A</v>
      </c>
      <c r="O220" t="e">
        <f t="shared" si="23"/>
        <v>#N/A</v>
      </c>
      <c r="P220">
        <f>'Nom du personnage'!$U$51</f>
        <v>0</v>
      </c>
    </row>
    <row r="221" spans="8:16" hidden="1">
      <c r="H221" s="2" t="s">
        <v>245</v>
      </c>
      <c r="I221" s="2">
        <v>2</v>
      </c>
      <c r="J221" s="2" t="s">
        <v>63</v>
      </c>
      <c r="K221" s="2">
        <f t="shared" si="21"/>
        <v>5</v>
      </c>
      <c r="M221">
        <f t="shared" si="18"/>
        <v>0</v>
      </c>
      <c r="N221" t="e">
        <f t="shared" si="22"/>
        <v>#N/A</v>
      </c>
      <c r="O221" t="e">
        <f t="shared" si="23"/>
        <v>#N/A</v>
      </c>
      <c r="P221">
        <f>'Nom du personnage'!$U$51</f>
        <v>0</v>
      </c>
    </row>
    <row r="222" spans="8:16" hidden="1">
      <c r="H222" s="2" t="s">
        <v>263</v>
      </c>
      <c r="I222" s="2">
        <v>4</v>
      </c>
      <c r="J222" s="2" t="s">
        <v>63</v>
      </c>
      <c r="K222" s="2">
        <f t="shared" si="21"/>
        <v>5</v>
      </c>
      <c r="M222">
        <f t="shared" si="18"/>
        <v>0</v>
      </c>
      <c r="N222" t="e">
        <f t="shared" si="22"/>
        <v>#N/A</v>
      </c>
      <c r="O222" t="e">
        <f t="shared" si="23"/>
        <v>#N/A</v>
      </c>
      <c r="P222">
        <f>'Nom du personnage'!$U$51</f>
        <v>0</v>
      </c>
    </row>
    <row r="223" spans="8:16" hidden="1">
      <c r="H223" s="2" t="s">
        <v>264</v>
      </c>
      <c r="I223" s="2">
        <v>5</v>
      </c>
      <c r="J223" s="2" t="s">
        <v>63</v>
      </c>
      <c r="K223" s="2">
        <f t="shared" si="21"/>
        <v>5</v>
      </c>
      <c r="M223">
        <f t="shared" si="18"/>
        <v>0</v>
      </c>
      <c r="N223" t="e">
        <f t="shared" si="22"/>
        <v>#N/A</v>
      </c>
      <c r="O223" t="e">
        <f t="shared" si="23"/>
        <v>#N/A</v>
      </c>
      <c r="P223">
        <f>'Nom du personnage'!$U$51</f>
        <v>0</v>
      </c>
    </row>
    <row r="224" spans="8:16" hidden="1">
      <c r="H224" s="2" t="s">
        <v>265</v>
      </c>
      <c r="I224" s="2">
        <v>4</v>
      </c>
      <c r="J224" s="2" t="s">
        <v>63</v>
      </c>
      <c r="K224" s="2">
        <f t="shared" si="21"/>
        <v>5</v>
      </c>
      <c r="M224">
        <f t="shared" si="18"/>
        <v>0</v>
      </c>
      <c r="N224" t="e">
        <f t="shared" si="22"/>
        <v>#N/A</v>
      </c>
      <c r="O224" t="e">
        <f t="shared" si="23"/>
        <v>#N/A</v>
      </c>
      <c r="P224">
        <f>'Nom du personnage'!$U$51</f>
        <v>0</v>
      </c>
    </row>
    <row r="225" spans="8:16" hidden="1">
      <c r="H225" s="2" t="s">
        <v>254</v>
      </c>
      <c r="I225" s="2">
        <v>6</v>
      </c>
      <c r="J225" s="2" t="s">
        <v>63</v>
      </c>
      <c r="K225" s="2">
        <f t="shared" si="21"/>
        <v>5</v>
      </c>
      <c r="M225">
        <f t="shared" si="18"/>
        <v>0</v>
      </c>
      <c r="N225" t="e">
        <f t="shared" si="22"/>
        <v>#N/A</v>
      </c>
      <c r="O225" t="e">
        <f t="shared" si="23"/>
        <v>#N/A</v>
      </c>
      <c r="P225">
        <f>'Nom du personnage'!$U$51</f>
        <v>0</v>
      </c>
    </row>
    <row r="226" spans="8:16" hidden="1">
      <c r="H226" s="2" t="s">
        <v>266</v>
      </c>
      <c r="I226" s="2">
        <v>6</v>
      </c>
      <c r="J226" s="2" t="s">
        <v>63</v>
      </c>
      <c r="K226" s="2">
        <f t="shared" si="21"/>
        <v>1</v>
      </c>
      <c r="M226">
        <f t="shared" si="18"/>
        <v>0</v>
      </c>
      <c r="N226" t="e">
        <f t="shared" si="22"/>
        <v>#N/A</v>
      </c>
      <c r="O226" t="e">
        <f t="shared" si="23"/>
        <v>#N/A</v>
      </c>
      <c r="P226">
        <f>'Nom du personnage'!$U$51</f>
        <v>0</v>
      </c>
    </row>
    <row r="227" spans="8:16" hidden="1">
      <c r="H227" s="2" t="s">
        <v>267</v>
      </c>
      <c r="I227" s="2">
        <v>6</v>
      </c>
      <c r="J227" s="2" t="s">
        <v>63</v>
      </c>
      <c r="K227" s="2">
        <f t="shared" si="21"/>
        <v>1</v>
      </c>
      <c r="M227">
        <f t="shared" si="18"/>
        <v>0</v>
      </c>
      <c r="N227" t="e">
        <f t="shared" si="22"/>
        <v>#N/A</v>
      </c>
      <c r="O227" t="e">
        <f t="shared" si="23"/>
        <v>#N/A</v>
      </c>
      <c r="P227">
        <f>'Nom du personnage'!$U$51</f>
        <v>0</v>
      </c>
    </row>
    <row r="228" spans="8:16" hidden="1">
      <c r="H228" s="2" t="s">
        <v>256</v>
      </c>
      <c r="I228" s="2">
        <v>6</v>
      </c>
      <c r="J228" s="2" t="s">
        <v>63</v>
      </c>
      <c r="K228" s="2">
        <f t="shared" si="21"/>
        <v>5</v>
      </c>
      <c r="M228">
        <f>IF(AND(J228='Nom du personnage'!$U$51,'Lecture et écriture'!$G$99=TRUE),Compétences!H228,0)</f>
        <v>0</v>
      </c>
      <c r="N228" t="e">
        <f t="shared" si="22"/>
        <v>#N/A</v>
      </c>
      <c r="O228" t="e">
        <f t="shared" si="23"/>
        <v>#N/A</v>
      </c>
      <c r="P228">
        <f>'Nom du personnage'!$U$51</f>
        <v>0</v>
      </c>
    </row>
    <row r="229" spans="8:16" hidden="1">
      <c r="H229" s="2" t="s">
        <v>268</v>
      </c>
      <c r="I229" s="2">
        <v>4</v>
      </c>
      <c r="J229" s="2" t="s">
        <v>63</v>
      </c>
      <c r="K229" s="2">
        <f t="shared" si="21"/>
        <v>5</v>
      </c>
      <c r="M229">
        <f t="shared" si="18"/>
        <v>0</v>
      </c>
      <c r="N229" t="e">
        <f t="shared" si="22"/>
        <v>#N/A</v>
      </c>
      <c r="O229" t="e">
        <f t="shared" si="23"/>
        <v>#N/A</v>
      </c>
      <c r="P229">
        <f>'Nom du personnage'!$U$51</f>
        <v>0</v>
      </c>
    </row>
    <row r="230" spans="8:16" hidden="1">
      <c r="H230" s="2" t="s">
        <v>269</v>
      </c>
      <c r="I230" s="2">
        <v>4</v>
      </c>
      <c r="J230" s="2" t="s">
        <v>63</v>
      </c>
      <c r="K230" s="2">
        <f t="shared" si="21"/>
        <v>1</v>
      </c>
      <c r="M230">
        <f t="shared" si="18"/>
        <v>0</v>
      </c>
      <c r="N230" t="e">
        <f t="shared" si="22"/>
        <v>#N/A</v>
      </c>
      <c r="O230" t="e">
        <f t="shared" si="23"/>
        <v>#N/A</v>
      </c>
      <c r="P230">
        <f>'Nom du personnage'!$U$51</f>
        <v>0</v>
      </c>
    </row>
    <row r="231" spans="8:16" hidden="1">
      <c r="H231" s="2" t="s">
        <v>1005</v>
      </c>
      <c r="I231" s="2">
        <v>2</v>
      </c>
      <c r="J231" s="2" t="s">
        <v>63</v>
      </c>
      <c r="K231" s="2">
        <f t="shared" si="21"/>
        <v>5</v>
      </c>
      <c r="M231" s="2" cm="1">
        <f t="array" ref="M231">IF(AND('Nom du personnage'!$U$51=Compétences!J231,OR('Nom du personnage'!$C$65:$L$85=Compétences!$M$3,'Nom du personnage'!$Q$65:$Z$85=Compétences!$M$3)),H231,0)</f>
        <v>0</v>
      </c>
      <c r="N231" t="e">
        <f t="shared" si="22"/>
        <v>#N/A</v>
      </c>
      <c r="O231" t="e">
        <f t="shared" si="23"/>
        <v>#N/A</v>
      </c>
      <c r="P231">
        <f>'Nom du personnage'!$U$51</f>
        <v>0</v>
      </c>
    </row>
    <row r="232" spans="8:16" hidden="1">
      <c r="H232" s="2" t="s">
        <v>270</v>
      </c>
      <c r="I232" s="2">
        <v>6</v>
      </c>
      <c r="J232" s="2" t="s">
        <v>63</v>
      </c>
      <c r="K232" s="2">
        <f t="shared" si="21"/>
        <v>1</v>
      </c>
      <c r="M232">
        <f t="shared" ref="M232:M294" si="24">IF(P232=J232,H232,)</f>
        <v>0</v>
      </c>
      <c r="N232" t="e">
        <f t="shared" si="22"/>
        <v>#N/A</v>
      </c>
      <c r="O232" t="e">
        <f t="shared" si="23"/>
        <v>#N/A</v>
      </c>
      <c r="P232">
        <f>'Nom du personnage'!$U$51</f>
        <v>0</v>
      </c>
    </row>
    <row r="233" spans="8:16" hidden="1">
      <c r="H233" s="2" t="s">
        <v>271</v>
      </c>
      <c r="I233" s="2">
        <v>5</v>
      </c>
      <c r="J233" s="2" t="s">
        <v>63</v>
      </c>
      <c r="K233" s="2">
        <f t="shared" si="21"/>
        <v>1</v>
      </c>
      <c r="M233">
        <f t="shared" si="24"/>
        <v>0</v>
      </c>
      <c r="N233" t="e">
        <f t="shared" si="22"/>
        <v>#N/A</v>
      </c>
      <c r="O233" t="e">
        <f t="shared" si="23"/>
        <v>#N/A</v>
      </c>
      <c r="P233">
        <f>'Nom du personnage'!$U$51</f>
        <v>0</v>
      </c>
    </row>
    <row r="234" spans="8:16" hidden="1">
      <c r="H234" s="2" t="s">
        <v>272</v>
      </c>
      <c r="I234" s="2">
        <v>3</v>
      </c>
      <c r="J234" s="2" t="s">
        <v>63</v>
      </c>
      <c r="K234" s="2">
        <f t="shared" si="21"/>
        <v>5</v>
      </c>
      <c r="M234">
        <f t="shared" si="24"/>
        <v>0</v>
      </c>
      <c r="N234" t="e">
        <f t="shared" si="22"/>
        <v>#N/A</v>
      </c>
      <c r="O234" t="e">
        <f t="shared" si="23"/>
        <v>#N/A</v>
      </c>
      <c r="P234">
        <f>'Nom du personnage'!$U$51</f>
        <v>0</v>
      </c>
    </row>
    <row r="235" spans="8:16" hidden="1">
      <c r="H235" s="2" t="s">
        <v>211</v>
      </c>
      <c r="I235" s="2">
        <v>4</v>
      </c>
      <c r="J235" s="2" t="s">
        <v>63</v>
      </c>
      <c r="K235" s="2">
        <f t="shared" si="21"/>
        <v>1</v>
      </c>
      <c r="M235">
        <f t="shared" si="24"/>
        <v>0</v>
      </c>
      <c r="N235" t="e">
        <f t="shared" si="22"/>
        <v>#N/A</v>
      </c>
      <c r="O235" t="e">
        <f t="shared" si="23"/>
        <v>#N/A</v>
      </c>
      <c r="P235">
        <f>'Nom du personnage'!$U$51</f>
        <v>0</v>
      </c>
    </row>
    <row r="236" spans="8:16" hidden="1">
      <c r="H236" s="2" t="s">
        <v>212</v>
      </c>
      <c r="I236" s="2">
        <v>6</v>
      </c>
      <c r="J236" s="2" t="s">
        <v>63</v>
      </c>
      <c r="K236" s="2">
        <f t="shared" si="21"/>
        <v>1</v>
      </c>
      <c r="M236">
        <f t="shared" si="24"/>
        <v>0</v>
      </c>
      <c r="N236" t="e">
        <f t="shared" si="22"/>
        <v>#N/A</v>
      </c>
      <c r="O236" t="e">
        <f t="shared" si="23"/>
        <v>#N/A</v>
      </c>
      <c r="P236">
        <f>'Nom du personnage'!$U$51</f>
        <v>0</v>
      </c>
    </row>
    <row r="237" spans="8:16" hidden="1">
      <c r="H237" s="2" t="s">
        <v>213</v>
      </c>
      <c r="I237" s="2">
        <v>6</v>
      </c>
      <c r="J237" s="2" t="s">
        <v>63</v>
      </c>
      <c r="K237" s="2">
        <f t="shared" ref="K237:K300" si="25">VLOOKUP(H237,$B$3:$D$115,3,FALSE)</f>
        <v>1</v>
      </c>
      <c r="M237">
        <f t="shared" si="24"/>
        <v>0</v>
      </c>
      <c r="N237" t="e">
        <f t="shared" si="22"/>
        <v>#N/A</v>
      </c>
      <c r="O237" t="e">
        <f t="shared" si="23"/>
        <v>#N/A</v>
      </c>
      <c r="P237">
        <f>'Nom du personnage'!$U$51</f>
        <v>0</v>
      </c>
    </row>
    <row r="238" spans="8:16" hidden="1">
      <c r="H238" s="2" t="s">
        <v>274</v>
      </c>
      <c r="I238" s="2">
        <v>4</v>
      </c>
      <c r="J238" s="2" t="s">
        <v>63</v>
      </c>
      <c r="K238" s="2">
        <f t="shared" si="25"/>
        <v>5</v>
      </c>
      <c r="M238">
        <f t="shared" si="24"/>
        <v>0</v>
      </c>
      <c r="N238" t="e">
        <f>VLOOKUP(M238,H238:J271,2,FALSE)</f>
        <v>#N/A</v>
      </c>
      <c r="O238" t="e">
        <f>VLOOKUP(M238,H238:J271,2,FALSE)+1</f>
        <v>#N/A</v>
      </c>
      <c r="P238">
        <f>'Nom du personnage'!$U$51</f>
        <v>0</v>
      </c>
    </row>
    <row r="239" spans="8:16" hidden="1">
      <c r="H239" s="2" t="s">
        <v>259</v>
      </c>
      <c r="I239" s="2">
        <v>4</v>
      </c>
      <c r="J239" s="2" t="s">
        <v>63</v>
      </c>
      <c r="K239" s="2">
        <f t="shared" si="25"/>
        <v>5</v>
      </c>
      <c r="M239">
        <f t="shared" si="24"/>
        <v>0</v>
      </c>
      <c r="N239" t="e">
        <f>VLOOKUP(M239,H239:J272,2,FALSE)</f>
        <v>#N/A</v>
      </c>
      <c r="O239" t="e">
        <f>VLOOKUP(M239,H239:J272,2,FALSE)+1</f>
        <v>#N/A</v>
      </c>
      <c r="P239">
        <f>'Nom du personnage'!$U$51</f>
        <v>0</v>
      </c>
    </row>
    <row r="240" spans="8:16" hidden="1">
      <c r="H240" s="2" t="s">
        <v>232</v>
      </c>
      <c r="I240" s="2">
        <v>5</v>
      </c>
      <c r="J240" s="2" t="s">
        <v>70</v>
      </c>
      <c r="K240" s="2">
        <f t="shared" si="25"/>
        <v>5</v>
      </c>
      <c r="M240">
        <f>IF(AND('Nom du personnage'!$U$51=Compétences!J240,Religion!$D$29=TRUE),Compétences!H240,0)</f>
        <v>0</v>
      </c>
      <c r="N240" t="e">
        <f t="shared" ref="N240:N265" si="26">VLOOKUP(M240,H240:J296,2,FALSE)</f>
        <v>#N/A</v>
      </c>
      <c r="O240" t="e">
        <f t="shared" ref="O240:O245" si="27">VLOOKUP(M240,H240:J296,2,FALSE)</f>
        <v>#N/A</v>
      </c>
      <c r="P240">
        <f>'Nom du personnage'!$U$51</f>
        <v>0</v>
      </c>
    </row>
    <row r="241" spans="8:16" hidden="1">
      <c r="H241" s="2" t="s">
        <v>233</v>
      </c>
      <c r="I241" s="2">
        <v>6</v>
      </c>
      <c r="J241" s="2" t="s">
        <v>70</v>
      </c>
      <c r="K241" s="2">
        <f t="shared" si="25"/>
        <v>5</v>
      </c>
      <c r="M241">
        <f t="shared" si="24"/>
        <v>0</v>
      </c>
      <c r="N241" t="e">
        <f t="shared" si="26"/>
        <v>#N/A</v>
      </c>
      <c r="O241" t="e">
        <f t="shared" si="27"/>
        <v>#N/A</v>
      </c>
      <c r="P241">
        <f>'Nom du personnage'!$U$51</f>
        <v>0</v>
      </c>
    </row>
    <row r="242" spans="8:16" hidden="1">
      <c r="H242" s="2" t="s">
        <v>234</v>
      </c>
      <c r="I242" s="2">
        <v>6</v>
      </c>
      <c r="J242" s="2" t="s">
        <v>70</v>
      </c>
      <c r="K242" s="2">
        <f t="shared" si="25"/>
        <v>5</v>
      </c>
      <c r="M242">
        <f t="shared" si="24"/>
        <v>0</v>
      </c>
      <c r="N242" t="e">
        <f t="shared" si="26"/>
        <v>#N/A</v>
      </c>
      <c r="O242" t="e">
        <f t="shared" si="27"/>
        <v>#N/A</v>
      </c>
      <c r="P242">
        <f>'Nom du personnage'!$U$51</f>
        <v>0</v>
      </c>
    </row>
    <row r="243" spans="8:16" hidden="1">
      <c r="H243" s="2" t="s">
        <v>235</v>
      </c>
      <c r="I243" s="2">
        <v>6</v>
      </c>
      <c r="J243" s="2" t="s">
        <v>70</v>
      </c>
      <c r="K243" s="2">
        <f t="shared" si="25"/>
        <v>5</v>
      </c>
      <c r="M243">
        <f>IF(AND('Nom du personnage'!$U$51=Compétences!J243,Religion!$D$29),Compétences!H243,0)</f>
        <v>0</v>
      </c>
      <c r="N243" t="e">
        <f t="shared" si="26"/>
        <v>#N/A</v>
      </c>
      <c r="O243" t="e">
        <f t="shared" si="27"/>
        <v>#N/A</v>
      </c>
      <c r="P243">
        <f>'Nom du personnage'!$U$51</f>
        <v>0</v>
      </c>
    </row>
    <row r="244" spans="8:16" hidden="1">
      <c r="H244" s="2" t="s">
        <v>236</v>
      </c>
      <c r="I244" s="2">
        <v>3</v>
      </c>
      <c r="J244" s="2" t="s">
        <v>70</v>
      </c>
      <c r="K244" s="2">
        <f t="shared" si="25"/>
        <v>1</v>
      </c>
      <c r="M244">
        <f t="shared" si="24"/>
        <v>0</v>
      </c>
      <c r="N244" t="e">
        <f t="shared" si="26"/>
        <v>#N/A</v>
      </c>
      <c r="O244" t="e">
        <f t="shared" si="27"/>
        <v>#N/A</v>
      </c>
      <c r="P244">
        <f>'Nom du personnage'!$U$51</f>
        <v>0</v>
      </c>
    </row>
    <row r="245" spans="8:16" hidden="1">
      <c r="H245" s="2" t="s">
        <v>237</v>
      </c>
      <c r="I245" s="2">
        <v>5</v>
      </c>
      <c r="J245" s="2" t="s">
        <v>70</v>
      </c>
      <c r="K245" s="2">
        <f t="shared" si="25"/>
        <v>1</v>
      </c>
      <c r="M245">
        <f t="shared" si="24"/>
        <v>0</v>
      </c>
      <c r="N245" t="e">
        <f t="shared" si="26"/>
        <v>#N/A</v>
      </c>
      <c r="O245" t="e">
        <f t="shared" si="27"/>
        <v>#N/A</v>
      </c>
      <c r="P245">
        <f>'Nom du personnage'!$U$51</f>
        <v>0</v>
      </c>
    </row>
    <row r="246" spans="8:16" hidden="1">
      <c r="H246" s="2" t="s">
        <v>209</v>
      </c>
      <c r="I246" s="2">
        <v>4</v>
      </c>
      <c r="J246" s="2" t="s">
        <v>70</v>
      </c>
      <c r="K246" s="2">
        <f t="shared" si="25"/>
        <v>1</v>
      </c>
      <c r="M246">
        <f t="shared" si="24"/>
        <v>0</v>
      </c>
      <c r="N246" t="e">
        <f t="shared" si="26"/>
        <v>#N/A</v>
      </c>
      <c r="O246" t="e">
        <f>VLOOKUP(M246,H246:J302,2,FALSE)+1</f>
        <v>#N/A</v>
      </c>
      <c r="P246">
        <f>'Nom du personnage'!$U$51</f>
        <v>0</v>
      </c>
    </row>
    <row r="247" spans="8:16" hidden="1">
      <c r="H247" s="2" t="s">
        <v>238</v>
      </c>
      <c r="I247" s="2">
        <v>3</v>
      </c>
      <c r="J247" s="2" t="s">
        <v>70</v>
      </c>
      <c r="K247" s="2">
        <f t="shared" si="25"/>
        <v>1</v>
      </c>
      <c r="M247">
        <f t="shared" si="24"/>
        <v>0</v>
      </c>
      <c r="N247" t="e">
        <f t="shared" si="26"/>
        <v>#N/A</v>
      </c>
      <c r="O247" t="e">
        <f>VLOOKUP(M247,H247:J303,2,FALSE)</f>
        <v>#N/A</v>
      </c>
      <c r="P247">
        <f>'Nom du personnage'!$U$51</f>
        <v>0</v>
      </c>
    </row>
    <row r="248" spans="8:16" hidden="1">
      <c r="H248" s="2" t="s">
        <v>239</v>
      </c>
      <c r="I248" s="2">
        <v>5</v>
      </c>
      <c r="J248" s="2" t="s">
        <v>70</v>
      </c>
      <c r="K248" s="2">
        <f t="shared" si="25"/>
        <v>1</v>
      </c>
      <c r="M248">
        <f t="shared" si="24"/>
        <v>0</v>
      </c>
      <c r="N248" t="e">
        <f t="shared" si="26"/>
        <v>#N/A</v>
      </c>
      <c r="O248" t="e">
        <f>VLOOKUP(M248,H248:J304,2,FALSE)</f>
        <v>#N/A</v>
      </c>
      <c r="P248">
        <f>'Nom du personnage'!$U$51</f>
        <v>0</v>
      </c>
    </row>
    <row r="249" spans="8:16" hidden="1">
      <c r="H249" s="2" t="s">
        <v>212</v>
      </c>
      <c r="I249" s="2">
        <v>6</v>
      </c>
      <c r="J249" s="2" t="s">
        <v>70</v>
      </c>
      <c r="K249" s="2">
        <f t="shared" si="25"/>
        <v>1</v>
      </c>
      <c r="M249">
        <f t="shared" si="24"/>
        <v>0</v>
      </c>
      <c r="N249" t="e">
        <f t="shared" si="26"/>
        <v>#N/A</v>
      </c>
      <c r="O249" t="e">
        <f>VLOOKUP(M249,H249:J305,2,FALSE)+1</f>
        <v>#N/A</v>
      </c>
      <c r="P249">
        <f>'Nom du personnage'!$U$51</f>
        <v>0</v>
      </c>
    </row>
    <row r="250" spans="8:16" hidden="1">
      <c r="H250" s="2" t="s">
        <v>240</v>
      </c>
      <c r="I250" s="2">
        <v>6</v>
      </c>
      <c r="J250" s="2" t="s">
        <v>70</v>
      </c>
      <c r="K250" s="2">
        <f t="shared" si="25"/>
        <v>1</v>
      </c>
      <c r="M250">
        <f t="shared" si="24"/>
        <v>0</v>
      </c>
      <c r="N250" t="e">
        <f t="shared" si="26"/>
        <v>#N/A</v>
      </c>
      <c r="O250" t="e">
        <f t="shared" ref="O250:O255" si="28">VLOOKUP(M250,H250:J306,2,FALSE)</f>
        <v>#N/A</v>
      </c>
      <c r="P250">
        <f>'Nom du personnage'!$U$51</f>
        <v>0</v>
      </c>
    </row>
    <row r="251" spans="8:16" hidden="1">
      <c r="H251" s="2" t="s">
        <v>241</v>
      </c>
      <c r="I251" s="2">
        <v>6</v>
      </c>
      <c r="J251" s="2" t="s">
        <v>70</v>
      </c>
      <c r="K251" s="2">
        <f t="shared" si="25"/>
        <v>1</v>
      </c>
      <c r="M251">
        <f t="shared" si="24"/>
        <v>0</v>
      </c>
      <c r="N251" t="e">
        <f t="shared" si="26"/>
        <v>#N/A</v>
      </c>
      <c r="O251" t="e">
        <f t="shared" si="28"/>
        <v>#N/A</v>
      </c>
      <c r="P251">
        <f>'Nom du personnage'!$U$51</f>
        <v>0</v>
      </c>
    </row>
    <row r="252" spans="8:16" hidden="1">
      <c r="H252" s="2" t="s">
        <v>242</v>
      </c>
      <c r="I252" s="2">
        <v>6</v>
      </c>
      <c r="J252" s="2" t="s">
        <v>70</v>
      </c>
      <c r="K252" s="2">
        <f t="shared" si="25"/>
        <v>5</v>
      </c>
      <c r="M252">
        <f t="shared" si="24"/>
        <v>0</v>
      </c>
      <c r="N252" t="e">
        <f t="shared" si="26"/>
        <v>#N/A</v>
      </c>
      <c r="O252" t="e">
        <f t="shared" si="28"/>
        <v>#N/A</v>
      </c>
      <c r="P252">
        <f>'Nom du personnage'!$U$51</f>
        <v>0</v>
      </c>
    </row>
    <row r="253" spans="8:16" hidden="1">
      <c r="H253" s="2" t="s">
        <v>243</v>
      </c>
      <c r="I253" s="2">
        <v>5</v>
      </c>
      <c r="J253" s="2" t="s">
        <v>70</v>
      </c>
      <c r="K253" s="2">
        <f t="shared" si="25"/>
        <v>1</v>
      </c>
      <c r="M253">
        <f t="shared" si="24"/>
        <v>0</v>
      </c>
      <c r="N253" t="e">
        <f t="shared" si="26"/>
        <v>#N/A</v>
      </c>
      <c r="O253" t="e">
        <f t="shared" si="28"/>
        <v>#N/A</v>
      </c>
      <c r="P253">
        <f>'Nom du personnage'!$U$51</f>
        <v>0</v>
      </c>
    </row>
    <row r="254" spans="8:16" hidden="1">
      <c r="H254" s="2" t="s">
        <v>244</v>
      </c>
      <c r="I254" s="2">
        <v>5</v>
      </c>
      <c r="J254" s="2" t="s">
        <v>70</v>
      </c>
      <c r="K254" s="2">
        <f t="shared" si="25"/>
        <v>5</v>
      </c>
      <c r="M254" s="2" cm="1">
        <f t="array" ref="M254">IF(AND('Nom du personnage'!$U$51=Compétences!J254,OR('Nom du personnage'!$C$65:$L$85=Compétences!$H$89,'Nom du personnage'!$Q$65:$Z$85=Compétences!$H$89)),H254,0)</f>
        <v>0</v>
      </c>
      <c r="N254" t="e">
        <f t="shared" si="26"/>
        <v>#N/A</v>
      </c>
      <c r="O254" t="e">
        <f t="shared" si="28"/>
        <v>#N/A</v>
      </c>
      <c r="P254">
        <f>'Nom du personnage'!$U$51</f>
        <v>0</v>
      </c>
    </row>
    <row r="255" spans="8:16" hidden="1">
      <c r="H255" s="2" t="s">
        <v>245</v>
      </c>
      <c r="I255" s="2">
        <v>2</v>
      </c>
      <c r="J255" s="2" t="s">
        <v>70</v>
      </c>
      <c r="K255" s="2">
        <f t="shared" si="25"/>
        <v>5</v>
      </c>
      <c r="M255">
        <f t="shared" si="24"/>
        <v>0</v>
      </c>
      <c r="N255" t="e">
        <f t="shared" si="26"/>
        <v>#N/A</v>
      </c>
      <c r="O255" t="e">
        <f t="shared" si="28"/>
        <v>#N/A</v>
      </c>
      <c r="P255">
        <f>'Nom du personnage'!$U$51</f>
        <v>0</v>
      </c>
    </row>
    <row r="256" spans="8:16" hidden="1">
      <c r="H256" s="2" t="s">
        <v>246</v>
      </c>
      <c r="I256" s="2">
        <v>6</v>
      </c>
      <c r="J256" s="2" t="s">
        <v>70</v>
      </c>
      <c r="K256" s="2">
        <f t="shared" si="25"/>
        <v>5</v>
      </c>
      <c r="M256" s="2" cm="1">
        <f t="array" ref="M256">IF(AND('Nom du personnage'!$U$51=Compétences!J256,OR('Nom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personnage'!$Q$65:$Z$85=Compétences!$H$1052)),H256,0)</f>
        <v>0</v>
      </c>
      <c r="N256" t="e">
        <f t="shared" si="26"/>
        <v>#N/A</v>
      </c>
      <c r="O256" t="e">
        <f t="shared" ref="O256:O263" si="29">VLOOKUP(M256,H256:J312,2,FALSE)+1</f>
        <v>#N/A</v>
      </c>
      <c r="P256">
        <f>'Nom du personnage'!$U$51</f>
        <v>0</v>
      </c>
    </row>
    <row r="257" spans="8:16" hidden="1">
      <c r="H257" s="2" t="s">
        <v>247</v>
      </c>
      <c r="I257" s="2">
        <v>5</v>
      </c>
      <c r="J257" s="2" t="s">
        <v>73</v>
      </c>
      <c r="K257" s="2">
        <f t="shared" si="25"/>
        <v>5</v>
      </c>
      <c r="M257">
        <f>IF('Nom du personnage'!$U$51=Compétences!J257,'Contact marchand'!F3,0)</f>
        <v>0</v>
      </c>
      <c r="N257" t="e">
        <f t="shared" si="26"/>
        <v>#N/A</v>
      </c>
      <c r="O257" t="e">
        <f t="shared" si="29"/>
        <v>#N/A</v>
      </c>
      <c r="P257">
        <f>'Nom du personnage'!$U$51</f>
        <v>0</v>
      </c>
    </row>
    <row r="258" spans="8:16" hidden="1">
      <c r="H258" s="2" t="s">
        <v>248</v>
      </c>
      <c r="I258" s="2">
        <v>5</v>
      </c>
      <c r="J258" s="2" t="s">
        <v>73</v>
      </c>
      <c r="K258" s="2">
        <f t="shared" si="25"/>
        <v>5</v>
      </c>
      <c r="M258">
        <f>IF('Nom du personnage'!$U$51=Compétences!J258,'Contact marchand'!F4,0)</f>
        <v>0</v>
      </c>
      <c r="N258" t="e">
        <f t="shared" si="26"/>
        <v>#N/A</v>
      </c>
      <c r="O258" t="e">
        <f t="shared" si="29"/>
        <v>#N/A</v>
      </c>
      <c r="P258">
        <f>'Nom du personnage'!$U$51</f>
        <v>0</v>
      </c>
    </row>
    <row r="259" spans="8:16" hidden="1">
      <c r="H259" s="2" t="s">
        <v>249</v>
      </c>
      <c r="I259" s="2">
        <v>5</v>
      </c>
      <c r="J259" s="2" t="s">
        <v>73</v>
      </c>
      <c r="K259" s="2">
        <f t="shared" si="25"/>
        <v>5</v>
      </c>
      <c r="M259">
        <f>IF('Nom du personnage'!$U$51=Compétences!J259,'Contact marchand'!F5,0)</f>
        <v>0</v>
      </c>
      <c r="N259" t="e">
        <f t="shared" si="26"/>
        <v>#N/A</v>
      </c>
      <c r="O259" t="e">
        <f t="shared" si="29"/>
        <v>#N/A</v>
      </c>
      <c r="P259">
        <f>'Nom du personnage'!$U$51</f>
        <v>0</v>
      </c>
    </row>
    <row r="260" spans="8:16" hidden="1">
      <c r="H260" s="2" t="s">
        <v>250</v>
      </c>
      <c r="I260" s="2">
        <v>5</v>
      </c>
      <c r="J260" s="2" t="s">
        <v>73</v>
      </c>
      <c r="K260" s="2">
        <f t="shared" si="25"/>
        <v>5</v>
      </c>
      <c r="M260">
        <f>IF('Nom du personnage'!$U$51=Compétences!J260,'Contact marchand'!F6,0)</f>
        <v>0</v>
      </c>
      <c r="N260" t="e">
        <f t="shared" si="26"/>
        <v>#N/A</v>
      </c>
      <c r="O260" t="e">
        <f t="shared" si="29"/>
        <v>#N/A</v>
      </c>
      <c r="P260">
        <f>'Nom du personnage'!$U$51</f>
        <v>0</v>
      </c>
    </row>
    <row r="261" spans="8:16" hidden="1">
      <c r="H261" s="2" t="s">
        <v>251</v>
      </c>
      <c r="I261" s="2">
        <v>6</v>
      </c>
      <c r="J261" s="2" t="s">
        <v>73</v>
      </c>
      <c r="K261" s="2">
        <f t="shared" si="25"/>
        <v>5</v>
      </c>
      <c r="M261">
        <f>IF('Nom du personnage'!$U$51=Compétences!J261,'Contact marchand'!F7,0)</f>
        <v>0</v>
      </c>
      <c r="N261" t="e">
        <f t="shared" si="26"/>
        <v>#N/A</v>
      </c>
      <c r="O261" t="e">
        <f t="shared" si="29"/>
        <v>#N/A</v>
      </c>
      <c r="P261">
        <f>'Nom du personnage'!$U$51</f>
        <v>0</v>
      </c>
    </row>
    <row r="262" spans="8:16" hidden="1">
      <c r="H262" s="2" t="s">
        <v>252</v>
      </c>
      <c r="I262" s="2">
        <v>10</v>
      </c>
      <c r="J262" s="2" t="s">
        <v>73</v>
      </c>
      <c r="K262" s="2">
        <f t="shared" si="25"/>
        <v>5</v>
      </c>
      <c r="M262">
        <f>IF('Nom du personnage'!$U$51=Compétences!J262,'Contact marchand'!F8,0)</f>
        <v>0</v>
      </c>
      <c r="N262" t="e">
        <f t="shared" si="26"/>
        <v>#N/A</v>
      </c>
      <c r="O262" t="e">
        <f t="shared" si="29"/>
        <v>#N/A</v>
      </c>
      <c r="P262">
        <f>'Nom du personnage'!$U$51</f>
        <v>0</v>
      </c>
    </row>
    <row r="263" spans="8:16" hidden="1">
      <c r="H263" s="2" t="s">
        <v>253</v>
      </c>
      <c r="I263" s="2">
        <v>10</v>
      </c>
      <c r="J263" s="2" t="s">
        <v>73</v>
      </c>
      <c r="K263" s="2">
        <f t="shared" si="25"/>
        <v>5</v>
      </c>
      <c r="M263">
        <f>IF('Nom du personnage'!$U$51=Compétences!J263,'Contact marchand'!F9,0)</f>
        <v>0</v>
      </c>
      <c r="N263" t="e">
        <f t="shared" si="26"/>
        <v>#N/A</v>
      </c>
      <c r="O263" t="e">
        <f t="shared" si="29"/>
        <v>#N/A</v>
      </c>
      <c r="P263">
        <f>'Nom du personnage'!$U$51</f>
        <v>0</v>
      </c>
    </row>
    <row r="264" spans="8:16" hidden="1">
      <c r="H264" s="2" t="s">
        <v>254</v>
      </c>
      <c r="I264" s="2">
        <v>6</v>
      </c>
      <c r="J264" s="2" t="s">
        <v>73</v>
      </c>
      <c r="K264" s="2">
        <f t="shared" si="25"/>
        <v>5</v>
      </c>
      <c r="M264">
        <f t="shared" si="24"/>
        <v>0</v>
      </c>
      <c r="N264" t="e">
        <f t="shared" si="26"/>
        <v>#N/A</v>
      </c>
      <c r="O264" t="e">
        <f>VLOOKUP(M264,H264:J320,2,FALSE)</f>
        <v>#N/A</v>
      </c>
      <c r="P264">
        <f>'Nom du personnage'!$U$51</f>
        <v>0</v>
      </c>
    </row>
    <row r="265" spans="8:16" hidden="1">
      <c r="H265" s="2" t="s">
        <v>255</v>
      </c>
      <c r="I265" s="2">
        <v>5</v>
      </c>
      <c r="J265" s="2" t="s">
        <v>73</v>
      </c>
      <c r="K265" s="2">
        <f t="shared" si="25"/>
        <v>1</v>
      </c>
      <c r="M265">
        <f>IF(AND(J265='Nom du personnage'!$U$51,Concoction!$F$45=TRUE),Compétences!H265,0)</f>
        <v>0</v>
      </c>
      <c r="N265" t="e">
        <f t="shared" si="26"/>
        <v>#N/A</v>
      </c>
      <c r="O265" t="e">
        <f>VLOOKUP(M265,H265:J321,2,FALSE)+1</f>
        <v>#N/A</v>
      </c>
      <c r="P265">
        <f>'Nom du personnage'!$U$51</f>
        <v>0</v>
      </c>
    </row>
    <row r="266" spans="8:16" hidden="1">
      <c r="H266" s="2" t="s">
        <v>256</v>
      </c>
      <c r="I266" s="2">
        <v>6</v>
      </c>
      <c r="J266" s="2" t="s">
        <v>73</v>
      </c>
      <c r="K266" s="2">
        <f t="shared" si="25"/>
        <v>5</v>
      </c>
      <c r="M266">
        <f>IF(AND(J266='Nom du personnage'!$U$51,'Lecture et écriture'!$G$99=TRUE),Compétences!H266,0)</f>
        <v>0</v>
      </c>
      <c r="N266">
        <v>0</v>
      </c>
      <c r="O266">
        <v>0</v>
      </c>
      <c r="P266">
        <f>'Nom du personnage'!$U$51</f>
        <v>0</v>
      </c>
    </row>
    <row r="267" spans="8:16" hidden="1">
      <c r="H267" s="2" t="s">
        <v>257</v>
      </c>
      <c r="I267" s="2">
        <v>6</v>
      </c>
      <c r="J267" s="2" t="s">
        <v>73</v>
      </c>
      <c r="K267" s="2">
        <f t="shared" si="25"/>
        <v>1</v>
      </c>
      <c r="M267" s="2" cm="1">
        <f t="array" ref="M267">IF(AND(J267='Nom du personnage'!$U$51,OR('Nom du personnage'!$C$65:$L$85=Compétences!$H$19,'Nom du personnage'!$Q$65:$Z$85=Compétences!$H$19)),H267,0)</f>
        <v>0</v>
      </c>
      <c r="N267" t="e">
        <f t="shared" ref="N267:N283" si="30">VLOOKUP(M267,H267:J323,2,FALSE)</f>
        <v>#N/A</v>
      </c>
      <c r="O267" t="e">
        <f>VLOOKUP(M267,H267:J323,2,FALSE)+1</f>
        <v>#N/A</v>
      </c>
      <c r="P267">
        <f>'Nom du personnage'!$U$51</f>
        <v>0</v>
      </c>
    </row>
    <row r="268" spans="8:16" hidden="1">
      <c r="H268" s="2" t="s">
        <v>1005</v>
      </c>
      <c r="I268" s="2">
        <v>2</v>
      </c>
      <c r="J268" s="2" t="s">
        <v>73</v>
      </c>
      <c r="K268" s="2">
        <f t="shared" si="25"/>
        <v>5</v>
      </c>
      <c r="M268" s="2" cm="1">
        <f t="array" ref="M268">IF(AND('Nom du personnage'!$U$51=Compétences!J268,OR('Nom du personnage'!$C$65:$L$85=Compétences!$M$3,'Nom du personnage'!$Q$65:$Z$85=Compétences!$M$3)),H268,0)</f>
        <v>0</v>
      </c>
      <c r="N268" t="e">
        <f t="shared" si="30"/>
        <v>#N/A</v>
      </c>
      <c r="O268" t="e">
        <f>VLOOKUP(M268,H268:J324,2,FALSE)</f>
        <v>#N/A</v>
      </c>
      <c r="P268">
        <f>'Nom du personnage'!$U$51</f>
        <v>0</v>
      </c>
    </row>
    <row r="269" spans="8:16" hidden="1">
      <c r="H269" s="2" t="s">
        <v>212</v>
      </c>
      <c r="I269" s="2">
        <v>6</v>
      </c>
      <c r="J269" s="2" t="s">
        <v>73</v>
      </c>
      <c r="K269" s="2">
        <f t="shared" si="25"/>
        <v>1</v>
      </c>
      <c r="M269">
        <f t="shared" si="24"/>
        <v>0</v>
      </c>
      <c r="N269" t="e">
        <f t="shared" si="30"/>
        <v>#N/A</v>
      </c>
      <c r="O269" t="e">
        <f>VLOOKUP(M269,H269:J325,2,FALSE)</f>
        <v>#N/A</v>
      </c>
      <c r="P269">
        <f>'Nom du personnage'!$U$51</f>
        <v>0</v>
      </c>
    </row>
    <row r="270" spans="8:16" hidden="1">
      <c r="H270" s="2" t="s">
        <v>241</v>
      </c>
      <c r="I270" s="2">
        <v>6</v>
      </c>
      <c r="J270" s="2" t="s">
        <v>73</v>
      </c>
      <c r="K270" s="2">
        <f t="shared" si="25"/>
        <v>1</v>
      </c>
      <c r="M270">
        <f t="shared" si="24"/>
        <v>0</v>
      </c>
      <c r="N270" t="e">
        <f t="shared" si="30"/>
        <v>#N/A</v>
      </c>
      <c r="O270" t="e">
        <f>VLOOKUP(M270,H270:J326,2,FALSE)+1</f>
        <v>#N/A</v>
      </c>
      <c r="P270">
        <f>'Nom du personnage'!$U$51</f>
        <v>0</v>
      </c>
    </row>
    <row r="271" spans="8:16" hidden="1">
      <c r="H271" s="2" t="s">
        <v>258</v>
      </c>
      <c r="I271" s="2">
        <v>5</v>
      </c>
      <c r="J271" s="2" t="s">
        <v>73</v>
      </c>
      <c r="K271" s="2">
        <f t="shared" si="25"/>
        <v>5</v>
      </c>
      <c r="M271" s="2" cm="1">
        <f t="array" ref="M271">IF(AND(J271='Nom du personnage'!$U$51,OR('Nom du personnage'!$C$65:$L$85=Compétences!$H$19,'Nom du personnage'!$Q$65:$Z$85=Compétences!$H$19)),H271,0)</f>
        <v>0</v>
      </c>
      <c r="N271" t="e">
        <f t="shared" si="30"/>
        <v>#N/A</v>
      </c>
      <c r="O271" t="e">
        <f>VLOOKUP(M271,H271:J327,2,FALSE)+1</f>
        <v>#N/A</v>
      </c>
      <c r="P271">
        <f>'Nom du personnage'!$U$51</f>
        <v>0</v>
      </c>
    </row>
    <row r="272" spans="8:16" hidden="1">
      <c r="H272" s="2" t="s">
        <v>259</v>
      </c>
      <c r="I272" s="2">
        <v>4</v>
      </c>
      <c r="J272" s="2" t="s">
        <v>73</v>
      </c>
      <c r="K272" s="2">
        <f t="shared" si="25"/>
        <v>5</v>
      </c>
      <c r="M272">
        <f t="shared" si="24"/>
        <v>0</v>
      </c>
      <c r="N272" t="e">
        <f t="shared" si="30"/>
        <v>#N/A</v>
      </c>
      <c r="O272" t="e">
        <f>VLOOKUP(M272,H272:J328,2,FALSE)</f>
        <v>#N/A</v>
      </c>
      <c r="P272">
        <f>'Nom du personnage'!$U$51</f>
        <v>0</v>
      </c>
    </row>
    <row r="273" spans="8:16" hidden="1">
      <c r="H273" s="2" t="s">
        <v>263</v>
      </c>
      <c r="I273" s="2">
        <v>4</v>
      </c>
      <c r="J273" s="2" t="s">
        <v>73</v>
      </c>
      <c r="K273" s="2">
        <f t="shared" si="25"/>
        <v>5</v>
      </c>
      <c r="M273">
        <f t="shared" si="24"/>
        <v>0</v>
      </c>
      <c r="N273" t="e">
        <f t="shared" si="30"/>
        <v>#N/A</v>
      </c>
      <c r="O273" t="e">
        <f t="shared" ref="O273:O283" si="31">VLOOKUP(M273,H273:J329,2,FALSE)+1</f>
        <v>#N/A</v>
      </c>
      <c r="P273">
        <f>'Nom du personnage'!$U$51</f>
        <v>0</v>
      </c>
    </row>
    <row r="274" spans="8:16" hidden="1">
      <c r="H274" s="2" t="s">
        <v>264</v>
      </c>
      <c r="I274" s="2">
        <v>5</v>
      </c>
      <c r="J274" s="2" t="s">
        <v>73</v>
      </c>
      <c r="K274" s="2">
        <f t="shared" si="25"/>
        <v>5</v>
      </c>
      <c r="M274">
        <f t="shared" si="24"/>
        <v>0</v>
      </c>
      <c r="N274" t="e">
        <f t="shared" si="30"/>
        <v>#N/A</v>
      </c>
      <c r="O274" t="e">
        <f t="shared" si="31"/>
        <v>#N/A</v>
      </c>
      <c r="P274">
        <f>'Nom du personnage'!$U$51</f>
        <v>0</v>
      </c>
    </row>
    <row r="275" spans="8:16" hidden="1">
      <c r="H275" s="2" t="s">
        <v>265</v>
      </c>
      <c r="I275" s="2">
        <v>4</v>
      </c>
      <c r="J275" s="2" t="s">
        <v>73</v>
      </c>
      <c r="K275" s="2">
        <f t="shared" si="25"/>
        <v>5</v>
      </c>
      <c r="M275">
        <f t="shared" si="24"/>
        <v>0</v>
      </c>
      <c r="N275" t="e">
        <f t="shared" si="30"/>
        <v>#N/A</v>
      </c>
      <c r="O275" t="e">
        <f t="shared" si="31"/>
        <v>#N/A</v>
      </c>
      <c r="P275">
        <f>'Nom du personnage'!$U$51</f>
        <v>0</v>
      </c>
    </row>
    <row r="276" spans="8:16" hidden="1">
      <c r="H276" s="2" t="s">
        <v>266</v>
      </c>
      <c r="I276" s="2">
        <v>6</v>
      </c>
      <c r="J276" s="2" t="s">
        <v>73</v>
      </c>
      <c r="K276" s="2">
        <f t="shared" si="25"/>
        <v>1</v>
      </c>
      <c r="M276">
        <f t="shared" si="24"/>
        <v>0</v>
      </c>
      <c r="N276" t="e">
        <f t="shared" si="30"/>
        <v>#N/A</v>
      </c>
      <c r="O276" t="e">
        <f t="shared" si="31"/>
        <v>#N/A</v>
      </c>
      <c r="P276">
        <f>'Nom du personnage'!$U$51</f>
        <v>0</v>
      </c>
    </row>
    <row r="277" spans="8:16" hidden="1">
      <c r="H277" s="2" t="s">
        <v>267</v>
      </c>
      <c r="I277" s="2">
        <v>6</v>
      </c>
      <c r="J277" s="2" t="s">
        <v>73</v>
      </c>
      <c r="K277" s="2">
        <f t="shared" si="25"/>
        <v>1</v>
      </c>
      <c r="M277">
        <f t="shared" si="24"/>
        <v>0</v>
      </c>
      <c r="N277" t="e">
        <f t="shared" si="30"/>
        <v>#N/A</v>
      </c>
      <c r="O277" t="e">
        <f t="shared" si="31"/>
        <v>#N/A</v>
      </c>
      <c r="P277">
        <f>'Nom du personnage'!$U$51</f>
        <v>0</v>
      </c>
    </row>
    <row r="278" spans="8:16" hidden="1">
      <c r="H278" s="2" t="s">
        <v>268</v>
      </c>
      <c r="I278" s="2">
        <v>4</v>
      </c>
      <c r="J278" s="2" t="s">
        <v>73</v>
      </c>
      <c r="K278" s="2">
        <f t="shared" si="25"/>
        <v>5</v>
      </c>
      <c r="M278">
        <f t="shared" si="24"/>
        <v>0</v>
      </c>
      <c r="N278" t="e">
        <f t="shared" si="30"/>
        <v>#N/A</v>
      </c>
      <c r="O278" t="e">
        <f t="shared" si="31"/>
        <v>#N/A</v>
      </c>
      <c r="P278">
        <f>'Nom du personnage'!$U$51</f>
        <v>0</v>
      </c>
    </row>
    <row r="279" spans="8:16" hidden="1">
      <c r="H279" s="2" t="s">
        <v>269</v>
      </c>
      <c r="I279" s="2">
        <v>4</v>
      </c>
      <c r="J279" s="2" t="s">
        <v>73</v>
      </c>
      <c r="K279" s="2">
        <f t="shared" si="25"/>
        <v>1</v>
      </c>
      <c r="M279">
        <f t="shared" si="24"/>
        <v>0</v>
      </c>
      <c r="N279" t="e">
        <f t="shared" si="30"/>
        <v>#N/A</v>
      </c>
      <c r="O279" t="e">
        <f t="shared" si="31"/>
        <v>#N/A</v>
      </c>
      <c r="P279">
        <f>'Nom du personnage'!$U$51</f>
        <v>0</v>
      </c>
    </row>
    <row r="280" spans="8:16" hidden="1">
      <c r="H280" s="2" t="s">
        <v>270</v>
      </c>
      <c r="I280" s="2">
        <v>6</v>
      </c>
      <c r="J280" s="2" t="s">
        <v>73</v>
      </c>
      <c r="K280" s="2">
        <f t="shared" si="25"/>
        <v>1</v>
      </c>
      <c r="M280">
        <f t="shared" si="24"/>
        <v>0</v>
      </c>
      <c r="N280" t="e">
        <f t="shared" si="30"/>
        <v>#N/A</v>
      </c>
      <c r="O280" t="e">
        <f t="shared" si="31"/>
        <v>#N/A</v>
      </c>
      <c r="P280">
        <f>'Nom du personnage'!$U$51</f>
        <v>0</v>
      </c>
    </row>
    <row r="281" spans="8:16" hidden="1">
      <c r="H281" s="2" t="s">
        <v>272</v>
      </c>
      <c r="I281" s="2">
        <v>3</v>
      </c>
      <c r="J281" s="2" t="s">
        <v>73</v>
      </c>
      <c r="K281" s="2">
        <f t="shared" si="25"/>
        <v>5</v>
      </c>
      <c r="M281">
        <f t="shared" si="24"/>
        <v>0</v>
      </c>
      <c r="N281" t="e">
        <f t="shared" si="30"/>
        <v>#N/A</v>
      </c>
      <c r="O281" t="e">
        <f t="shared" si="31"/>
        <v>#N/A</v>
      </c>
      <c r="P281">
        <f>'Nom du personnage'!$U$51</f>
        <v>0</v>
      </c>
    </row>
    <row r="282" spans="8:16" hidden="1">
      <c r="H282" s="2" t="s">
        <v>211</v>
      </c>
      <c r="I282" s="2">
        <v>4</v>
      </c>
      <c r="J282" s="2" t="s">
        <v>73</v>
      </c>
      <c r="K282" s="2">
        <f t="shared" si="25"/>
        <v>1</v>
      </c>
      <c r="M282">
        <f t="shared" si="24"/>
        <v>0</v>
      </c>
      <c r="N282" t="e">
        <f t="shared" si="30"/>
        <v>#N/A</v>
      </c>
      <c r="O282" t="e">
        <f t="shared" si="31"/>
        <v>#N/A</v>
      </c>
      <c r="P282">
        <f>'Nom du personnage'!$U$51</f>
        <v>0</v>
      </c>
    </row>
    <row r="283" spans="8:16" hidden="1">
      <c r="H283" s="2" t="s">
        <v>213</v>
      </c>
      <c r="I283" s="2">
        <v>6</v>
      </c>
      <c r="J283" s="2" t="s">
        <v>73</v>
      </c>
      <c r="K283" s="2">
        <f t="shared" si="25"/>
        <v>1</v>
      </c>
      <c r="M283">
        <f t="shared" si="24"/>
        <v>0</v>
      </c>
      <c r="N283" t="e">
        <f t="shared" si="30"/>
        <v>#N/A</v>
      </c>
      <c r="O283" t="e">
        <f t="shared" si="31"/>
        <v>#N/A</v>
      </c>
      <c r="P283">
        <f>'Nom du personnage'!$U$51</f>
        <v>0</v>
      </c>
    </row>
    <row r="284" spans="8:16" hidden="1">
      <c r="H284" s="2" t="s">
        <v>274</v>
      </c>
      <c r="I284" s="2">
        <v>4</v>
      </c>
      <c r="J284" s="2" t="s">
        <v>73</v>
      </c>
      <c r="K284" s="2">
        <f t="shared" si="25"/>
        <v>5</v>
      </c>
      <c r="M284">
        <f t="shared" si="24"/>
        <v>0</v>
      </c>
      <c r="N284" t="e">
        <f t="shared" ref="N284:N315" si="32">VLOOKUP(M284,H284:J341,2,FALSE)</f>
        <v>#N/A</v>
      </c>
      <c r="O284" t="e">
        <f>VLOOKUP(M284,H284:J341,2,FALSE)+1</f>
        <v>#N/A</v>
      </c>
      <c r="P284">
        <f>'Nom du personnage'!$U$51</f>
        <v>0</v>
      </c>
    </row>
    <row r="285" spans="8:16" hidden="1">
      <c r="H285" s="2" t="s">
        <v>271</v>
      </c>
      <c r="I285" s="2">
        <v>5</v>
      </c>
      <c r="J285" s="2" t="s">
        <v>73</v>
      </c>
      <c r="K285" s="2">
        <f t="shared" si="25"/>
        <v>1</v>
      </c>
      <c r="M285">
        <f t="shared" si="24"/>
        <v>0</v>
      </c>
      <c r="N285" t="e">
        <f t="shared" si="32"/>
        <v>#N/A</v>
      </c>
      <c r="O285" t="e">
        <f>VLOOKUP(M285,H285:J342,2,FALSE)</f>
        <v>#N/A</v>
      </c>
      <c r="P285">
        <f>'Nom du personnage'!$U$51</f>
        <v>0</v>
      </c>
    </row>
    <row r="286" spans="8:16" hidden="1">
      <c r="H286" s="2" t="s">
        <v>232</v>
      </c>
      <c r="I286" s="2">
        <v>5</v>
      </c>
      <c r="J286" s="2" t="s">
        <v>76</v>
      </c>
      <c r="K286" s="2">
        <f t="shared" si="25"/>
        <v>5</v>
      </c>
      <c r="M286">
        <f>IF(AND('Nom du personnage'!$U$51=Compétences!J286,Religion!$D$29=TRUE),Compétences!H286,0)</f>
        <v>0</v>
      </c>
      <c r="N286" t="e">
        <f t="shared" si="32"/>
        <v>#N/A</v>
      </c>
      <c r="O286" t="e">
        <f t="shared" ref="O286:O294" si="33">VLOOKUP(M286,H286:J343,2,FALSE)+1</f>
        <v>#N/A</v>
      </c>
      <c r="P286">
        <f>'Nom du personnage'!$U$51</f>
        <v>0</v>
      </c>
    </row>
    <row r="287" spans="8:16" hidden="1">
      <c r="H287" s="2" t="s">
        <v>233</v>
      </c>
      <c r="I287" s="2">
        <v>6</v>
      </c>
      <c r="J287" s="2" t="s">
        <v>76</v>
      </c>
      <c r="K287" s="2">
        <f t="shared" si="25"/>
        <v>5</v>
      </c>
      <c r="M287">
        <f t="shared" si="24"/>
        <v>0</v>
      </c>
      <c r="N287" t="e">
        <f t="shared" si="32"/>
        <v>#N/A</v>
      </c>
      <c r="O287" t="e">
        <f t="shared" si="33"/>
        <v>#N/A</v>
      </c>
      <c r="P287">
        <f>'Nom du personnage'!$U$51</f>
        <v>0</v>
      </c>
    </row>
    <row r="288" spans="8:16" hidden="1">
      <c r="H288" s="2" t="s">
        <v>234</v>
      </c>
      <c r="I288" s="2">
        <v>6</v>
      </c>
      <c r="J288" s="2" t="s">
        <v>76</v>
      </c>
      <c r="K288" s="2">
        <f t="shared" si="25"/>
        <v>5</v>
      </c>
      <c r="M288">
        <f t="shared" si="24"/>
        <v>0</v>
      </c>
      <c r="N288" t="e">
        <f t="shared" si="32"/>
        <v>#N/A</v>
      </c>
      <c r="O288" t="e">
        <f t="shared" si="33"/>
        <v>#N/A</v>
      </c>
      <c r="P288">
        <f>'Nom du personnage'!$U$51</f>
        <v>0</v>
      </c>
    </row>
    <row r="289" spans="8:16" hidden="1">
      <c r="H289" s="2" t="s">
        <v>235</v>
      </c>
      <c r="I289" s="2">
        <v>6</v>
      </c>
      <c r="J289" s="2" t="s">
        <v>76</v>
      </c>
      <c r="K289" s="2">
        <f t="shared" si="25"/>
        <v>5</v>
      </c>
      <c r="M289">
        <f>IF(AND('Nom du personnage'!$U$51=Compétences!J289,Religion!$D$29),Compétences!H289,0)</f>
        <v>0</v>
      </c>
      <c r="N289" t="e">
        <f t="shared" si="32"/>
        <v>#N/A</v>
      </c>
      <c r="O289" t="e">
        <f t="shared" si="33"/>
        <v>#N/A</v>
      </c>
      <c r="P289">
        <f>'Nom du personnage'!$U$51</f>
        <v>0</v>
      </c>
    </row>
    <row r="290" spans="8:16" hidden="1">
      <c r="H290" s="2" t="s">
        <v>236</v>
      </c>
      <c r="I290" s="2">
        <v>3</v>
      </c>
      <c r="J290" s="2" t="s">
        <v>76</v>
      </c>
      <c r="K290" s="2">
        <f t="shared" si="25"/>
        <v>1</v>
      </c>
      <c r="M290">
        <f t="shared" si="24"/>
        <v>0</v>
      </c>
      <c r="N290" t="e">
        <f t="shared" si="32"/>
        <v>#N/A</v>
      </c>
      <c r="O290" t="e">
        <f t="shared" si="33"/>
        <v>#N/A</v>
      </c>
      <c r="P290">
        <f>'Nom du personnage'!$U$51</f>
        <v>0</v>
      </c>
    </row>
    <row r="291" spans="8:16" hidden="1">
      <c r="H291" s="2" t="s">
        <v>237</v>
      </c>
      <c r="I291" s="2">
        <v>5</v>
      </c>
      <c r="J291" s="2" t="s">
        <v>76</v>
      </c>
      <c r="K291" s="2">
        <f t="shared" si="25"/>
        <v>1</v>
      </c>
      <c r="M291">
        <f t="shared" si="24"/>
        <v>0</v>
      </c>
      <c r="N291" t="e">
        <f t="shared" si="32"/>
        <v>#N/A</v>
      </c>
      <c r="O291" t="e">
        <f t="shared" si="33"/>
        <v>#N/A</v>
      </c>
      <c r="P291">
        <f>'Nom du personnage'!$U$51</f>
        <v>0</v>
      </c>
    </row>
    <row r="292" spans="8:16" hidden="1">
      <c r="H292" s="2" t="s">
        <v>209</v>
      </c>
      <c r="I292" s="2">
        <v>4</v>
      </c>
      <c r="J292" s="2" t="s">
        <v>76</v>
      </c>
      <c r="K292" s="2">
        <f t="shared" si="25"/>
        <v>1</v>
      </c>
      <c r="M292">
        <f t="shared" si="24"/>
        <v>0</v>
      </c>
      <c r="N292" t="e">
        <f t="shared" si="32"/>
        <v>#N/A</v>
      </c>
      <c r="O292" t="e">
        <f t="shared" si="33"/>
        <v>#N/A</v>
      </c>
      <c r="P292">
        <f>'Nom du personnage'!$U$51</f>
        <v>0</v>
      </c>
    </row>
    <row r="293" spans="8:16" hidden="1">
      <c r="H293" s="2" t="s">
        <v>238</v>
      </c>
      <c r="I293" s="2">
        <v>3</v>
      </c>
      <c r="J293" s="2" t="s">
        <v>76</v>
      </c>
      <c r="K293" s="2">
        <f t="shared" si="25"/>
        <v>1</v>
      </c>
      <c r="M293">
        <f t="shared" si="24"/>
        <v>0</v>
      </c>
      <c r="N293" t="e">
        <f t="shared" si="32"/>
        <v>#N/A</v>
      </c>
      <c r="O293" t="e">
        <f t="shared" si="33"/>
        <v>#N/A</v>
      </c>
      <c r="P293">
        <f>'Nom du personnage'!$U$51</f>
        <v>0</v>
      </c>
    </row>
    <row r="294" spans="8:16" hidden="1">
      <c r="H294" s="2" t="s">
        <v>239</v>
      </c>
      <c r="I294" s="2">
        <v>5</v>
      </c>
      <c r="J294" s="2" t="s">
        <v>76</v>
      </c>
      <c r="K294" s="2">
        <f t="shared" si="25"/>
        <v>1</v>
      </c>
      <c r="M294">
        <f t="shared" si="24"/>
        <v>0</v>
      </c>
      <c r="N294" t="e">
        <f t="shared" si="32"/>
        <v>#N/A</v>
      </c>
      <c r="O294" t="e">
        <f t="shared" si="33"/>
        <v>#N/A</v>
      </c>
      <c r="P294">
        <f>'Nom du personnage'!$U$51</f>
        <v>0</v>
      </c>
    </row>
    <row r="295" spans="8:16" hidden="1">
      <c r="H295" s="2" t="s">
        <v>212</v>
      </c>
      <c r="I295" s="2">
        <v>6</v>
      </c>
      <c r="J295" s="2" t="s">
        <v>76</v>
      </c>
      <c r="K295" s="2">
        <f t="shared" si="25"/>
        <v>1</v>
      </c>
      <c r="M295">
        <f t="shared" ref="M295:M358" si="34">IF(P295=J295,H295,)</f>
        <v>0</v>
      </c>
      <c r="N295" t="e">
        <f t="shared" si="32"/>
        <v>#N/A</v>
      </c>
      <c r="O295" t="e">
        <f>VLOOKUP(M295,H295:J352,2,FALSE)</f>
        <v>#N/A</v>
      </c>
      <c r="P295">
        <f>'Nom du personnage'!$U$51</f>
        <v>0</v>
      </c>
    </row>
    <row r="296" spans="8:16" hidden="1">
      <c r="H296" s="2" t="s">
        <v>240</v>
      </c>
      <c r="I296" s="2">
        <v>6</v>
      </c>
      <c r="J296" s="2" t="s">
        <v>76</v>
      </c>
      <c r="K296" s="2">
        <f t="shared" si="25"/>
        <v>1</v>
      </c>
      <c r="M296">
        <f t="shared" si="34"/>
        <v>0</v>
      </c>
      <c r="N296" t="e">
        <f t="shared" si="32"/>
        <v>#N/A</v>
      </c>
      <c r="O296" t="e">
        <f>VLOOKUP(M296,H296:J353,2,FALSE)+1</f>
        <v>#N/A</v>
      </c>
      <c r="P296">
        <f>'Nom du personnage'!$U$51</f>
        <v>0</v>
      </c>
    </row>
    <row r="297" spans="8:16" hidden="1">
      <c r="H297" s="2" t="s">
        <v>241</v>
      </c>
      <c r="I297" s="2">
        <v>6</v>
      </c>
      <c r="J297" s="2" t="s">
        <v>76</v>
      </c>
      <c r="K297" s="2">
        <f t="shared" si="25"/>
        <v>1</v>
      </c>
      <c r="M297">
        <f t="shared" si="34"/>
        <v>0</v>
      </c>
      <c r="N297" t="e">
        <f t="shared" si="32"/>
        <v>#N/A</v>
      </c>
      <c r="O297" t="e">
        <f>VLOOKUP(M297,H297:J354,2,FALSE)</f>
        <v>#N/A</v>
      </c>
      <c r="P297">
        <f>'Nom du personnage'!$U$51</f>
        <v>0</v>
      </c>
    </row>
    <row r="298" spans="8:16" hidden="1">
      <c r="H298" s="2" t="s">
        <v>242</v>
      </c>
      <c r="I298" s="2">
        <v>6</v>
      </c>
      <c r="J298" s="2" t="s">
        <v>76</v>
      </c>
      <c r="K298" s="2">
        <f t="shared" si="25"/>
        <v>5</v>
      </c>
      <c r="M298">
        <f t="shared" si="34"/>
        <v>0</v>
      </c>
      <c r="N298" t="e">
        <f t="shared" si="32"/>
        <v>#N/A</v>
      </c>
      <c r="O298" t="e">
        <f t="shared" ref="O298:O315" si="35">VLOOKUP(M298,H298:J355,2,FALSE)+1</f>
        <v>#N/A</v>
      </c>
      <c r="P298">
        <f>'Nom du personnage'!$U$51</f>
        <v>0</v>
      </c>
    </row>
    <row r="299" spans="8:16" hidden="1">
      <c r="H299" s="2" t="s">
        <v>243</v>
      </c>
      <c r="I299" s="2">
        <v>5</v>
      </c>
      <c r="J299" s="2" t="s">
        <v>76</v>
      </c>
      <c r="K299" s="2">
        <f t="shared" si="25"/>
        <v>1</v>
      </c>
      <c r="M299">
        <f t="shared" si="34"/>
        <v>0</v>
      </c>
      <c r="N299" t="e">
        <f t="shared" si="32"/>
        <v>#N/A</v>
      </c>
      <c r="O299" t="e">
        <f t="shared" si="35"/>
        <v>#N/A</v>
      </c>
      <c r="P299">
        <f>'Nom du personnage'!$U$51</f>
        <v>0</v>
      </c>
    </row>
    <row r="300" spans="8:16" hidden="1">
      <c r="H300" s="2" t="s">
        <v>244</v>
      </c>
      <c r="I300" s="2">
        <v>5</v>
      </c>
      <c r="J300" s="2" t="s">
        <v>76</v>
      </c>
      <c r="K300" s="2">
        <f t="shared" si="25"/>
        <v>5</v>
      </c>
      <c r="M300" s="2" cm="1">
        <f t="array" ref="M300">IF(AND('Nom du personnage'!$U$51=Compétences!J300,OR('Nom du personnage'!$C$65:$L$85=Compétences!$H$89,'Nom du personnage'!$Q$65:$Z$85=Compétences!$H$89)),H300,0)</f>
        <v>0</v>
      </c>
      <c r="N300" t="e">
        <f t="shared" si="32"/>
        <v>#N/A</v>
      </c>
      <c r="O300" t="e">
        <f t="shared" si="35"/>
        <v>#N/A</v>
      </c>
      <c r="P300">
        <f>'Nom du personnage'!$U$51</f>
        <v>0</v>
      </c>
    </row>
    <row r="301" spans="8:16" hidden="1">
      <c r="H301" s="2" t="s">
        <v>245</v>
      </c>
      <c r="I301" s="2">
        <v>2</v>
      </c>
      <c r="J301" s="2" t="s">
        <v>76</v>
      </c>
      <c r="K301" s="2">
        <f t="shared" ref="K301:K364" si="36">VLOOKUP(H301,$B$3:$D$115,3,FALSE)</f>
        <v>5</v>
      </c>
      <c r="M301">
        <f t="shared" si="34"/>
        <v>0</v>
      </c>
      <c r="N301" t="e">
        <f t="shared" si="32"/>
        <v>#N/A</v>
      </c>
      <c r="O301" t="e">
        <f t="shared" si="35"/>
        <v>#N/A</v>
      </c>
      <c r="P301">
        <f>'Nom du personnage'!$U$51</f>
        <v>0</v>
      </c>
    </row>
    <row r="302" spans="8:16" hidden="1">
      <c r="H302" s="2" t="s">
        <v>247</v>
      </c>
      <c r="I302" s="2">
        <v>5</v>
      </c>
      <c r="J302" s="2" t="s">
        <v>76</v>
      </c>
      <c r="K302" s="2">
        <f t="shared" si="36"/>
        <v>5</v>
      </c>
      <c r="M302">
        <f>IF('Nom du personnage'!$U$51=Compétences!J302,'Contact marchand'!F3,0)</f>
        <v>0</v>
      </c>
      <c r="N302" t="e">
        <f t="shared" si="32"/>
        <v>#N/A</v>
      </c>
      <c r="O302" t="e">
        <f t="shared" si="35"/>
        <v>#N/A</v>
      </c>
      <c r="P302">
        <f>'Nom du personnage'!$U$51</f>
        <v>0</v>
      </c>
    </row>
    <row r="303" spans="8:16" hidden="1">
      <c r="H303" s="2" t="s">
        <v>248</v>
      </c>
      <c r="I303" s="2">
        <v>5</v>
      </c>
      <c r="J303" s="2" t="s">
        <v>76</v>
      </c>
      <c r="K303" s="2">
        <f t="shared" si="36"/>
        <v>5</v>
      </c>
      <c r="M303">
        <f>IF('Nom du personnage'!$U$51=Compétences!J303,'Contact marchand'!F4,0)</f>
        <v>0</v>
      </c>
      <c r="N303" t="e">
        <f t="shared" si="32"/>
        <v>#N/A</v>
      </c>
      <c r="O303" t="e">
        <f t="shared" si="35"/>
        <v>#N/A</v>
      </c>
      <c r="P303">
        <f>'Nom du personnage'!$U$51</f>
        <v>0</v>
      </c>
    </row>
    <row r="304" spans="8:16" hidden="1">
      <c r="H304" s="2" t="s">
        <v>249</v>
      </c>
      <c r="I304" s="2">
        <v>5</v>
      </c>
      <c r="J304" s="2" t="s">
        <v>76</v>
      </c>
      <c r="K304" s="2">
        <f t="shared" si="36"/>
        <v>5</v>
      </c>
      <c r="M304">
        <f>IF('Nom du personnage'!$U$51=Compétences!J304,'Contact marchand'!F5,0)</f>
        <v>0</v>
      </c>
      <c r="N304" t="e">
        <f t="shared" si="32"/>
        <v>#N/A</v>
      </c>
      <c r="O304" t="e">
        <f t="shared" si="35"/>
        <v>#N/A</v>
      </c>
      <c r="P304">
        <f>'Nom du personnage'!$U$51</f>
        <v>0</v>
      </c>
    </row>
    <row r="305" spans="8:16" hidden="1">
      <c r="H305" s="2" t="s">
        <v>250</v>
      </c>
      <c r="I305" s="2">
        <v>5</v>
      </c>
      <c r="J305" s="2" t="s">
        <v>76</v>
      </c>
      <c r="K305" s="2">
        <f t="shared" si="36"/>
        <v>5</v>
      </c>
      <c r="M305">
        <f>IF('Nom du personnage'!$U$51=Compétences!J305,'Contact marchand'!F6,0)</f>
        <v>0</v>
      </c>
      <c r="N305" t="e">
        <f t="shared" si="32"/>
        <v>#N/A</v>
      </c>
      <c r="O305" t="e">
        <f t="shared" si="35"/>
        <v>#N/A</v>
      </c>
      <c r="P305">
        <f>'Nom du personnage'!$U$51</f>
        <v>0</v>
      </c>
    </row>
    <row r="306" spans="8:16" hidden="1">
      <c r="H306" s="2" t="s">
        <v>251</v>
      </c>
      <c r="I306" s="2">
        <v>6</v>
      </c>
      <c r="J306" s="2" t="s">
        <v>76</v>
      </c>
      <c r="K306" s="2">
        <f t="shared" si="36"/>
        <v>5</v>
      </c>
      <c r="M306">
        <f>IF('Nom du personnage'!$U$51=Compétences!J306,'Contact marchand'!F7,0)</f>
        <v>0</v>
      </c>
      <c r="N306" t="e">
        <f t="shared" si="32"/>
        <v>#N/A</v>
      </c>
      <c r="O306" t="e">
        <f t="shared" si="35"/>
        <v>#N/A</v>
      </c>
      <c r="P306">
        <f>'Nom du personnage'!$U$51</f>
        <v>0</v>
      </c>
    </row>
    <row r="307" spans="8:16" hidden="1">
      <c r="H307" s="2" t="s">
        <v>252</v>
      </c>
      <c r="I307" s="2">
        <v>10</v>
      </c>
      <c r="J307" s="2" t="s">
        <v>76</v>
      </c>
      <c r="K307" s="2">
        <f t="shared" si="36"/>
        <v>5</v>
      </c>
      <c r="M307">
        <f>IF('Nom du personnage'!$U$51=Compétences!J307,'Contact marchand'!F8,0)</f>
        <v>0</v>
      </c>
      <c r="N307" t="e">
        <f t="shared" si="32"/>
        <v>#N/A</v>
      </c>
      <c r="O307" t="e">
        <f t="shared" si="35"/>
        <v>#N/A</v>
      </c>
      <c r="P307">
        <f>'Nom du personnage'!$U$51</f>
        <v>0</v>
      </c>
    </row>
    <row r="308" spans="8:16" hidden="1">
      <c r="H308" s="2" t="s">
        <v>253</v>
      </c>
      <c r="I308" s="2">
        <v>10</v>
      </c>
      <c r="J308" s="2" t="s">
        <v>76</v>
      </c>
      <c r="K308" s="2">
        <f t="shared" si="36"/>
        <v>5</v>
      </c>
      <c r="M308">
        <f>IF('Nom du personnage'!$U$51=Compétences!J308,'Contact marchand'!F9,0)</f>
        <v>0</v>
      </c>
      <c r="N308" t="e">
        <f t="shared" si="32"/>
        <v>#N/A</v>
      </c>
      <c r="O308" t="e">
        <f t="shared" si="35"/>
        <v>#N/A</v>
      </c>
      <c r="P308">
        <f>'Nom du personnage'!$U$51</f>
        <v>0</v>
      </c>
    </row>
    <row r="309" spans="8:16" hidden="1">
      <c r="H309" s="2" t="s">
        <v>254</v>
      </c>
      <c r="I309" s="2">
        <v>6</v>
      </c>
      <c r="J309" s="2" t="s">
        <v>76</v>
      </c>
      <c r="K309" s="2">
        <f t="shared" si="36"/>
        <v>5</v>
      </c>
      <c r="M309">
        <f t="shared" si="34"/>
        <v>0</v>
      </c>
      <c r="N309" t="e">
        <f t="shared" si="32"/>
        <v>#N/A</v>
      </c>
      <c r="O309" t="e">
        <f t="shared" si="35"/>
        <v>#N/A</v>
      </c>
      <c r="P309">
        <f>'Nom du personnage'!$U$51</f>
        <v>0</v>
      </c>
    </row>
    <row r="310" spans="8:16" hidden="1">
      <c r="H310" s="2" t="s">
        <v>255</v>
      </c>
      <c r="I310" s="2">
        <v>5</v>
      </c>
      <c r="J310" s="2" t="s">
        <v>76</v>
      </c>
      <c r="K310" s="2">
        <f t="shared" si="36"/>
        <v>1</v>
      </c>
      <c r="M310">
        <f>IF(AND(J310='Nom du personnage'!$U$51,Concoction!$F$45=TRUE),Compétences!H310,0)</f>
        <v>0</v>
      </c>
      <c r="N310" t="e">
        <f t="shared" si="32"/>
        <v>#N/A</v>
      </c>
      <c r="O310" t="e">
        <f t="shared" si="35"/>
        <v>#N/A</v>
      </c>
      <c r="P310">
        <f>'Nom du personnage'!$U$51</f>
        <v>0</v>
      </c>
    </row>
    <row r="311" spans="8:16" hidden="1">
      <c r="H311" s="2" t="s">
        <v>256</v>
      </c>
      <c r="I311" s="2">
        <v>6</v>
      </c>
      <c r="J311" s="2" t="s">
        <v>76</v>
      </c>
      <c r="K311" s="2">
        <f t="shared" si="36"/>
        <v>5</v>
      </c>
      <c r="M311">
        <f>IF(AND(J311='Nom du personnage'!$U$51,'Lecture et écriture'!$G$99=TRUE),Compétences!H311,0)</f>
        <v>0</v>
      </c>
      <c r="N311" t="e">
        <f t="shared" si="32"/>
        <v>#N/A</v>
      </c>
      <c r="O311" t="e">
        <f t="shared" si="35"/>
        <v>#N/A</v>
      </c>
      <c r="P311">
        <f>'Nom du personnage'!$U$51</f>
        <v>0</v>
      </c>
    </row>
    <row r="312" spans="8:16" hidden="1">
      <c r="H312" s="2" t="s">
        <v>257</v>
      </c>
      <c r="I312" s="2">
        <v>6</v>
      </c>
      <c r="J312" s="2" t="s">
        <v>76</v>
      </c>
      <c r="K312" s="2">
        <f t="shared" si="36"/>
        <v>1</v>
      </c>
      <c r="M312" s="2" cm="1">
        <f t="array" ref="M312">IF(AND(J312='Nom du personnage'!$U$51,OR('Nom du personnage'!$C$65:$L$85=Compétences!$H$19,'Nom du personnage'!$Q$65:$Z$85=Compétences!$H$19)),H312,0)</f>
        <v>0</v>
      </c>
      <c r="N312" t="e">
        <f t="shared" si="32"/>
        <v>#N/A</v>
      </c>
      <c r="O312" t="e">
        <f t="shared" si="35"/>
        <v>#N/A</v>
      </c>
      <c r="P312">
        <f>'Nom du personnage'!$U$51</f>
        <v>0</v>
      </c>
    </row>
    <row r="313" spans="8:16" hidden="1">
      <c r="H313" s="2" t="s">
        <v>1005</v>
      </c>
      <c r="I313" s="2">
        <v>2</v>
      </c>
      <c r="J313" s="2" t="s">
        <v>76</v>
      </c>
      <c r="K313" s="2">
        <f t="shared" si="36"/>
        <v>5</v>
      </c>
      <c r="M313" s="2" cm="1">
        <f t="array" ref="M313">IF(AND('Nom du personnage'!$U$51=Compétences!J313,OR('Nom du personnage'!$C$65:$L$85=Compétences!$M$3,'Nom du personnage'!$Q$65:$Z$85=Compétences!$M$3)),H313,0)</f>
        <v>0</v>
      </c>
      <c r="N313" t="e">
        <f t="shared" si="32"/>
        <v>#N/A</v>
      </c>
      <c r="O313" t="e">
        <f t="shared" si="35"/>
        <v>#N/A</v>
      </c>
      <c r="P313">
        <f>'Nom du personnage'!$U$51</f>
        <v>0</v>
      </c>
    </row>
    <row r="314" spans="8:16" hidden="1">
      <c r="H314" s="2" t="s">
        <v>258</v>
      </c>
      <c r="I314" s="2">
        <v>5</v>
      </c>
      <c r="J314" s="2" t="s">
        <v>76</v>
      </c>
      <c r="K314" s="2">
        <f t="shared" si="36"/>
        <v>5</v>
      </c>
      <c r="M314" s="2" cm="1">
        <f t="array" ref="M314">IF(AND(J314='Nom du personnage'!$U$51,OR('Nom du personnage'!$C$65:$L$85=Compétences!$H$19,'Nom du personnage'!$Q$65:$Z$85=Compétences!$H$19)),H314,0)</f>
        <v>0</v>
      </c>
      <c r="N314" t="e">
        <f t="shared" si="32"/>
        <v>#N/A</v>
      </c>
      <c r="O314" t="e">
        <f t="shared" si="35"/>
        <v>#N/A</v>
      </c>
      <c r="P314">
        <f>'Nom du personnage'!$U$51</f>
        <v>0</v>
      </c>
    </row>
    <row r="315" spans="8:16" hidden="1">
      <c r="H315" s="2" t="s">
        <v>259</v>
      </c>
      <c r="I315" s="2">
        <v>4</v>
      </c>
      <c r="J315" s="2" t="s">
        <v>76</v>
      </c>
      <c r="K315" s="2">
        <f t="shared" si="36"/>
        <v>5</v>
      </c>
      <c r="M315">
        <f t="shared" si="34"/>
        <v>0</v>
      </c>
      <c r="N315" t="e">
        <f t="shared" si="32"/>
        <v>#N/A</v>
      </c>
      <c r="O315" t="e">
        <f t="shared" si="35"/>
        <v>#N/A</v>
      </c>
      <c r="P315">
        <f>'Nom du personnage'!$U$51</f>
        <v>0</v>
      </c>
    </row>
    <row r="316" spans="8:16" hidden="1">
      <c r="H316" s="2" t="s">
        <v>227</v>
      </c>
      <c r="I316" s="2">
        <v>3</v>
      </c>
      <c r="J316" s="2" t="s">
        <v>79</v>
      </c>
      <c r="K316" s="2">
        <f t="shared" si="36"/>
        <v>5</v>
      </c>
      <c r="M316" s="2" cm="1">
        <f t="array" ref="M316">IF(AND('Nom du personnage'!$U$51=Compétences!J316,OR('Nom du personnage'!$C$65:$L$85=Compétences!$M$12,'Nom du personnage'!$Q$65:$Z$85=Compétences!$M$12)),H316,0)</f>
        <v>0</v>
      </c>
      <c r="N316">
        <v>0</v>
      </c>
      <c r="O316">
        <v>0</v>
      </c>
      <c r="P316">
        <f>'Nom du personnage'!$U$51</f>
        <v>0</v>
      </c>
    </row>
    <row r="317" spans="8:16" hidden="1">
      <c r="H317" s="2" t="s">
        <v>199</v>
      </c>
      <c r="I317" s="2">
        <v>6</v>
      </c>
      <c r="J317" s="2" t="s">
        <v>79</v>
      </c>
      <c r="K317" s="2">
        <f t="shared" si="36"/>
        <v>1</v>
      </c>
      <c r="M317" s="2" cm="1">
        <f t="array" ref="M317">IF(AND('Nom du personnage'!U323=Compétences!J317,OR('Nom du personnage'!$C$65:$L$85=Compétences!$M$13,'Nom du personnage'!$Q$65:$Z$85=Compétences!$M$13)),H317,0)</f>
        <v>0</v>
      </c>
      <c r="N317" t="e">
        <f t="shared" ref="N317:N348" si="37">VLOOKUP(M317,H317:J374,2,FALSE)</f>
        <v>#N/A</v>
      </c>
      <c r="O317" t="e">
        <f t="shared" ref="O317:O326" si="38">VLOOKUP(M317,H317:J374,2,FALSE)+1</f>
        <v>#N/A</v>
      </c>
      <c r="P317">
        <f>'Nom du personnage'!$U$51</f>
        <v>0</v>
      </c>
    </row>
    <row r="318" spans="8:16" hidden="1">
      <c r="H318" s="2" t="s">
        <v>200</v>
      </c>
      <c r="I318" s="2">
        <v>6</v>
      </c>
      <c r="J318" s="2" t="s">
        <v>79</v>
      </c>
      <c r="K318" s="2">
        <f t="shared" si="36"/>
        <v>1</v>
      </c>
      <c r="M318">
        <f t="shared" si="34"/>
        <v>0</v>
      </c>
      <c r="N318" t="e">
        <f t="shared" si="37"/>
        <v>#N/A</v>
      </c>
      <c r="O318" t="e">
        <f t="shared" si="38"/>
        <v>#N/A</v>
      </c>
      <c r="P318">
        <f>'Nom du personnage'!$U$51</f>
        <v>0</v>
      </c>
    </row>
    <row r="319" spans="8:16" hidden="1">
      <c r="H319" s="2" t="s">
        <v>202</v>
      </c>
      <c r="I319" s="2">
        <v>5</v>
      </c>
      <c r="J319" s="2" t="s">
        <v>79</v>
      </c>
      <c r="K319" s="2">
        <f t="shared" si="36"/>
        <v>5</v>
      </c>
      <c r="M319">
        <f t="shared" si="34"/>
        <v>0</v>
      </c>
      <c r="N319" t="e">
        <f t="shared" si="37"/>
        <v>#N/A</v>
      </c>
      <c r="O319" t="e">
        <f t="shared" si="38"/>
        <v>#N/A</v>
      </c>
      <c r="P319">
        <f>'Nom du personnage'!$U$51</f>
        <v>0</v>
      </c>
    </row>
    <row r="320" spans="8:16" hidden="1">
      <c r="H320" s="2" t="s">
        <v>203</v>
      </c>
      <c r="I320" s="2">
        <v>6</v>
      </c>
      <c r="J320" s="2" t="s">
        <v>79</v>
      </c>
      <c r="K320" s="2">
        <f t="shared" si="36"/>
        <v>5</v>
      </c>
      <c r="M320" s="2" cm="1">
        <f t="array" ref="M320">IF(AND('Nom du personnage'!U192=Compétences!J320,OR('Nom du personnage'!$C$65:$L$85=Compétences!$H$48,'Nom du personnage'!$Q$65:$Z$85=Compétences!$H$48)),H320,0)</f>
        <v>0</v>
      </c>
      <c r="N320" t="e">
        <f t="shared" si="37"/>
        <v>#N/A</v>
      </c>
      <c r="O320" t="e">
        <f t="shared" si="38"/>
        <v>#N/A</v>
      </c>
      <c r="P320">
        <f>'Nom du personnage'!$U$51</f>
        <v>0</v>
      </c>
    </row>
    <row r="321" spans="8:16" hidden="1">
      <c r="H321" s="2" t="s">
        <v>228</v>
      </c>
      <c r="I321" s="2">
        <v>4</v>
      </c>
      <c r="J321" s="2" t="s">
        <v>79</v>
      </c>
      <c r="K321" s="2">
        <f t="shared" si="36"/>
        <v>5</v>
      </c>
      <c r="M321">
        <f t="shared" si="34"/>
        <v>0</v>
      </c>
      <c r="N321" t="e">
        <f t="shared" si="37"/>
        <v>#N/A</v>
      </c>
      <c r="O321" t="e">
        <f t="shared" si="38"/>
        <v>#N/A</v>
      </c>
      <c r="P321">
        <f>'Nom du personnage'!$U$51</f>
        <v>0</v>
      </c>
    </row>
    <row r="322" spans="8:16" hidden="1">
      <c r="H322" s="2" t="s">
        <v>204</v>
      </c>
      <c r="I322" s="2">
        <v>5</v>
      </c>
      <c r="J322" s="2" t="s">
        <v>79</v>
      </c>
      <c r="K322" s="2">
        <f t="shared" si="36"/>
        <v>1</v>
      </c>
      <c r="M322">
        <f t="shared" si="34"/>
        <v>0</v>
      </c>
      <c r="N322" t="e">
        <f t="shared" si="37"/>
        <v>#N/A</v>
      </c>
      <c r="O322" t="e">
        <f t="shared" si="38"/>
        <v>#N/A</v>
      </c>
      <c r="P322">
        <f>'Nom du personnage'!$U$51</f>
        <v>0</v>
      </c>
    </row>
    <row r="323" spans="8:16" hidden="1">
      <c r="H323" s="2" t="s">
        <v>205</v>
      </c>
      <c r="I323" s="2">
        <v>5</v>
      </c>
      <c r="J323" s="2" t="s">
        <v>79</v>
      </c>
      <c r="K323" s="2">
        <f t="shared" si="36"/>
        <v>5</v>
      </c>
      <c r="M323" s="2" cm="1">
        <f t="array" ref="M323">IF(AND('Nom du personnage'!U323=Compétences!J323,OR('Nom du personnage'!$C$65:$L$85=Compétences!$H$50,'Nom du personnage'!$Q$65:$Z$85=Compétences!$H$50)),H323,0)</f>
        <v>0</v>
      </c>
      <c r="N323" t="e">
        <f t="shared" si="37"/>
        <v>#N/A</v>
      </c>
      <c r="O323" t="e">
        <f t="shared" si="38"/>
        <v>#N/A</v>
      </c>
      <c r="P323">
        <f>'Nom du personnage'!$U$51</f>
        <v>0</v>
      </c>
    </row>
    <row r="324" spans="8:16" hidden="1">
      <c r="H324" s="2" t="s">
        <v>229</v>
      </c>
      <c r="I324" s="2">
        <v>6</v>
      </c>
      <c r="J324" s="2" t="s">
        <v>79</v>
      </c>
      <c r="K324" s="2">
        <f t="shared" si="36"/>
        <v>5</v>
      </c>
      <c r="M324">
        <f t="shared" si="34"/>
        <v>0</v>
      </c>
      <c r="N324" t="e">
        <f t="shared" si="37"/>
        <v>#N/A</v>
      </c>
      <c r="O324" t="e">
        <f t="shared" si="38"/>
        <v>#N/A</v>
      </c>
      <c r="P324">
        <f>'Nom du personnage'!$U$51</f>
        <v>0</v>
      </c>
    </row>
    <row r="325" spans="8:16">
      <c r="H325" s="2" t="s">
        <v>206</v>
      </c>
      <c r="I325" s="2">
        <v>3</v>
      </c>
      <c r="J325" s="2" t="s">
        <v>79</v>
      </c>
      <c r="K325" s="2">
        <f t="shared" si="36"/>
        <v>5</v>
      </c>
      <c r="M325" s="2" cm="1">
        <f t="array" ref="M325">IF(AND('Nom du personnage'!U324=Compétences!J325,OR('Nom du personnage'!$C$65:$L$85=Compétences!$M$18,'Nom du personnage'!$Q$65:$Z$85=Compétences!$M$18)),H325,0)</f>
        <v>0</v>
      </c>
      <c r="N325" t="e">
        <f t="shared" si="37"/>
        <v>#N/A</v>
      </c>
      <c r="O325" t="e">
        <f t="shared" si="38"/>
        <v>#N/A</v>
      </c>
      <c r="P325">
        <f>'Nom du personnage'!$U$51</f>
        <v>0</v>
      </c>
    </row>
    <row r="326" spans="8:16" hidden="1">
      <c r="H326" s="2" t="s">
        <v>230</v>
      </c>
      <c r="I326" s="2">
        <v>7</v>
      </c>
      <c r="J326" s="2" t="s">
        <v>79</v>
      </c>
      <c r="K326" s="2">
        <f t="shared" si="36"/>
        <v>5</v>
      </c>
      <c r="M326">
        <f t="shared" si="34"/>
        <v>0</v>
      </c>
      <c r="N326" t="e">
        <f t="shared" si="37"/>
        <v>#N/A</v>
      </c>
      <c r="O326" t="e">
        <f t="shared" si="38"/>
        <v>#N/A</v>
      </c>
      <c r="P326">
        <f>'Nom du personnage'!$U$51</f>
        <v>0</v>
      </c>
    </row>
    <row r="327" spans="8:16" hidden="1">
      <c r="H327" s="2" t="s">
        <v>1005</v>
      </c>
      <c r="I327" s="2">
        <v>2</v>
      </c>
      <c r="J327" s="2" t="s">
        <v>79</v>
      </c>
      <c r="K327" s="2">
        <f t="shared" si="36"/>
        <v>5</v>
      </c>
      <c r="M327" s="2" cm="1">
        <f t="array" ref="M327">IF(AND('Nom du personnage'!$U$51=Compétences!J327,OR('Nom du personnage'!$C$65:$L$85=Compétences!$M$3,'Nom du personnage'!$Q$65:$Z$85=Compétences!$M$3)),H327,0)</f>
        <v>0</v>
      </c>
      <c r="N327" t="e">
        <f t="shared" si="37"/>
        <v>#N/A</v>
      </c>
      <c r="O327" t="e">
        <f>VLOOKUP(M327,H327:J384,2,FALSE)</f>
        <v>#N/A</v>
      </c>
      <c r="P327">
        <f>'Nom du personnage'!$U$51</f>
        <v>0</v>
      </c>
    </row>
    <row r="328" spans="8:16" hidden="1">
      <c r="H328" s="2" t="s">
        <v>231</v>
      </c>
      <c r="I328" s="2">
        <v>6</v>
      </c>
      <c r="J328" s="2" t="s">
        <v>79</v>
      </c>
      <c r="K328" s="2">
        <f t="shared" si="36"/>
        <v>5</v>
      </c>
      <c r="M328">
        <f t="shared" si="34"/>
        <v>0</v>
      </c>
      <c r="N328" t="e">
        <f t="shared" si="37"/>
        <v>#N/A</v>
      </c>
      <c r="O328" t="e">
        <f t="shared" ref="O328:O366" si="39">VLOOKUP(M328,H328:J385,2,FALSE)+1</f>
        <v>#N/A</v>
      </c>
      <c r="P328">
        <f>'Nom du personnage'!$U$51</f>
        <v>0</v>
      </c>
    </row>
    <row r="329" spans="8:16" hidden="1">
      <c r="H329" s="2" t="s">
        <v>211</v>
      </c>
      <c r="I329" s="2">
        <v>4</v>
      </c>
      <c r="J329" s="2" t="s">
        <v>79</v>
      </c>
      <c r="K329" s="2">
        <f t="shared" si="36"/>
        <v>1</v>
      </c>
      <c r="M329">
        <f t="shared" si="34"/>
        <v>0</v>
      </c>
      <c r="N329" t="e">
        <f t="shared" si="37"/>
        <v>#N/A</v>
      </c>
      <c r="O329" t="e">
        <f t="shared" si="39"/>
        <v>#N/A</v>
      </c>
      <c r="P329">
        <f>'Nom du personnage'!$U$51</f>
        <v>0</v>
      </c>
    </row>
    <row r="330" spans="8:16" hidden="1">
      <c r="H330" s="2" t="s">
        <v>210</v>
      </c>
      <c r="I330" s="2">
        <v>6</v>
      </c>
      <c r="J330" s="2" t="s">
        <v>79</v>
      </c>
      <c r="K330" s="2">
        <f t="shared" si="36"/>
        <v>1</v>
      </c>
      <c r="M330">
        <f t="shared" si="34"/>
        <v>0</v>
      </c>
      <c r="N330" t="e">
        <f t="shared" si="37"/>
        <v>#N/A</v>
      </c>
      <c r="O330" t="e">
        <f t="shared" si="39"/>
        <v>#N/A</v>
      </c>
      <c r="P330">
        <f>'Nom du personnage'!$U$51</f>
        <v>0</v>
      </c>
    </row>
    <row r="331" spans="8:16" hidden="1">
      <c r="H331" s="2" t="s">
        <v>213</v>
      </c>
      <c r="I331" s="2">
        <v>6</v>
      </c>
      <c r="J331" s="2" t="s">
        <v>79</v>
      </c>
      <c r="K331" s="2">
        <f t="shared" si="36"/>
        <v>1</v>
      </c>
      <c r="M331">
        <f t="shared" si="34"/>
        <v>0</v>
      </c>
      <c r="N331" t="e">
        <f t="shared" si="37"/>
        <v>#N/A</v>
      </c>
      <c r="O331" t="e">
        <f t="shared" si="39"/>
        <v>#N/A</v>
      </c>
      <c r="P331">
        <f>'Nom du personnage'!$U$51</f>
        <v>0</v>
      </c>
    </row>
    <row r="332" spans="8:16" hidden="1">
      <c r="H332" s="2" t="s">
        <v>247</v>
      </c>
      <c r="I332" s="2">
        <v>5</v>
      </c>
      <c r="J332" s="2" t="s">
        <v>79</v>
      </c>
      <c r="K332" s="2">
        <f t="shared" si="36"/>
        <v>5</v>
      </c>
      <c r="M332">
        <f>IF('Nom du personnage'!$U$51=Compétences!J332,'Contact marchand'!F3,0)</f>
        <v>0</v>
      </c>
      <c r="N332" t="e">
        <f t="shared" si="37"/>
        <v>#N/A</v>
      </c>
      <c r="O332" t="e">
        <f t="shared" si="39"/>
        <v>#N/A</v>
      </c>
      <c r="P332">
        <f>'Nom du personnage'!$U$51</f>
        <v>0</v>
      </c>
    </row>
    <row r="333" spans="8:16" hidden="1">
      <c r="H333" s="2" t="s">
        <v>248</v>
      </c>
      <c r="I333" s="2">
        <v>5</v>
      </c>
      <c r="J333" s="2" t="s">
        <v>79</v>
      </c>
      <c r="K333" s="2">
        <f t="shared" si="36"/>
        <v>5</v>
      </c>
      <c r="M333">
        <f>IF('Nom du personnage'!$U$51=Compétences!J333,'Contact marchand'!F4,0)</f>
        <v>0</v>
      </c>
      <c r="N333" t="e">
        <f t="shared" si="37"/>
        <v>#N/A</v>
      </c>
      <c r="O333" t="e">
        <f t="shared" si="39"/>
        <v>#N/A</v>
      </c>
      <c r="P333">
        <f>'Nom du personnage'!$U$51</f>
        <v>0</v>
      </c>
    </row>
    <row r="334" spans="8:16" hidden="1">
      <c r="H334" s="2" t="s">
        <v>249</v>
      </c>
      <c r="I334" s="2">
        <v>5</v>
      </c>
      <c r="J334" s="2" t="s">
        <v>79</v>
      </c>
      <c r="K334" s="2">
        <f t="shared" si="36"/>
        <v>5</v>
      </c>
      <c r="M334">
        <f>IF('Nom du personnage'!$U$51=Compétences!J334,'Contact marchand'!F5,0)</f>
        <v>0</v>
      </c>
      <c r="N334" t="e">
        <f t="shared" si="37"/>
        <v>#N/A</v>
      </c>
      <c r="O334" t="e">
        <f t="shared" si="39"/>
        <v>#N/A</v>
      </c>
      <c r="P334">
        <f>'Nom du personnage'!$U$51</f>
        <v>0</v>
      </c>
    </row>
    <row r="335" spans="8:16" hidden="1">
      <c r="H335" s="2" t="s">
        <v>250</v>
      </c>
      <c r="I335" s="2">
        <v>5</v>
      </c>
      <c r="J335" s="2" t="s">
        <v>79</v>
      </c>
      <c r="K335" s="2">
        <f t="shared" si="36"/>
        <v>5</v>
      </c>
      <c r="M335">
        <f>IF('Nom du personnage'!$U$51=Compétences!J335,'Contact marchand'!F6,0)</f>
        <v>0</v>
      </c>
      <c r="N335" t="e">
        <f t="shared" si="37"/>
        <v>#N/A</v>
      </c>
      <c r="O335" t="e">
        <f t="shared" si="39"/>
        <v>#N/A</v>
      </c>
      <c r="P335">
        <f>'Nom du personnage'!$U$51</f>
        <v>0</v>
      </c>
    </row>
    <row r="336" spans="8:16" hidden="1">
      <c r="H336" s="2" t="s">
        <v>251</v>
      </c>
      <c r="I336" s="2">
        <v>6</v>
      </c>
      <c r="J336" s="2" t="s">
        <v>79</v>
      </c>
      <c r="K336" s="2">
        <f t="shared" si="36"/>
        <v>5</v>
      </c>
      <c r="M336">
        <f>IF('Nom du personnage'!$U$51=Compétences!J336,'Contact marchand'!F7,0)</f>
        <v>0</v>
      </c>
      <c r="N336" t="e">
        <f t="shared" si="37"/>
        <v>#N/A</v>
      </c>
      <c r="O336" t="e">
        <f t="shared" si="39"/>
        <v>#N/A</v>
      </c>
      <c r="P336">
        <f>'Nom du personnage'!$U$51</f>
        <v>0</v>
      </c>
    </row>
    <row r="337" spans="8:16" hidden="1">
      <c r="H337" s="2" t="s">
        <v>252</v>
      </c>
      <c r="I337" s="2">
        <v>10</v>
      </c>
      <c r="J337" s="2" t="s">
        <v>79</v>
      </c>
      <c r="K337" s="2">
        <f t="shared" si="36"/>
        <v>5</v>
      </c>
      <c r="M337">
        <f>IF('Nom du personnage'!$U$51=Compétences!J337,'Contact marchand'!F8,0)</f>
        <v>0</v>
      </c>
      <c r="N337" t="e">
        <f t="shared" si="37"/>
        <v>#N/A</v>
      </c>
      <c r="O337" t="e">
        <f t="shared" si="39"/>
        <v>#N/A</v>
      </c>
      <c r="P337">
        <f>'Nom du personnage'!$U$51</f>
        <v>0</v>
      </c>
    </row>
    <row r="338" spans="8:16" hidden="1">
      <c r="H338" s="2" t="s">
        <v>253</v>
      </c>
      <c r="I338" s="2">
        <v>10</v>
      </c>
      <c r="J338" s="2" t="s">
        <v>79</v>
      </c>
      <c r="K338" s="2">
        <f t="shared" si="36"/>
        <v>5</v>
      </c>
      <c r="M338">
        <f>IF('Nom du personnage'!$U$51=Compétences!J338,'Contact marchand'!F9,0)</f>
        <v>0</v>
      </c>
      <c r="N338" t="e">
        <f t="shared" si="37"/>
        <v>#N/A</v>
      </c>
      <c r="O338" t="e">
        <f t="shared" si="39"/>
        <v>#N/A</v>
      </c>
      <c r="P338">
        <f>'Nom du personnage'!$U$51</f>
        <v>0</v>
      </c>
    </row>
    <row r="339" spans="8:16" hidden="1">
      <c r="H339" s="2" t="s">
        <v>254</v>
      </c>
      <c r="I339" s="2">
        <v>6</v>
      </c>
      <c r="J339" s="2" t="s">
        <v>79</v>
      </c>
      <c r="K339" s="2">
        <f t="shared" si="36"/>
        <v>5</v>
      </c>
      <c r="M339">
        <f t="shared" si="34"/>
        <v>0</v>
      </c>
      <c r="N339" t="e">
        <f t="shared" si="37"/>
        <v>#N/A</v>
      </c>
      <c r="O339" t="e">
        <f t="shared" si="39"/>
        <v>#N/A</v>
      </c>
      <c r="P339">
        <f>'Nom du personnage'!$U$51</f>
        <v>0</v>
      </c>
    </row>
    <row r="340" spans="8:16" hidden="1">
      <c r="H340" s="2" t="s">
        <v>255</v>
      </c>
      <c r="I340" s="2">
        <v>5</v>
      </c>
      <c r="J340" s="2" t="s">
        <v>79</v>
      </c>
      <c r="K340" s="2">
        <f t="shared" si="36"/>
        <v>1</v>
      </c>
      <c r="M340">
        <f>IF(AND(J340='Nom du personnage'!$U$51,Concoction!$F$45=TRUE),Compétences!H340,0)</f>
        <v>0</v>
      </c>
      <c r="N340" t="e">
        <f t="shared" si="37"/>
        <v>#N/A</v>
      </c>
      <c r="O340" t="e">
        <f t="shared" si="39"/>
        <v>#N/A</v>
      </c>
      <c r="P340">
        <f>'Nom du personnage'!$U$51</f>
        <v>0</v>
      </c>
    </row>
    <row r="341" spans="8:16" hidden="1">
      <c r="H341" s="2" t="s">
        <v>256</v>
      </c>
      <c r="I341" s="2">
        <v>6</v>
      </c>
      <c r="J341" s="2" t="s">
        <v>79</v>
      </c>
      <c r="K341" s="2">
        <f t="shared" si="36"/>
        <v>5</v>
      </c>
      <c r="M341">
        <f>IF(AND(J341='Nom du personnage'!$U$51,'Lecture et écriture'!$G$99=TRUE),Compétences!H341,0)</f>
        <v>0</v>
      </c>
      <c r="N341" t="e">
        <f t="shared" si="37"/>
        <v>#N/A</v>
      </c>
      <c r="O341" t="e">
        <f t="shared" si="39"/>
        <v>#N/A</v>
      </c>
      <c r="P341">
        <f>'Nom du personnage'!$U$51</f>
        <v>0</v>
      </c>
    </row>
    <row r="342" spans="8:16" hidden="1">
      <c r="H342" s="2" t="s">
        <v>257</v>
      </c>
      <c r="I342" s="2">
        <v>6</v>
      </c>
      <c r="J342" s="2" t="s">
        <v>79</v>
      </c>
      <c r="K342" s="2">
        <f t="shared" si="36"/>
        <v>1</v>
      </c>
      <c r="M342" s="2" cm="1">
        <f t="array" ref="M342">IF(AND(J342='Nom du personnage'!$U$51,OR('Nom du personnage'!$C$65:$L$85=Compétences!$H$19,'Nom du personnage'!$Q$65:$Z$85=Compétences!$H$19)),H342,0)</f>
        <v>0</v>
      </c>
      <c r="N342" t="e">
        <f t="shared" si="37"/>
        <v>#N/A</v>
      </c>
      <c r="O342" t="e">
        <f t="shared" si="39"/>
        <v>#N/A</v>
      </c>
      <c r="P342">
        <f>'Nom du personnage'!$U$51</f>
        <v>0</v>
      </c>
    </row>
    <row r="343" spans="8:16" hidden="1">
      <c r="H343" s="2" t="s">
        <v>212</v>
      </c>
      <c r="I343" s="2">
        <v>6</v>
      </c>
      <c r="J343" s="2" t="s">
        <v>79</v>
      </c>
      <c r="K343" s="2">
        <f t="shared" si="36"/>
        <v>1</v>
      </c>
      <c r="M343">
        <f t="shared" si="34"/>
        <v>0</v>
      </c>
      <c r="N343" t="e">
        <f t="shared" si="37"/>
        <v>#N/A</v>
      </c>
      <c r="O343" t="e">
        <f t="shared" si="39"/>
        <v>#N/A</v>
      </c>
      <c r="P343">
        <f>'Nom du personnage'!$U$51</f>
        <v>0</v>
      </c>
    </row>
    <row r="344" spans="8:16" hidden="1">
      <c r="H344" s="2" t="s">
        <v>241</v>
      </c>
      <c r="I344" s="2">
        <v>6</v>
      </c>
      <c r="J344" s="2" t="s">
        <v>79</v>
      </c>
      <c r="K344" s="2">
        <f t="shared" si="36"/>
        <v>1</v>
      </c>
      <c r="M344">
        <f t="shared" si="34"/>
        <v>0</v>
      </c>
      <c r="N344" t="e">
        <f t="shared" si="37"/>
        <v>#N/A</v>
      </c>
      <c r="O344" t="e">
        <f t="shared" si="39"/>
        <v>#N/A</v>
      </c>
      <c r="P344">
        <f>'Nom du personnage'!$U$51</f>
        <v>0</v>
      </c>
    </row>
    <row r="345" spans="8:16" hidden="1">
      <c r="H345" s="2" t="s">
        <v>258</v>
      </c>
      <c r="I345" s="2">
        <v>5</v>
      </c>
      <c r="J345" s="2" t="s">
        <v>79</v>
      </c>
      <c r="K345" s="2">
        <f t="shared" si="36"/>
        <v>5</v>
      </c>
      <c r="M345" s="2" cm="1">
        <f t="array" ref="M345">IF(AND(J345='Nom du personnage'!$U$51,OR('Nom du personnage'!$C$65:$L$85=Compétences!$H$19,'Nom du personnage'!$Q$65:$Z$85=Compétences!$H$19)),H345,0)</f>
        <v>0</v>
      </c>
      <c r="N345" t="e">
        <f t="shared" si="37"/>
        <v>#N/A</v>
      </c>
      <c r="O345" t="e">
        <f t="shared" si="39"/>
        <v>#N/A</v>
      </c>
      <c r="P345">
        <f>'Nom du personnage'!$U$51</f>
        <v>0</v>
      </c>
    </row>
    <row r="346" spans="8:16" hidden="1">
      <c r="H346" s="2" t="s">
        <v>259</v>
      </c>
      <c r="I346" s="2">
        <v>4</v>
      </c>
      <c r="J346" s="2" t="s">
        <v>79</v>
      </c>
      <c r="K346" s="2">
        <f t="shared" si="36"/>
        <v>5</v>
      </c>
      <c r="M346">
        <f t="shared" si="34"/>
        <v>0</v>
      </c>
      <c r="N346" t="e">
        <f t="shared" si="37"/>
        <v>#N/A</v>
      </c>
      <c r="O346" t="e">
        <f t="shared" si="39"/>
        <v>#N/A</v>
      </c>
      <c r="P346">
        <f>'Nom du personnage'!$U$51</f>
        <v>0</v>
      </c>
    </row>
    <row r="347" spans="8:16" hidden="1">
      <c r="H347" s="2" t="s">
        <v>185</v>
      </c>
      <c r="I347">
        <v>6</v>
      </c>
      <c r="J347" s="2" t="s">
        <v>157</v>
      </c>
      <c r="K347" s="2">
        <f t="shared" si="36"/>
        <v>1</v>
      </c>
      <c r="M347">
        <f t="shared" si="34"/>
        <v>0</v>
      </c>
      <c r="N347" t="e">
        <f t="shared" si="37"/>
        <v>#N/A</v>
      </c>
      <c r="O347" t="e">
        <f t="shared" si="39"/>
        <v>#N/A</v>
      </c>
      <c r="P347">
        <f>'Nom du personnage'!$U$51</f>
        <v>0</v>
      </c>
    </row>
    <row r="348" spans="8:16" hidden="1">
      <c r="H348" s="2" t="s">
        <v>199</v>
      </c>
      <c r="I348">
        <v>6</v>
      </c>
      <c r="J348" s="2" t="s">
        <v>157</v>
      </c>
      <c r="K348" s="2">
        <f t="shared" si="36"/>
        <v>1</v>
      </c>
      <c r="M348" s="2" cm="1">
        <f t="array" ref="M348">IF(AND('Nom du personnage'!U354=Compétences!J348,OR('Nom du personnage'!$C$65:$L$85=Compétences!$M$13,'Nom du personnage'!$Q$65:$Z$85=Compétences!$M$13)),H348,0)</f>
        <v>0</v>
      </c>
      <c r="N348" t="e">
        <f t="shared" si="37"/>
        <v>#N/A</v>
      </c>
      <c r="O348" t="e">
        <f t="shared" si="39"/>
        <v>#N/A</v>
      </c>
      <c r="P348">
        <f>'Nom du personnage'!$U$51</f>
        <v>0</v>
      </c>
    </row>
    <row r="349" spans="8:16" hidden="1">
      <c r="H349" s="2" t="s">
        <v>200</v>
      </c>
      <c r="I349">
        <v>6</v>
      </c>
      <c r="J349" s="2" t="s">
        <v>157</v>
      </c>
      <c r="K349" s="2">
        <f t="shared" si="36"/>
        <v>1</v>
      </c>
      <c r="M349">
        <f t="shared" si="34"/>
        <v>0</v>
      </c>
      <c r="N349" t="e">
        <f t="shared" ref="N349:N380" si="40">VLOOKUP(M349,H349:J406,2,FALSE)</f>
        <v>#N/A</v>
      </c>
      <c r="O349" t="e">
        <f t="shared" si="39"/>
        <v>#N/A</v>
      </c>
      <c r="P349">
        <f>'Nom du personnage'!$U$51</f>
        <v>0</v>
      </c>
    </row>
    <row r="350" spans="8:16" hidden="1">
      <c r="H350" s="2" t="s">
        <v>201</v>
      </c>
      <c r="I350">
        <v>6</v>
      </c>
      <c r="J350" s="2" t="s">
        <v>157</v>
      </c>
      <c r="K350" s="2">
        <f t="shared" si="36"/>
        <v>1</v>
      </c>
      <c r="M350">
        <f t="shared" si="34"/>
        <v>0</v>
      </c>
      <c r="N350" t="e">
        <f t="shared" si="40"/>
        <v>#N/A</v>
      </c>
      <c r="O350" t="e">
        <f t="shared" si="39"/>
        <v>#N/A</v>
      </c>
      <c r="P350">
        <f>'Nom du personnage'!$U$51</f>
        <v>0</v>
      </c>
    </row>
    <row r="351" spans="8:16" hidden="1">
      <c r="H351" s="2" t="s">
        <v>202</v>
      </c>
      <c r="I351">
        <v>5</v>
      </c>
      <c r="J351" s="2" t="s">
        <v>157</v>
      </c>
      <c r="K351" s="2">
        <f t="shared" si="36"/>
        <v>5</v>
      </c>
      <c r="M351">
        <f t="shared" si="34"/>
        <v>0</v>
      </c>
      <c r="N351" t="e">
        <f t="shared" si="40"/>
        <v>#N/A</v>
      </c>
      <c r="O351" t="e">
        <f t="shared" si="39"/>
        <v>#N/A</v>
      </c>
      <c r="P351">
        <f>'Nom du personnage'!$U$51</f>
        <v>0</v>
      </c>
    </row>
    <row r="352" spans="8:16" hidden="1">
      <c r="H352" s="2" t="s">
        <v>203</v>
      </c>
      <c r="I352">
        <v>6</v>
      </c>
      <c r="J352" s="2" t="s">
        <v>157</v>
      </c>
      <c r="K352" s="2">
        <f t="shared" si="36"/>
        <v>5</v>
      </c>
      <c r="M352" s="2" cm="1">
        <f t="array" ref="M352">IF(AND('Nom du personnage'!U224=Compétences!J352,OR('Nom du personnage'!$C$65:$L$85=Compétences!$H$48,'Nom du personnage'!$Q$65:$Z$85=Compétences!$H$48)),H352,0)</f>
        <v>0</v>
      </c>
      <c r="N352" t="e">
        <f t="shared" si="40"/>
        <v>#N/A</v>
      </c>
      <c r="O352" t="e">
        <f t="shared" si="39"/>
        <v>#N/A</v>
      </c>
      <c r="P352">
        <f>'Nom du personnage'!$U$51</f>
        <v>0</v>
      </c>
    </row>
    <row r="353" spans="8:16" hidden="1">
      <c r="H353" s="2" t="s">
        <v>204</v>
      </c>
      <c r="I353">
        <v>4</v>
      </c>
      <c r="J353" s="2" t="s">
        <v>157</v>
      </c>
      <c r="K353" s="2">
        <f t="shared" si="36"/>
        <v>1</v>
      </c>
      <c r="M353">
        <f t="shared" si="34"/>
        <v>0</v>
      </c>
      <c r="N353" t="e">
        <f t="shared" si="40"/>
        <v>#N/A</v>
      </c>
      <c r="O353" t="e">
        <f t="shared" si="39"/>
        <v>#N/A</v>
      </c>
      <c r="P353">
        <f>'Nom du personnage'!$U$51</f>
        <v>0</v>
      </c>
    </row>
    <row r="354" spans="8:16" hidden="1">
      <c r="H354" s="2" t="s">
        <v>205</v>
      </c>
      <c r="I354">
        <v>5</v>
      </c>
      <c r="J354" s="2" t="s">
        <v>157</v>
      </c>
      <c r="K354" s="2">
        <f t="shared" si="36"/>
        <v>5</v>
      </c>
      <c r="M354" s="2" cm="1">
        <f t="array" ref="M354">IF(AND('Nom du personnage'!U354=Compétences!J354,OR('Nom du personnage'!$C$65:$L$85=Compétences!$H$50,'Nom du personnage'!$Q$65:$Z$85=Compétences!$H$50)),H354,0)</f>
        <v>0</v>
      </c>
      <c r="N354" t="e">
        <f t="shared" si="40"/>
        <v>#N/A</v>
      </c>
      <c r="O354" t="e">
        <f t="shared" si="39"/>
        <v>#N/A</v>
      </c>
      <c r="P354">
        <f>'Nom du personnage'!$U$51</f>
        <v>0</v>
      </c>
    </row>
    <row r="355" spans="8:16">
      <c r="H355" s="2" t="s">
        <v>206</v>
      </c>
      <c r="I355">
        <v>3</v>
      </c>
      <c r="J355" s="2" t="s">
        <v>157</v>
      </c>
      <c r="K355" s="2">
        <f t="shared" si="36"/>
        <v>5</v>
      </c>
      <c r="M355" s="2" cm="1">
        <f t="array" ref="M355">IF(AND('Nom du personnage'!U354=Compétences!J355,OR('Nom du personnage'!$C$65:$L$85=Compétences!$M$18,'Nom du personnage'!$Q$65:$Z$85=Compétences!$M$18)),H355,0)</f>
        <v>0</v>
      </c>
      <c r="N355" t="e">
        <f t="shared" si="40"/>
        <v>#N/A</v>
      </c>
      <c r="O355" t="e">
        <f t="shared" si="39"/>
        <v>#N/A</v>
      </c>
      <c r="P355">
        <f>'Nom du personnage'!$U$51</f>
        <v>0</v>
      </c>
    </row>
    <row r="356" spans="8:16" hidden="1">
      <c r="H356" s="2" t="s">
        <v>1005</v>
      </c>
      <c r="I356" s="2">
        <v>2</v>
      </c>
      <c r="J356" s="2" t="s">
        <v>157</v>
      </c>
      <c r="K356" s="2">
        <f t="shared" si="36"/>
        <v>5</v>
      </c>
      <c r="M356" s="2" cm="1">
        <f t="array" ref="M356">IF(AND('Nom du personnage'!$U$51=Compétences!J356,OR('Nom du personnage'!$C$65:$L$85=Compétences!$M$3,'Nom du personnage'!$Q$65:$Z$85=Compétences!$M$3)),H356,0)</f>
        <v>0</v>
      </c>
      <c r="N356" t="e">
        <f t="shared" si="40"/>
        <v>#N/A</v>
      </c>
      <c r="O356" t="e">
        <f t="shared" si="39"/>
        <v>#N/A</v>
      </c>
      <c r="P356">
        <f>'Nom du personnage'!$U$51</f>
        <v>0</v>
      </c>
    </row>
    <row r="357" spans="8:16" hidden="1">
      <c r="H357" s="2" t="s">
        <v>208</v>
      </c>
      <c r="I357" s="2">
        <v>6</v>
      </c>
      <c r="J357" s="2" t="s">
        <v>157</v>
      </c>
      <c r="K357" s="2">
        <f t="shared" si="36"/>
        <v>1</v>
      </c>
      <c r="M357">
        <f t="shared" si="34"/>
        <v>0</v>
      </c>
      <c r="N357" t="e">
        <f t="shared" si="40"/>
        <v>#N/A</v>
      </c>
      <c r="O357" t="e">
        <f t="shared" si="39"/>
        <v>#N/A</v>
      </c>
      <c r="P357">
        <f>'Nom du personnage'!$U$51</f>
        <v>0</v>
      </c>
    </row>
    <row r="358" spans="8:16" hidden="1">
      <c r="H358" s="2" t="s">
        <v>211</v>
      </c>
      <c r="I358" s="2">
        <v>4</v>
      </c>
      <c r="J358" s="2" t="s">
        <v>157</v>
      </c>
      <c r="K358" s="2">
        <f t="shared" si="36"/>
        <v>1</v>
      </c>
      <c r="M358">
        <f t="shared" si="34"/>
        <v>0</v>
      </c>
      <c r="N358" t="e">
        <f t="shared" si="40"/>
        <v>#N/A</v>
      </c>
      <c r="O358" t="e">
        <f t="shared" si="39"/>
        <v>#N/A</v>
      </c>
      <c r="P358">
        <f>'Nom du personnage'!$U$51</f>
        <v>0</v>
      </c>
    </row>
    <row r="359" spans="8:16" hidden="1">
      <c r="H359" s="2" t="s">
        <v>210</v>
      </c>
      <c r="I359" s="2">
        <v>6</v>
      </c>
      <c r="J359" s="2" t="s">
        <v>157</v>
      </c>
      <c r="K359" s="2">
        <f t="shared" si="36"/>
        <v>1</v>
      </c>
      <c r="M359">
        <f t="shared" ref="M359:M422" si="41">IF(P359=J359,H359,)</f>
        <v>0</v>
      </c>
      <c r="N359" t="e">
        <f t="shared" si="40"/>
        <v>#N/A</v>
      </c>
      <c r="O359" t="e">
        <f t="shared" si="39"/>
        <v>#N/A</v>
      </c>
      <c r="P359">
        <f>'Nom du personnage'!$U$51</f>
        <v>0</v>
      </c>
    </row>
    <row r="360" spans="8:16" hidden="1">
      <c r="H360" s="2" t="s">
        <v>213</v>
      </c>
      <c r="I360" s="2">
        <v>6</v>
      </c>
      <c r="J360" s="2" t="s">
        <v>157</v>
      </c>
      <c r="K360" s="2">
        <f t="shared" si="36"/>
        <v>1</v>
      </c>
      <c r="M360">
        <f t="shared" si="41"/>
        <v>0</v>
      </c>
      <c r="N360" t="e">
        <f t="shared" si="40"/>
        <v>#N/A</v>
      </c>
      <c r="O360" t="e">
        <f t="shared" si="39"/>
        <v>#N/A</v>
      </c>
      <c r="P360">
        <f>'Nom du personnage'!$U$51</f>
        <v>0</v>
      </c>
    </row>
    <row r="361" spans="8:16" hidden="1">
      <c r="H361" s="2" t="s">
        <v>232</v>
      </c>
      <c r="I361" s="2">
        <v>5</v>
      </c>
      <c r="J361" s="2" t="s">
        <v>157</v>
      </c>
      <c r="K361" s="2">
        <f t="shared" si="36"/>
        <v>5</v>
      </c>
      <c r="M361">
        <f>IF(AND('Nom du personnage'!$U$51=Compétences!J361,Religion!$D$29=TRUE),Compétences!H361,0)</f>
        <v>0</v>
      </c>
      <c r="N361" t="e">
        <f t="shared" si="40"/>
        <v>#N/A</v>
      </c>
      <c r="O361" t="e">
        <f t="shared" si="39"/>
        <v>#N/A</v>
      </c>
      <c r="P361">
        <f>'Nom du personnage'!$U$51</f>
        <v>0</v>
      </c>
    </row>
    <row r="362" spans="8:16" hidden="1">
      <c r="H362" s="2" t="s">
        <v>233</v>
      </c>
      <c r="I362" s="2">
        <v>6</v>
      </c>
      <c r="J362" s="2" t="s">
        <v>157</v>
      </c>
      <c r="K362" s="2">
        <f t="shared" si="36"/>
        <v>5</v>
      </c>
      <c r="M362">
        <f t="shared" si="41"/>
        <v>0</v>
      </c>
      <c r="N362" t="e">
        <f t="shared" si="40"/>
        <v>#N/A</v>
      </c>
      <c r="O362" t="e">
        <f t="shared" si="39"/>
        <v>#N/A</v>
      </c>
      <c r="P362">
        <f>'Nom du personnage'!$U$51</f>
        <v>0</v>
      </c>
    </row>
    <row r="363" spans="8:16" hidden="1">
      <c r="H363" s="2" t="s">
        <v>234</v>
      </c>
      <c r="I363" s="2">
        <v>6</v>
      </c>
      <c r="J363" s="2" t="s">
        <v>157</v>
      </c>
      <c r="K363" s="2">
        <f t="shared" si="36"/>
        <v>5</v>
      </c>
      <c r="M363">
        <f t="shared" si="41"/>
        <v>0</v>
      </c>
      <c r="N363" t="e">
        <f t="shared" si="40"/>
        <v>#N/A</v>
      </c>
      <c r="O363" t="e">
        <f t="shared" si="39"/>
        <v>#N/A</v>
      </c>
      <c r="P363">
        <f>'Nom du personnage'!$U$51</f>
        <v>0</v>
      </c>
    </row>
    <row r="364" spans="8:16" hidden="1">
      <c r="H364" s="2" t="s">
        <v>235</v>
      </c>
      <c r="I364" s="2">
        <v>6</v>
      </c>
      <c r="J364" s="2" t="s">
        <v>157</v>
      </c>
      <c r="K364" s="2">
        <f t="shared" si="36"/>
        <v>5</v>
      </c>
      <c r="M364">
        <f>IF(AND('Nom du personnage'!$U$51=Compétences!J364,Religion!$D$29),Compétences!H364,0)</f>
        <v>0</v>
      </c>
      <c r="N364" t="e">
        <f t="shared" si="40"/>
        <v>#N/A</v>
      </c>
      <c r="O364" t="e">
        <f t="shared" si="39"/>
        <v>#N/A</v>
      </c>
      <c r="P364">
        <f>'Nom du personnage'!$U$51</f>
        <v>0</v>
      </c>
    </row>
    <row r="365" spans="8:16" hidden="1">
      <c r="H365" s="2" t="s">
        <v>236</v>
      </c>
      <c r="I365" s="2">
        <v>3</v>
      </c>
      <c r="J365" s="2" t="s">
        <v>157</v>
      </c>
      <c r="K365" s="2">
        <f t="shared" ref="K365:K428" si="42">VLOOKUP(H365,$B$3:$D$115,3,FALSE)</f>
        <v>1</v>
      </c>
      <c r="M365">
        <f t="shared" si="41"/>
        <v>0</v>
      </c>
      <c r="N365" t="e">
        <f t="shared" si="40"/>
        <v>#N/A</v>
      </c>
      <c r="O365" t="e">
        <f t="shared" si="39"/>
        <v>#N/A</v>
      </c>
      <c r="P365">
        <f>'Nom du personnage'!$U$51</f>
        <v>0</v>
      </c>
    </row>
    <row r="366" spans="8:16" hidden="1">
      <c r="H366" s="2" t="s">
        <v>237</v>
      </c>
      <c r="I366" s="2">
        <v>5</v>
      </c>
      <c r="J366" s="2" t="s">
        <v>157</v>
      </c>
      <c r="K366" s="2">
        <f t="shared" si="42"/>
        <v>1</v>
      </c>
      <c r="M366">
        <f t="shared" si="41"/>
        <v>0</v>
      </c>
      <c r="N366" t="e">
        <f t="shared" si="40"/>
        <v>#N/A</v>
      </c>
      <c r="O366" t="e">
        <f t="shared" si="39"/>
        <v>#N/A</v>
      </c>
      <c r="P366">
        <f>'Nom du personnage'!$U$51</f>
        <v>0</v>
      </c>
    </row>
    <row r="367" spans="8:16" hidden="1">
      <c r="H367" s="2" t="s">
        <v>209</v>
      </c>
      <c r="I367" s="2">
        <v>4</v>
      </c>
      <c r="J367" s="2" t="s">
        <v>157</v>
      </c>
      <c r="K367" s="2">
        <f t="shared" si="42"/>
        <v>1</v>
      </c>
      <c r="M367">
        <f t="shared" si="41"/>
        <v>0</v>
      </c>
      <c r="N367" t="e">
        <f t="shared" si="40"/>
        <v>#N/A</v>
      </c>
      <c r="O367" t="e">
        <f>VLOOKUP(M367,H367:J424,2,FALSE)</f>
        <v>#N/A</v>
      </c>
      <c r="P367">
        <f>'Nom du personnage'!$U$51</f>
        <v>0</v>
      </c>
    </row>
    <row r="368" spans="8:16" hidden="1">
      <c r="H368" s="2" t="s">
        <v>238</v>
      </c>
      <c r="I368" s="2">
        <v>3</v>
      </c>
      <c r="J368" s="2" t="s">
        <v>157</v>
      </c>
      <c r="K368" s="2">
        <f t="shared" si="42"/>
        <v>1</v>
      </c>
      <c r="M368">
        <f t="shared" si="41"/>
        <v>0</v>
      </c>
      <c r="N368" t="e">
        <f t="shared" si="40"/>
        <v>#N/A</v>
      </c>
      <c r="O368" t="e">
        <f>VLOOKUP(M368,H368:J425,2,FALSE)+1</f>
        <v>#N/A</v>
      </c>
      <c r="P368">
        <f>'Nom du personnage'!$U$51</f>
        <v>0</v>
      </c>
    </row>
    <row r="369" spans="8:16" hidden="1">
      <c r="H369" s="2" t="s">
        <v>239</v>
      </c>
      <c r="I369" s="2">
        <v>5</v>
      </c>
      <c r="J369" s="2" t="s">
        <v>157</v>
      </c>
      <c r="K369" s="2">
        <f t="shared" si="42"/>
        <v>1</v>
      </c>
      <c r="M369">
        <f t="shared" si="41"/>
        <v>0</v>
      </c>
      <c r="N369" t="e">
        <f t="shared" si="40"/>
        <v>#N/A</v>
      </c>
      <c r="O369" t="e">
        <f>VLOOKUP(M369,H369:J426,2,FALSE)+1</f>
        <v>#N/A</v>
      </c>
      <c r="P369">
        <f>'Nom du personnage'!$U$51</f>
        <v>0</v>
      </c>
    </row>
    <row r="370" spans="8:16" hidden="1">
      <c r="H370" s="2" t="s">
        <v>212</v>
      </c>
      <c r="I370" s="2">
        <v>6</v>
      </c>
      <c r="J370" s="2" t="s">
        <v>157</v>
      </c>
      <c r="K370" s="2">
        <f t="shared" si="42"/>
        <v>1</v>
      </c>
      <c r="M370">
        <f t="shared" si="41"/>
        <v>0</v>
      </c>
      <c r="N370" t="e">
        <f t="shared" si="40"/>
        <v>#N/A</v>
      </c>
      <c r="O370" t="e">
        <f>VLOOKUP(M370,H370:J427,2,FALSE)</f>
        <v>#N/A</v>
      </c>
      <c r="P370">
        <f>'Nom du personnage'!$U$51</f>
        <v>0</v>
      </c>
    </row>
    <row r="371" spans="8:16" hidden="1">
      <c r="H371" s="2" t="s">
        <v>240</v>
      </c>
      <c r="I371" s="2">
        <v>6</v>
      </c>
      <c r="J371" s="2" t="s">
        <v>157</v>
      </c>
      <c r="K371" s="2">
        <f t="shared" si="42"/>
        <v>1</v>
      </c>
      <c r="M371">
        <f t="shared" si="41"/>
        <v>0</v>
      </c>
      <c r="N371" t="e">
        <f t="shared" si="40"/>
        <v>#N/A</v>
      </c>
      <c r="O371" t="e">
        <f t="shared" ref="O371:O381" si="43">VLOOKUP(M371,H371:J428,2,FALSE)+1</f>
        <v>#N/A</v>
      </c>
      <c r="P371">
        <f>'Nom du personnage'!$U$51</f>
        <v>0</v>
      </c>
    </row>
    <row r="372" spans="8:16" hidden="1">
      <c r="H372" s="2" t="s">
        <v>241</v>
      </c>
      <c r="I372" s="2">
        <v>6</v>
      </c>
      <c r="J372" s="2" t="s">
        <v>157</v>
      </c>
      <c r="K372" s="2">
        <f t="shared" si="42"/>
        <v>1</v>
      </c>
      <c r="M372">
        <f t="shared" si="41"/>
        <v>0</v>
      </c>
      <c r="N372" t="e">
        <f t="shared" si="40"/>
        <v>#N/A</v>
      </c>
      <c r="O372" t="e">
        <f t="shared" si="43"/>
        <v>#N/A</v>
      </c>
      <c r="P372">
        <f>'Nom du personnage'!$U$51</f>
        <v>0</v>
      </c>
    </row>
    <row r="373" spans="8:16" hidden="1">
      <c r="H373" s="2" t="s">
        <v>242</v>
      </c>
      <c r="I373" s="2">
        <v>6</v>
      </c>
      <c r="J373" s="2" t="s">
        <v>157</v>
      </c>
      <c r="K373" s="2">
        <f t="shared" si="42"/>
        <v>5</v>
      </c>
      <c r="M373">
        <f t="shared" si="41"/>
        <v>0</v>
      </c>
      <c r="N373" t="e">
        <f t="shared" si="40"/>
        <v>#N/A</v>
      </c>
      <c r="O373" t="e">
        <f t="shared" si="43"/>
        <v>#N/A</v>
      </c>
      <c r="P373">
        <f>'Nom du personnage'!$U$51</f>
        <v>0</v>
      </c>
    </row>
    <row r="374" spans="8:16" hidden="1">
      <c r="H374" s="2" t="s">
        <v>243</v>
      </c>
      <c r="I374" s="2">
        <v>5</v>
      </c>
      <c r="J374" s="2" t="s">
        <v>157</v>
      </c>
      <c r="K374" s="2">
        <f t="shared" si="42"/>
        <v>1</v>
      </c>
      <c r="M374">
        <f t="shared" si="41"/>
        <v>0</v>
      </c>
      <c r="N374" t="e">
        <f t="shared" si="40"/>
        <v>#N/A</v>
      </c>
      <c r="O374" t="e">
        <f t="shared" si="43"/>
        <v>#N/A</v>
      </c>
      <c r="P374">
        <f>'Nom du personnage'!$U$51</f>
        <v>0</v>
      </c>
    </row>
    <row r="375" spans="8:16" hidden="1">
      <c r="H375" s="2" t="s">
        <v>244</v>
      </c>
      <c r="I375" s="2">
        <v>5</v>
      </c>
      <c r="J375" s="2" t="s">
        <v>157</v>
      </c>
      <c r="K375" s="2">
        <f t="shared" si="42"/>
        <v>5</v>
      </c>
      <c r="M375" s="2" cm="1">
        <f t="array" ref="M375">IF(AND('Nom du personnage'!$U$51=Compétences!J375,OR('Nom du personnage'!$C$65:$L$85=Compétences!$H$89,'Nom du personnage'!$Q$65:$Z$85=Compétences!$H$89)),H375,0)</f>
        <v>0</v>
      </c>
      <c r="N375" t="e">
        <f t="shared" si="40"/>
        <v>#N/A</v>
      </c>
      <c r="O375" t="e">
        <f t="shared" si="43"/>
        <v>#N/A</v>
      </c>
      <c r="P375">
        <f>'Nom du personnage'!$U$51</f>
        <v>0</v>
      </c>
    </row>
    <row r="376" spans="8:16" hidden="1">
      <c r="H376" s="2" t="s">
        <v>245</v>
      </c>
      <c r="I376" s="2">
        <v>2</v>
      </c>
      <c r="J376" s="2" t="s">
        <v>157</v>
      </c>
      <c r="K376" s="2">
        <f t="shared" si="42"/>
        <v>5</v>
      </c>
      <c r="M376">
        <f t="shared" si="41"/>
        <v>0</v>
      </c>
      <c r="N376" t="e">
        <f t="shared" si="40"/>
        <v>#N/A</v>
      </c>
      <c r="O376" t="e">
        <f t="shared" si="43"/>
        <v>#N/A</v>
      </c>
      <c r="P376">
        <f>'Nom du personnage'!$U$51</f>
        <v>0</v>
      </c>
    </row>
    <row r="377" spans="8:16" hidden="1">
      <c r="H377" s="2" t="s">
        <v>247</v>
      </c>
      <c r="I377" s="2">
        <v>5</v>
      </c>
      <c r="J377" s="2" t="s">
        <v>85</v>
      </c>
      <c r="K377" s="2">
        <f t="shared" si="42"/>
        <v>5</v>
      </c>
      <c r="M377">
        <f>IF('Nom du personnage'!$U$51=Compétences!J377,'Contact marchand'!F3,0)</f>
        <v>0</v>
      </c>
      <c r="N377" t="e">
        <f t="shared" si="40"/>
        <v>#N/A</v>
      </c>
      <c r="O377" t="e">
        <f t="shared" si="43"/>
        <v>#N/A</v>
      </c>
      <c r="P377">
        <f>'Nom du personnage'!$U$51</f>
        <v>0</v>
      </c>
    </row>
    <row r="378" spans="8:16" hidden="1">
      <c r="H378" s="2" t="s">
        <v>248</v>
      </c>
      <c r="I378" s="2">
        <v>5</v>
      </c>
      <c r="J378" s="2" t="s">
        <v>85</v>
      </c>
      <c r="K378" s="2">
        <f t="shared" si="42"/>
        <v>5</v>
      </c>
      <c r="M378">
        <f>IF('Nom du personnage'!$U$51=Compétences!J378,'Contact marchand'!F4,0)</f>
        <v>0</v>
      </c>
      <c r="N378" t="e">
        <f t="shared" si="40"/>
        <v>#N/A</v>
      </c>
      <c r="O378" t="e">
        <f t="shared" si="43"/>
        <v>#N/A</v>
      </c>
      <c r="P378">
        <f>'Nom du personnage'!$U$51</f>
        <v>0</v>
      </c>
    </row>
    <row r="379" spans="8:16" hidden="1">
      <c r="H379" s="2" t="s">
        <v>249</v>
      </c>
      <c r="I379" s="2">
        <v>5</v>
      </c>
      <c r="J379" s="2" t="s">
        <v>85</v>
      </c>
      <c r="K379" s="2">
        <f t="shared" si="42"/>
        <v>5</v>
      </c>
      <c r="M379">
        <f>IF('Nom du personnage'!$U$51=Compétences!J379,'Contact marchand'!F5,0)</f>
        <v>0</v>
      </c>
      <c r="N379" t="e">
        <f t="shared" si="40"/>
        <v>#N/A</v>
      </c>
      <c r="O379" t="e">
        <f t="shared" si="43"/>
        <v>#N/A</v>
      </c>
      <c r="P379">
        <f>'Nom du personnage'!$U$51</f>
        <v>0</v>
      </c>
    </row>
    <row r="380" spans="8:16" hidden="1">
      <c r="H380" s="2" t="s">
        <v>250</v>
      </c>
      <c r="I380" s="2">
        <v>5</v>
      </c>
      <c r="J380" s="2" t="s">
        <v>85</v>
      </c>
      <c r="K380" s="2">
        <f t="shared" si="42"/>
        <v>5</v>
      </c>
      <c r="M380">
        <f>IF('Nom du personnage'!$U$51=Compétences!J380,'Contact marchand'!F6,0)</f>
        <v>0</v>
      </c>
      <c r="N380" t="e">
        <f t="shared" si="40"/>
        <v>#N/A</v>
      </c>
      <c r="O380" t="e">
        <f t="shared" si="43"/>
        <v>#N/A</v>
      </c>
      <c r="P380">
        <f>'Nom du personnage'!$U$51</f>
        <v>0</v>
      </c>
    </row>
    <row r="381" spans="8:16" hidden="1">
      <c r="H381" s="2" t="s">
        <v>251</v>
      </c>
      <c r="I381" s="2">
        <v>6</v>
      </c>
      <c r="J381" s="2" t="s">
        <v>85</v>
      </c>
      <c r="K381" s="2">
        <f t="shared" si="42"/>
        <v>5</v>
      </c>
      <c r="M381">
        <f>IF('Nom du personnage'!$U$51=Compétences!J381,'Contact marchand'!F7,0)</f>
        <v>0</v>
      </c>
      <c r="N381" t="e">
        <f t="shared" ref="N381" si="44">VLOOKUP(M381,H381:J438,2,FALSE)</f>
        <v>#N/A</v>
      </c>
      <c r="O381" t="e">
        <f t="shared" si="43"/>
        <v>#N/A</v>
      </c>
      <c r="P381">
        <f>'Nom du personnage'!$U$51</f>
        <v>0</v>
      </c>
    </row>
    <row r="382" spans="8:16" hidden="1">
      <c r="H382" s="2" t="s">
        <v>252</v>
      </c>
      <c r="I382" s="2">
        <v>10</v>
      </c>
      <c r="J382" s="2" t="s">
        <v>85</v>
      </c>
      <c r="K382" s="2">
        <f t="shared" si="42"/>
        <v>5</v>
      </c>
      <c r="M382">
        <f>IF('Nom du personnage'!$U$51=Compétences!J382,'Contact marchand'!F8,0)</f>
        <v>0</v>
      </c>
      <c r="N382" t="e">
        <f t="shared" ref="N382:N413" si="45">VLOOKUP(M382,H382:J438,2,FALSE)</f>
        <v>#N/A</v>
      </c>
      <c r="O382" t="e">
        <f t="shared" ref="O382:O402" si="46">VLOOKUP(M382,H382:J438,2,FALSE)+1</f>
        <v>#N/A</v>
      </c>
      <c r="P382">
        <f>'Nom du personnage'!$U$51</f>
        <v>0</v>
      </c>
    </row>
    <row r="383" spans="8:16" hidden="1">
      <c r="H383" s="2" t="s">
        <v>253</v>
      </c>
      <c r="I383" s="2">
        <v>10</v>
      </c>
      <c r="J383" s="2" t="s">
        <v>85</v>
      </c>
      <c r="K383" s="2">
        <f t="shared" si="42"/>
        <v>5</v>
      </c>
      <c r="M383">
        <f>IF('Nom du personnage'!$U$51=Compétences!J383,'Contact marchand'!F9,0)</f>
        <v>0</v>
      </c>
      <c r="N383" t="e">
        <f t="shared" si="45"/>
        <v>#N/A</v>
      </c>
      <c r="O383" t="e">
        <f t="shared" si="46"/>
        <v>#N/A</v>
      </c>
      <c r="P383">
        <f>'Nom du personnage'!$U$51</f>
        <v>0</v>
      </c>
    </row>
    <row r="384" spans="8:16" hidden="1">
      <c r="H384" s="2" t="s">
        <v>254</v>
      </c>
      <c r="I384" s="2">
        <v>6</v>
      </c>
      <c r="J384" s="2" t="s">
        <v>85</v>
      </c>
      <c r="K384" s="2">
        <f t="shared" si="42"/>
        <v>5</v>
      </c>
      <c r="M384">
        <f t="shared" si="41"/>
        <v>0</v>
      </c>
      <c r="N384" t="e">
        <f t="shared" si="45"/>
        <v>#N/A</v>
      </c>
      <c r="O384" t="e">
        <f t="shared" si="46"/>
        <v>#N/A</v>
      </c>
      <c r="P384">
        <f>'Nom du personnage'!$U$51</f>
        <v>0</v>
      </c>
    </row>
    <row r="385" spans="8:16" hidden="1">
      <c r="H385" s="2" t="s">
        <v>255</v>
      </c>
      <c r="I385" s="2">
        <v>5</v>
      </c>
      <c r="J385" s="2" t="s">
        <v>85</v>
      </c>
      <c r="K385" s="2">
        <f t="shared" si="42"/>
        <v>1</v>
      </c>
      <c r="M385">
        <f>IF(AND(J385='Nom du personnage'!$U$51,Concoction!$F$45=TRUE),Compétences!H385,0)</f>
        <v>0</v>
      </c>
      <c r="N385" t="e">
        <f t="shared" si="45"/>
        <v>#N/A</v>
      </c>
      <c r="O385" t="e">
        <f t="shared" si="46"/>
        <v>#N/A</v>
      </c>
      <c r="P385">
        <f>'Nom du personnage'!$U$51</f>
        <v>0</v>
      </c>
    </row>
    <row r="386" spans="8:16" hidden="1">
      <c r="H386" s="2" t="s">
        <v>256</v>
      </c>
      <c r="I386" s="2">
        <v>6</v>
      </c>
      <c r="J386" s="2" t="s">
        <v>85</v>
      </c>
      <c r="K386" s="2">
        <f t="shared" si="42"/>
        <v>5</v>
      </c>
      <c r="M386">
        <f>IF(AND(J386='Nom du personnage'!$U$51,'Lecture et écriture'!$G$99=TRUE),Compétences!H386,0)</f>
        <v>0</v>
      </c>
      <c r="N386" t="e">
        <f t="shared" si="45"/>
        <v>#N/A</v>
      </c>
      <c r="O386" t="e">
        <f t="shared" si="46"/>
        <v>#N/A</v>
      </c>
      <c r="P386">
        <f>'Nom du personnage'!$U$51</f>
        <v>0</v>
      </c>
    </row>
    <row r="387" spans="8:16" hidden="1">
      <c r="H387" s="2" t="s">
        <v>257</v>
      </c>
      <c r="I387" s="2">
        <v>6</v>
      </c>
      <c r="J387" s="2" t="s">
        <v>85</v>
      </c>
      <c r="K387" s="2">
        <f t="shared" si="42"/>
        <v>1</v>
      </c>
      <c r="M387" s="2" cm="1">
        <f t="array" ref="M387">IF(AND(J387='Nom du personnage'!$U$51,OR('Nom du personnage'!$C$65:$L$85=Compétences!$H$19,'Nom du personnage'!$Q$65:$Z$85=Compétences!$H$19)),H387,0)</f>
        <v>0</v>
      </c>
      <c r="N387" t="e">
        <f t="shared" si="45"/>
        <v>#N/A</v>
      </c>
      <c r="O387" t="e">
        <f t="shared" si="46"/>
        <v>#N/A</v>
      </c>
      <c r="P387">
        <f>'Nom du personnage'!$U$51</f>
        <v>0</v>
      </c>
    </row>
    <row r="388" spans="8:16" hidden="1">
      <c r="H388" s="2" t="s">
        <v>1005</v>
      </c>
      <c r="I388" s="2">
        <v>2</v>
      </c>
      <c r="J388" s="2" t="s">
        <v>85</v>
      </c>
      <c r="K388" s="2">
        <f t="shared" si="42"/>
        <v>5</v>
      </c>
      <c r="M388" s="2" cm="1">
        <f t="array" ref="M388">IF(AND('Nom du personnage'!$U$51=Compétences!J388,OR('Nom du personnage'!$C$65:$L$85=Compétences!$M$3,'Nom du personnage'!$Q$65:$Z$85=Compétences!$M$3)),H388,0)</f>
        <v>0</v>
      </c>
      <c r="N388" t="e">
        <f t="shared" si="45"/>
        <v>#N/A</v>
      </c>
      <c r="O388" t="e">
        <f t="shared" si="46"/>
        <v>#N/A</v>
      </c>
      <c r="P388">
        <f>'Nom du personnage'!$U$51</f>
        <v>0</v>
      </c>
    </row>
    <row r="389" spans="8:16" hidden="1">
      <c r="H389" s="2" t="s">
        <v>212</v>
      </c>
      <c r="I389" s="2">
        <v>6</v>
      </c>
      <c r="J389" s="2" t="s">
        <v>85</v>
      </c>
      <c r="K389" s="2">
        <f t="shared" si="42"/>
        <v>1</v>
      </c>
      <c r="M389">
        <f t="shared" si="41"/>
        <v>0</v>
      </c>
      <c r="N389" t="e">
        <f t="shared" si="45"/>
        <v>#N/A</v>
      </c>
      <c r="O389" t="e">
        <f t="shared" si="46"/>
        <v>#N/A</v>
      </c>
      <c r="P389">
        <f>'Nom du personnage'!$U$51</f>
        <v>0</v>
      </c>
    </row>
    <row r="390" spans="8:16" hidden="1">
      <c r="H390" s="2" t="s">
        <v>241</v>
      </c>
      <c r="I390" s="2">
        <v>6</v>
      </c>
      <c r="J390" s="2" t="s">
        <v>85</v>
      </c>
      <c r="K390" s="2">
        <f t="shared" si="42"/>
        <v>1</v>
      </c>
      <c r="M390">
        <f t="shared" si="41"/>
        <v>0</v>
      </c>
      <c r="N390" t="e">
        <f t="shared" si="45"/>
        <v>#N/A</v>
      </c>
      <c r="O390" t="e">
        <f t="shared" si="46"/>
        <v>#N/A</v>
      </c>
      <c r="P390">
        <f>'Nom du personnage'!$U$51</f>
        <v>0</v>
      </c>
    </row>
    <row r="391" spans="8:16" hidden="1">
      <c r="H391" s="2" t="s">
        <v>258</v>
      </c>
      <c r="I391" s="2">
        <v>5</v>
      </c>
      <c r="J391" s="2" t="s">
        <v>85</v>
      </c>
      <c r="K391" s="2">
        <f t="shared" si="42"/>
        <v>5</v>
      </c>
      <c r="M391" s="2" cm="1">
        <f t="array" ref="M391">IF(AND(J391='Nom du personnage'!$U$51,OR('Nom du personnage'!$C$65:$L$85=Compétences!$H$19,'Nom du personnage'!$Q$65:$Z$85=Compétences!$H$19)),H391,0)</f>
        <v>0</v>
      </c>
      <c r="N391" t="e">
        <f t="shared" si="45"/>
        <v>#N/A</v>
      </c>
      <c r="O391" t="e">
        <f t="shared" si="46"/>
        <v>#N/A</v>
      </c>
      <c r="P391">
        <f>'Nom du personnage'!$U$51</f>
        <v>0</v>
      </c>
    </row>
    <row r="392" spans="8:16" hidden="1">
      <c r="H392" s="2" t="s">
        <v>259</v>
      </c>
      <c r="I392" s="2">
        <v>4</v>
      </c>
      <c r="J392" s="2" t="s">
        <v>85</v>
      </c>
      <c r="K392" s="2">
        <f t="shared" si="42"/>
        <v>5</v>
      </c>
      <c r="M392">
        <f t="shared" si="41"/>
        <v>0</v>
      </c>
      <c r="N392" t="e">
        <f t="shared" si="45"/>
        <v>#N/A</v>
      </c>
      <c r="O392" t="e">
        <f t="shared" si="46"/>
        <v>#N/A</v>
      </c>
      <c r="P392">
        <f>'Nom du personnage'!$U$51</f>
        <v>0</v>
      </c>
    </row>
    <row r="393" spans="8:16" hidden="1">
      <c r="H393" s="2" t="s">
        <v>260</v>
      </c>
      <c r="I393" s="2">
        <v>4</v>
      </c>
      <c r="J393" s="2" t="s">
        <v>85</v>
      </c>
      <c r="K393" s="2">
        <f t="shared" si="42"/>
        <v>1</v>
      </c>
      <c r="M393">
        <f t="shared" si="41"/>
        <v>0</v>
      </c>
      <c r="N393" t="e">
        <f t="shared" si="45"/>
        <v>#N/A</v>
      </c>
      <c r="O393" t="e">
        <f t="shared" si="46"/>
        <v>#N/A</v>
      </c>
      <c r="P393">
        <f>'Nom du personnage'!$U$51</f>
        <v>0</v>
      </c>
    </row>
    <row r="394" spans="8:16" hidden="1">
      <c r="H394" s="2" t="s">
        <v>261</v>
      </c>
      <c r="I394" s="2">
        <v>5</v>
      </c>
      <c r="J394" s="2" t="s">
        <v>85</v>
      </c>
      <c r="K394" s="2">
        <f t="shared" si="42"/>
        <v>1</v>
      </c>
      <c r="M394">
        <f>IF(AND(Religion!$D$29=TRUE,'Nom du personnage'!$F$60&lt;&gt;Données!$N$4,J394='Nom du personnage'!$U$51),Compétences!H394,0)</f>
        <v>0</v>
      </c>
      <c r="N394" t="e">
        <f t="shared" si="45"/>
        <v>#N/A</v>
      </c>
      <c r="O394" t="e">
        <f t="shared" si="46"/>
        <v>#N/A</v>
      </c>
      <c r="P394">
        <f>'Nom du personnage'!$U$51</f>
        <v>0</v>
      </c>
    </row>
    <row r="395" spans="8:16" hidden="1">
      <c r="H395" s="2" t="s">
        <v>232</v>
      </c>
      <c r="I395" s="2">
        <v>5</v>
      </c>
      <c r="J395" s="2" t="s">
        <v>85</v>
      </c>
      <c r="K395" s="2">
        <f t="shared" si="42"/>
        <v>5</v>
      </c>
      <c r="M395">
        <f>IF(AND('Nom du personnage'!$U$51=Compétences!J395,Religion!$D$29=TRUE),Compétences!H395,0)</f>
        <v>0</v>
      </c>
      <c r="N395" t="e">
        <f t="shared" si="45"/>
        <v>#N/A</v>
      </c>
      <c r="O395" t="e">
        <f t="shared" si="46"/>
        <v>#N/A</v>
      </c>
      <c r="P395">
        <f>'Nom du personnage'!$U$51</f>
        <v>0</v>
      </c>
    </row>
    <row r="396" spans="8:16" hidden="1">
      <c r="H396" s="2" t="s">
        <v>262</v>
      </c>
      <c r="I396" s="2">
        <v>5</v>
      </c>
      <c r="J396" s="2" t="s">
        <v>85</v>
      </c>
      <c r="K396" s="2">
        <f t="shared" si="42"/>
        <v>1</v>
      </c>
      <c r="M396">
        <f t="shared" si="41"/>
        <v>0</v>
      </c>
      <c r="N396" t="e">
        <f t="shared" si="45"/>
        <v>#N/A</v>
      </c>
      <c r="O396" t="e">
        <f t="shared" si="46"/>
        <v>#N/A</v>
      </c>
      <c r="P396">
        <f>'Nom du personnage'!$U$51</f>
        <v>0</v>
      </c>
    </row>
    <row r="397" spans="8:16" hidden="1">
      <c r="H397" s="2" t="s">
        <v>233</v>
      </c>
      <c r="I397" s="2">
        <v>6</v>
      </c>
      <c r="J397" s="2" t="s">
        <v>85</v>
      </c>
      <c r="K397" s="2">
        <f t="shared" si="42"/>
        <v>5</v>
      </c>
      <c r="M397">
        <f t="shared" si="41"/>
        <v>0</v>
      </c>
      <c r="N397" t="e">
        <f t="shared" si="45"/>
        <v>#N/A</v>
      </c>
      <c r="O397" t="e">
        <f t="shared" si="46"/>
        <v>#N/A</v>
      </c>
      <c r="P397">
        <f>'Nom du personnage'!$U$51</f>
        <v>0</v>
      </c>
    </row>
    <row r="398" spans="8:16" hidden="1">
      <c r="H398" s="2" t="s">
        <v>235</v>
      </c>
      <c r="I398" s="2">
        <v>6</v>
      </c>
      <c r="J398" s="2" t="s">
        <v>85</v>
      </c>
      <c r="K398" s="2">
        <f t="shared" si="42"/>
        <v>5</v>
      </c>
      <c r="M398">
        <f>IF(AND('Nom du personnage'!$U$51=Compétences!J398,Religion!$D$29),Compétences!H398,0)</f>
        <v>0</v>
      </c>
      <c r="N398" t="e">
        <f t="shared" si="45"/>
        <v>#N/A</v>
      </c>
      <c r="O398" t="e">
        <f t="shared" si="46"/>
        <v>#N/A</v>
      </c>
      <c r="P398">
        <f>'Nom du personnage'!$U$51</f>
        <v>0</v>
      </c>
    </row>
    <row r="399" spans="8:16" hidden="1">
      <c r="H399" s="2" t="s">
        <v>236</v>
      </c>
      <c r="I399" s="2">
        <v>3</v>
      </c>
      <c r="J399" s="2" t="s">
        <v>85</v>
      </c>
      <c r="K399" s="2">
        <f t="shared" si="42"/>
        <v>1</v>
      </c>
      <c r="M399">
        <f t="shared" si="41"/>
        <v>0</v>
      </c>
      <c r="N399" t="e">
        <f t="shared" si="45"/>
        <v>#N/A</v>
      </c>
      <c r="O399" t="e">
        <f t="shared" si="46"/>
        <v>#N/A</v>
      </c>
      <c r="P399">
        <f>'Nom du personnage'!$U$51</f>
        <v>0</v>
      </c>
    </row>
    <row r="400" spans="8:16" hidden="1">
      <c r="H400" s="2" t="s">
        <v>237</v>
      </c>
      <c r="I400" s="2">
        <v>5</v>
      </c>
      <c r="J400" s="2" t="s">
        <v>85</v>
      </c>
      <c r="K400" s="2">
        <f t="shared" si="42"/>
        <v>1</v>
      </c>
      <c r="M400">
        <f t="shared" si="41"/>
        <v>0</v>
      </c>
      <c r="N400" t="e">
        <f t="shared" si="45"/>
        <v>#N/A</v>
      </c>
      <c r="O400" t="e">
        <f t="shared" si="46"/>
        <v>#N/A</v>
      </c>
      <c r="P400">
        <f>'Nom du personnage'!$U$51</f>
        <v>0</v>
      </c>
    </row>
    <row r="401" spans="8:16" hidden="1">
      <c r="H401" s="2" t="s">
        <v>238</v>
      </c>
      <c r="I401" s="2">
        <v>3</v>
      </c>
      <c r="J401" s="2" t="s">
        <v>85</v>
      </c>
      <c r="K401" s="2">
        <f t="shared" si="42"/>
        <v>1</v>
      </c>
      <c r="M401">
        <f t="shared" si="41"/>
        <v>0</v>
      </c>
      <c r="N401" t="e">
        <f t="shared" si="45"/>
        <v>#N/A</v>
      </c>
      <c r="O401" t="e">
        <f t="shared" si="46"/>
        <v>#N/A</v>
      </c>
      <c r="P401">
        <f>'Nom du personnage'!$U$51</f>
        <v>0</v>
      </c>
    </row>
    <row r="402" spans="8:16" hidden="1">
      <c r="H402" s="2" t="s">
        <v>240</v>
      </c>
      <c r="I402" s="2">
        <v>6</v>
      </c>
      <c r="J402" s="2" t="s">
        <v>85</v>
      </c>
      <c r="K402" s="2">
        <f t="shared" si="42"/>
        <v>1</v>
      </c>
      <c r="M402">
        <f t="shared" si="41"/>
        <v>0</v>
      </c>
      <c r="N402" t="e">
        <f t="shared" si="45"/>
        <v>#N/A</v>
      </c>
      <c r="O402" t="e">
        <f t="shared" si="46"/>
        <v>#N/A</v>
      </c>
      <c r="P402">
        <f>'Nom du personnage'!$U$51</f>
        <v>0</v>
      </c>
    </row>
    <row r="403" spans="8:16" hidden="1">
      <c r="H403" s="2" t="s">
        <v>241</v>
      </c>
      <c r="I403" s="2">
        <v>6</v>
      </c>
      <c r="J403" s="2" t="s">
        <v>85</v>
      </c>
      <c r="K403" s="2">
        <f t="shared" si="42"/>
        <v>1</v>
      </c>
      <c r="M403">
        <f t="shared" si="41"/>
        <v>0</v>
      </c>
      <c r="N403" t="e">
        <f t="shared" si="45"/>
        <v>#N/A</v>
      </c>
      <c r="O403" t="e">
        <f>VLOOKUP(M403,H403:J459,2,FALSE)</f>
        <v>#N/A</v>
      </c>
      <c r="P403">
        <f>'Nom du personnage'!$U$51</f>
        <v>0</v>
      </c>
    </row>
    <row r="404" spans="8:16" hidden="1">
      <c r="H404" s="2" t="s">
        <v>242</v>
      </c>
      <c r="I404" s="2">
        <v>6</v>
      </c>
      <c r="J404" s="2" t="s">
        <v>85</v>
      </c>
      <c r="K404" s="2">
        <f t="shared" si="42"/>
        <v>5</v>
      </c>
      <c r="M404">
        <f t="shared" si="41"/>
        <v>0</v>
      </c>
      <c r="N404" t="e">
        <f t="shared" si="45"/>
        <v>#N/A</v>
      </c>
      <c r="O404" t="e">
        <f t="shared" ref="O404:O438" si="47">VLOOKUP(M404,H404:J460,2,FALSE)+1</f>
        <v>#N/A</v>
      </c>
      <c r="P404">
        <f>'Nom du personnage'!$U$51</f>
        <v>0</v>
      </c>
    </row>
    <row r="405" spans="8:16" hidden="1">
      <c r="H405" s="2" t="s">
        <v>243</v>
      </c>
      <c r="I405" s="2">
        <v>5</v>
      </c>
      <c r="J405" s="2" t="s">
        <v>85</v>
      </c>
      <c r="K405" s="2">
        <f t="shared" si="42"/>
        <v>1</v>
      </c>
      <c r="M405">
        <f t="shared" si="41"/>
        <v>0</v>
      </c>
      <c r="N405" t="e">
        <f t="shared" si="45"/>
        <v>#N/A</v>
      </c>
      <c r="O405" t="e">
        <f t="shared" si="47"/>
        <v>#N/A</v>
      </c>
      <c r="P405">
        <f>'Nom du personnage'!$U$51</f>
        <v>0</v>
      </c>
    </row>
    <row r="406" spans="8:16" hidden="1">
      <c r="H406" s="2" t="s">
        <v>244</v>
      </c>
      <c r="I406" s="2">
        <v>5</v>
      </c>
      <c r="J406" s="2" t="s">
        <v>85</v>
      </c>
      <c r="K406" s="2">
        <f t="shared" si="42"/>
        <v>5</v>
      </c>
      <c r="M406" s="2" cm="1">
        <f t="array" ref="M406">IF(AND('Nom du personnage'!$U$51=Compétences!J406,OR('Nom du personnage'!$C$65:$L$85=Compétences!$H$89,'Nom du personnage'!$Q$65:$Z$85=Compétences!$H$89)),H406,0)</f>
        <v>0</v>
      </c>
      <c r="N406" t="e">
        <f t="shared" si="45"/>
        <v>#N/A</v>
      </c>
      <c r="O406" t="e">
        <f t="shared" si="47"/>
        <v>#N/A</v>
      </c>
      <c r="P406">
        <f>'Nom du personnage'!$U$51</f>
        <v>0</v>
      </c>
    </row>
    <row r="407" spans="8:16" hidden="1">
      <c r="H407" s="2" t="s">
        <v>245</v>
      </c>
      <c r="I407" s="2">
        <v>2</v>
      </c>
      <c r="J407" s="2" t="s">
        <v>85</v>
      </c>
      <c r="K407" s="2">
        <f t="shared" si="42"/>
        <v>5</v>
      </c>
      <c r="M407">
        <f t="shared" si="41"/>
        <v>0</v>
      </c>
      <c r="N407" t="e">
        <f t="shared" si="45"/>
        <v>#N/A</v>
      </c>
      <c r="O407" t="e">
        <f t="shared" si="47"/>
        <v>#N/A</v>
      </c>
      <c r="P407">
        <f>'Nom du personnage'!$U$51</f>
        <v>0</v>
      </c>
    </row>
    <row r="408" spans="8:16" hidden="1">
      <c r="H408" s="2" t="s">
        <v>260</v>
      </c>
      <c r="I408" s="2">
        <v>4</v>
      </c>
      <c r="J408" s="2" t="s">
        <v>88</v>
      </c>
      <c r="K408" s="2">
        <f t="shared" si="42"/>
        <v>1</v>
      </c>
      <c r="M408">
        <f t="shared" si="41"/>
        <v>0</v>
      </c>
      <c r="N408" t="e">
        <f t="shared" si="45"/>
        <v>#N/A</v>
      </c>
      <c r="O408" t="e">
        <f t="shared" si="47"/>
        <v>#N/A</v>
      </c>
      <c r="P408">
        <f>'Nom du personnage'!$U$51</f>
        <v>0</v>
      </c>
    </row>
    <row r="409" spans="8:16" hidden="1">
      <c r="H409" s="2" t="s">
        <v>261</v>
      </c>
      <c r="I409" s="2">
        <v>5</v>
      </c>
      <c r="J409" s="2" t="s">
        <v>88</v>
      </c>
      <c r="K409" s="2">
        <f t="shared" si="42"/>
        <v>1</v>
      </c>
      <c r="M409">
        <f>IF(AND(Religion!$D$29=TRUE,'Nom du personnage'!$F$60&lt;&gt;Données!$N$4,J409='Nom du personnage'!$U$51),Compétences!H409,0)</f>
        <v>0</v>
      </c>
      <c r="N409" t="e">
        <f t="shared" si="45"/>
        <v>#N/A</v>
      </c>
      <c r="O409" t="e">
        <f t="shared" si="47"/>
        <v>#N/A</v>
      </c>
      <c r="P409">
        <f>'Nom du personnage'!$U$51</f>
        <v>0</v>
      </c>
    </row>
    <row r="410" spans="8:16" hidden="1">
      <c r="H410" s="2" t="s">
        <v>232</v>
      </c>
      <c r="I410" s="2">
        <v>5</v>
      </c>
      <c r="J410" s="2" t="s">
        <v>88</v>
      </c>
      <c r="K410" s="2">
        <f t="shared" si="42"/>
        <v>5</v>
      </c>
      <c r="M410">
        <f>IF(AND('Nom du personnage'!$U$51=Compétences!J410,Religion!$D$29=TRUE),Compétences!H410,0)</f>
        <v>0</v>
      </c>
      <c r="N410" t="e">
        <f t="shared" si="45"/>
        <v>#N/A</v>
      </c>
      <c r="O410" t="e">
        <f t="shared" si="47"/>
        <v>#N/A</v>
      </c>
      <c r="P410">
        <f>'Nom du personnage'!$U$51</f>
        <v>0</v>
      </c>
    </row>
    <row r="411" spans="8:16" hidden="1">
      <c r="H411" s="2" t="s">
        <v>262</v>
      </c>
      <c r="I411" s="2">
        <v>5</v>
      </c>
      <c r="J411" s="2" t="s">
        <v>88</v>
      </c>
      <c r="K411" s="2">
        <f t="shared" si="42"/>
        <v>1</v>
      </c>
      <c r="M411">
        <f t="shared" si="41"/>
        <v>0</v>
      </c>
      <c r="N411" t="e">
        <f t="shared" si="45"/>
        <v>#N/A</v>
      </c>
      <c r="O411" t="e">
        <f t="shared" si="47"/>
        <v>#N/A</v>
      </c>
      <c r="P411">
        <f>'Nom du personnage'!$U$51</f>
        <v>0</v>
      </c>
    </row>
    <row r="412" spans="8:16" hidden="1">
      <c r="H412" s="2" t="s">
        <v>233</v>
      </c>
      <c r="I412" s="2">
        <v>6</v>
      </c>
      <c r="J412" s="2" t="s">
        <v>88</v>
      </c>
      <c r="K412" s="2">
        <f t="shared" si="42"/>
        <v>5</v>
      </c>
      <c r="M412">
        <f t="shared" si="41"/>
        <v>0</v>
      </c>
      <c r="N412" t="e">
        <f t="shared" si="45"/>
        <v>#N/A</v>
      </c>
      <c r="O412" t="e">
        <f t="shared" si="47"/>
        <v>#N/A</v>
      </c>
      <c r="P412">
        <f>'Nom du personnage'!$U$51</f>
        <v>0</v>
      </c>
    </row>
    <row r="413" spans="8:16" hidden="1">
      <c r="H413" s="2" t="s">
        <v>235</v>
      </c>
      <c r="I413" s="2">
        <v>6</v>
      </c>
      <c r="J413" s="2" t="s">
        <v>88</v>
      </c>
      <c r="K413" s="2">
        <f t="shared" si="42"/>
        <v>5</v>
      </c>
      <c r="M413">
        <f>IF(AND('Nom du personnage'!$U$51=Compétences!J413,Religion!$D$29),Compétences!H413,0)</f>
        <v>0</v>
      </c>
      <c r="N413" t="e">
        <f t="shared" si="45"/>
        <v>#N/A</v>
      </c>
      <c r="O413" t="e">
        <f t="shared" si="47"/>
        <v>#N/A</v>
      </c>
      <c r="P413">
        <f>'Nom du personnage'!$U$51</f>
        <v>0</v>
      </c>
    </row>
    <row r="414" spans="8:16" hidden="1">
      <c r="H414" s="2" t="s">
        <v>236</v>
      </c>
      <c r="I414" s="2">
        <v>3</v>
      </c>
      <c r="J414" s="2" t="s">
        <v>88</v>
      </c>
      <c r="K414" s="2">
        <f t="shared" si="42"/>
        <v>1</v>
      </c>
      <c r="M414">
        <f t="shared" si="41"/>
        <v>0</v>
      </c>
      <c r="N414" t="e">
        <f t="shared" ref="N414:N438" si="48">VLOOKUP(M414,H414:J470,2,FALSE)</f>
        <v>#N/A</v>
      </c>
      <c r="O414" t="e">
        <f t="shared" si="47"/>
        <v>#N/A</v>
      </c>
      <c r="P414">
        <f>'Nom du personnage'!$U$51</f>
        <v>0</v>
      </c>
    </row>
    <row r="415" spans="8:16" hidden="1">
      <c r="H415" s="2" t="s">
        <v>237</v>
      </c>
      <c r="I415" s="2">
        <v>5</v>
      </c>
      <c r="J415" s="2" t="s">
        <v>88</v>
      </c>
      <c r="K415" s="2">
        <f t="shared" si="42"/>
        <v>1</v>
      </c>
      <c r="M415">
        <f t="shared" si="41"/>
        <v>0</v>
      </c>
      <c r="N415" t="e">
        <f t="shared" si="48"/>
        <v>#N/A</v>
      </c>
      <c r="O415" t="e">
        <f t="shared" si="47"/>
        <v>#N/A</v>
      </c>
      <c r="P415">
        <f>'Nom du personnage'!$U$51</f>
        <v>0</v>
      </c>
    </row>
    <row r="416" spans="8:16" hidden="1">
      <c r="H416" s="2" t="s">
        <v>238</v>
      </c>
      <c r="I416" s="2">
        <v>3</v>
      </c>
      <c r="J416" s="2" t="s">
        <v>88</v>
      </c>
      <c r="K416" s="2">
        <f t="shared" si="42"/>
        <v>1</v>
      </c>
      <c r="M416">
        <f t="shared" si="41"/>
        <v>0</v>
      </c>
      <c r="N416" t="e">
        <f t="shared" si="48"/>
        <v>#N/A</v>
      </c>
      <c r="O416" t="e">
        <f t="shared" si="47"/>
        <v>#N/A</v>
      </c>
      <c r="P416">
        <f>'Nom du personnage'!$U$51</f>
        <v>0</v>
      </c>
    </row>
    <row r="417" spans="8:16" hidden="1">
      <c r="H417" s="2" t="s">
        <v>240</v>
      </c>
      <c r="I417" s="2">
        <v>6</v>
      </c>
      <c r="J417" s="2" t="s">
        <v>88</v>
      </c>
      <c r="K417" s="2">
        <f t="shared" si="42"/>
        <v>1</v>
      </c>
      <c r="M417">
        <f t="shared" si="41"/>
        <v>0</v>
      </c>
      <c r="N417" t="e">
        <f t="shared" si="48"/>
        <v>#N/A</v>
      </c>
      <c r="O417" t="e">
        <f t="shared" si="47"/>
        <v>#N/A</v>
      </c>
      <c r="P417">
        <f>'Nom du personnage'!$U$51</f>
        <v>0</v>
      </c>
    </row>
    <row r="418" spans="8:16" hidden="1">
      <c r="H418" s="2" t="s">
        <v>241</v>
      </c>
      <c r="I418" s="2">
        <v>6</v>
      </c>
      <c r="J418" s="2" t="s">
        <v>88</v>
      </c>
      <c r="K418" s="2">
        <f t="shared" si="42"/>
        <v>1</v>
      </c>
      <c r="M418">
        <f t="shared" si="41"/>
        <v>0</v>
      </c>
      <c r="N418" t="e">
        <f t="shared" si="48"/>
        <v>#N/A</v>
      </c>
      <c r="O418" t="e">
        <f t="shared" si="47"/>
        <v>#N/A</v>
      </c>
      <c r="P418">
        <f>'Nom du personnage'!$U$51</f>
        <v>0</v>
      </c>
    </row>
    <row r="419" spans="8:16" hidden="1">
      <c r="H419" s="2" t="s">
        <v>242</v>
      </c>
      <c r="I419" s="2">
        <v>6</v>
      </c>
      <c r="J419" s="2" t="s">
        <v>88</v>
      </c>
      <c r="K419" s="2">
        <f t="shared" si="42"/>
        <v>5</v>
      </c>
      <c r="M419">
        <f t="shared" si="41"/>
        <v>0</v>
      </c>
      <c r="N419" t="e">
        <f t="shared" si="48"/>
        <v>#N/A</v>
      </c>
      <c r="O419" t="e">
        <f t="shared" si="47"/>
        <v>#N/A</v>
      </c>
      <c r="P419">
        <f>'Nom du personnage'!$U$51</f>
        <v>0</v>
      </c>
    </row>
    <row r="420" spans="8:16" hidden="1">
      <c r="H420" s="2" t="s">
        <v>243</v>
      </c>
      <c r="I420" s="2">
        <v>5</v>
      </c>
      <c r="J420" s="2" t="s">
        <v>88</v>
      </c>
      <c r="K420" s="2">
        <f t="shared" si="42"/>
        <v>1</v>
      </c>
      <c r="M420">
        <f t="shared" si="41"/>
        <v>0</v>
      </c>
      <c r="N420" t="e">
        <f t="shared" si="48"/>
        <v>#N/A</v>
      </c>
      <c r="O420" t="e">
        <f t="shared" si="47"/>
        <v>#N/A</v>
      </c>
      <c r="P420">
        <f>'Nom du personnage'!$U$51</f>
        <v>0</v>
      </c>
    </row>
    <row r="421" spans="8:16" hidden="1">
      <c r="H421" s="2" t="s">
        <v>244</v>
      </c>
      <c r="I421" s="2">
        <v>5</v>
      </c>
      <c r="J421" s="2" t="s">
        <v>88</v>
      </c>
      <c r="K421" s="2">
        <f t="shared" si="42"/>
        <v>5</v>
      </c>
      <c r="M421" s="2" cm="1">
        <f t="array" ref="M421">IF(AND('Nom du personnage'!$U$51=Compétences!J421,OR('Nom du personnage'!$C$65:$L$85=Compétences!$H$89,'Nom du personnage'!$Q$65:$Z$85=Compétences!$H$89)),H421,0)</f>
        <v>0</v>
      </c>
      <c r="N421" t="e">
        <f t="shared" si="48"/>
        <v>#N/A</v>
      </c>
      <c r="O421" t="e">
        <f t="shared" si="47"/>
        <v>#N/A</v>
      </c>
      <c r="P421">
        <f>'Nom du personnage'!$U$51</f>
        <v>0</v>
      </c>
    </row>
    <row r="422" spans="8:16" hidden="1">
      <c r="H422" s="2" t="s">
        <v>245</v>
      </c>
      <c r="I422" s="2">
        <v>2</v>
      </c>
      <c r="J422" s="2" t="s">
        <v>88</v>
      </c>
      <c r="K422" s="2">
        <f t="shared" si="42"/>
        <v>5</v>
      </c>
      <c r="M422">
        <f t="shared" si="41"/>
        <v>0</v>
      </c>
      <c r="N422" t="e">
        <f t="shared" si="48"/>
        <v>#N/A</v>
      </c>
      <c r="O422" t="e">
        <f t="shared" si="47"/>
        <v>#N/A</v>
      </c>
      <c r="P422">
        <f>'Nom du personnage'!$U$51</f>
        <v>0</v>
      </c>
    </row>
    <row r="423" spans="8:16" hidden="1">
      <c r="H423" s="2" t="s">
        <v>263</v>
      </c>
      <c r="I423" s="2">
        <v>4</v>
      </c>
      <c r="J423" s="2" t="s">
        <v>88</v>
      </c>
      <c r="K423" s="2">
        <f t="shared" si="42"/>
        <v>5</v>
      </c>
      <c r="M423">
        <f t="shared" ref="M423:M486" si="49">IF(P423=J423,H423,)</f>
        <v>0</v>
      </c>
      <c r="N423" t="e">
        <f t="shared" si="48"/>
        <v>#N/A</v>
      </c>
      <c r="O423" t="e">
        <f t="shared" si="47"/>
        <v>#N/A</v>
      </c>
      <c r="P423">
        <f>'Nom du personnage'!$U$51</f>
        <v>0</v>
      </c>
    </row>
    <row r="424" spans="8:16" hidden="1">
      <c r="H424" s="2" t="s">
        <v>264</v>
      </c>
      <c r="I424" s="2">
        <v>5</v>
      </c>
      <c r="J424" s="2" t="s">
        <v>88</v>
      </c>
      <c r="K424" s="2">
        <f t="shared" si="42"/>
        <v>5</v>
      </c>
      <c r="M424">
        <f t="shared" si="49"/>
        <v>0</v>
      </c>
      <c r="N424" t="e">
        <f t="shared" si="48"/>
        <v>#N/A</v>
      </c>
      <c r="O424" t="e">
        <f t="shared" si="47"/>
        <v>#N/A</v>
      </c>
      <c r="P424">
        <f>'Nom du personnage'!$U$51</f>
        <v>0</v>
      </c>
    </row>
    <row r="425" spans="8:16" hidden="1">
      <c r="H425" s="2" t="s">
        <v>265</v>
      </c>
      <c r="I425" s="2">
        <v>4</v>
      </c>
      <c r="J425" s="2" t="s">
        <v>88</v>
      </c>
      <c r="K425" s="2">
        <f t="shared" si="42"/>
        <v>5</v>
      </c>
      <c r="M425">
        <f t="shared" si="49"/>
        <v>0</v>
      </c>
      <c r="N425" t="e">
        <f t="shared" si="48"/>
        <v>#N/A</v>
      </c>
      <c r="O425" t="e">
        <f t="shared" si="47"/>
        <v>#N/A</v>
      </c>
      <c r="P425">
        <f>'Nom du personnage'!$U$51</f>
        <v>0</v>
      </c>
    </row>
    <row r="426" spans="8:16" hidden="1">
      <c r="H426" s="2" t="s">
        <v>254</v>
      </c>
      <c r="I426" s="2">
        <v>6</v>
      </c>
      <c r="J426" s="2" t="s">
        <v>88</v>
      </c>
      <c r="K426" s="2">
        <f t="shared" si="42"/>
        <v>5</v>
      </c>
      <c r="M426">
        <f t="shared" si="49"/>
        <v>0</v>
      </c>
      <c r="N426" t="e">
        <f t="shared" si="48"/>
        <v>#N/A</v>
      </c>
      <c r="O426" t="e">
        <f t="shared" si="47"/>
        <v>#N/A</v>
      </c>
      <c r="P426">
        <f>'Nom du personnage'!$U$51</f>
        <v>0</v>
      </c>
    </row>
    <row r="427" spans="8:16" hidden="1">
      <c r="H427" s="2" t="s">
        <v>266</v>
      </c>
      <c r="I427" s="2">
        <v>6</v>
      </c>
      <c r="J427" s="2" t="s">
        <v>88</v>
      </c>
      <c r="K427" s="2">
        <f t="shared" si="42"/>
        <v>1</v>
      </c>
      <c r="M427">
        <f t="shared" si="49"/>
        <v>0</v>
      </c>
      <c r="N427" t="e">
        <f t="shared" si="48"/>
        <v>#N/A</v>
      </c>
      <c r="O427" t="e">
        <f t="shared" si="47"/>
        <v>#N/A</v>
      </c>
      <c r="P427">
        <f>'Nom du personnage'!$U$51</f>
        <v>0</v>
      </c>
    </row>
    <row r="428" spans="8:16" hidden="1">
      <c r="H428" s="2" t="s">
        <v>267</v>
      </c>
      <c r="I428" s="2">
        <v>6</v>
      </c>
      <c r="J428" s="2" t="s">
        <v>88</v>
      </c>
      <c r="K428" s="2">
        <f t="shared" si="42"/>
        <v>1</v>
      </c>
      <c r="M428">
        <f t="shared" si="49"/>
        <v>0</v>
      </c>
      <c r="N428" t="e">
        <f t="shared" si="48"/>
        <v>#N/A</v>
      </c>
      <c r="O428" t="e">
        <f t="shared" si="47"/>
        <v>#N/A</v>
      </c>
      <c r="P428">
        <f>'Nom du personnage'!$U$51</f>
        <v>0</v>
      </c>
    </row>
    <row r="429" spans="8:16" hidden="1">
      <c r="H429" s="2" t="s">
        <v>256</v>
      </c>
      <c r="I429" s="2">
        <v>6</v>
      </c>
      <c r="J429" s="2" t="s">
        <v>88</v>
      </c>
      <c r="K429" s="2">
        <f t="shared" ref="K429:K492" si="50">VLOOKUP(H429,$B$3:$D$115,3,FALSE)</f>
        <v>5</v>
      </c>
      <c r="M429">
        <f>IF(AND(J429='Nom du personnage'!$U$51,'Lecture et écriture'!$G$99=TRUE),Compétences!H429,0)</f>
        <v>0</v>
      </c>
      <c r="N429" t="e">
        <f t="shared" si="48"/>
        <v>#N/A</v>
      </c>
      <c r="O429" t="e">
        <f t="shared" si="47"/>
        <v>#N/A</v>
      </c>
      <c r="P429">
        <f>'Nom du personnage'!$U$51</f>
        <v>0</v>
      </c>
    </row>
    <row r="430" spans="8:16" hidden="1">
      <c r="H430" s="2" t="s">
        <v>268</v>
      </c>
      <c r="I430" s="2">
        <v>4</v>
      </c>
      <c r="J430" s="2" t="s">
        <v>88</v>
      </c>
      <c r="K430" s="2">
        <f t="shared" si="50"/>
        <v>5</v>
      </c>
      <c r="M430">
        <f t="shared" si="49"/>
        <v>0</v>
      </c>
      <c r="N430" t="e">
        <f t="shared" si="48"/>
        <v>#N/A</v>
      </c>
      <c r="O430" t="e">
        <f t="shared" si="47"/>
        <v>#N/A</v>
      </c>
      <c r="P430">
        <f>'Nom du personnage'!$U$51</f>
        <v>0</v>
      </c>
    </row>
    <row r="431" spans="8:16" hidden="1">
      <c r="H431" s="2" t="s">
        <v>269</v>
      </c>
      <c r="I431" s="2">
        <v>4</v>
      </c>
      <c r="J431" s="2" t="s">
        <v>88</v>
      </c>
      <c r="K431" s="2">
        <f t="shared" si="50"/>
        <v>1</v>
      </c>
      <c r="M431">
        <f t="shared" si="49"/>
        <v>0</v>
      </c>
      <c r="N431" t="e">
        <f t="shared" si="48"/>
        <v>#N/A</v>
      </c>
      <c r="O431" t="e">
        <f t="shared" si="47"/>
        <v>#N/A</v>
      </c>
      <c r="P431">
        <f>'Nom du personnage'!$U$51</f>
        <v>0</v>
      </c>
    </row>
    <row r="432" spans="8:16" hidden="1">
      <c r="H432" s="2" t="s">
        <v>1005</v>
      </c>
      <c r="I432" s="2">
        <v>2</v>
      </c>
      <c r="J432" s="2" t="s">
        <v>88</v>
      </c>
      <c r="K432" s="2">
        <f t="shared" si="50"/>
        <v>5</v>
      </c>
      <c r="M432" s="2" cm="1">
        <f t="array" ref="M432">IF(AND('Nom du personnage'!$U$51=Compétences!J432,OR('Nom du personnage'!$C$65:$L$85=Compétences!$M$3,'Nom du personnage'!$Q$65:$Z$85=Compétences!$M$3)),H432,0)</f>
        <v>0</v>
      </c>
      <c r="N432" t="e">
        <f t="shared" si="48"/>
        <v>#N/A</v>
      </c>
      <c r="O432" t="e">
        <f t="shared" si="47"/>
        <v>#N/A</v>
      </c>
      <c r="P432">
        <f>'Nom du personnage'!$U$51</f>
        <v>0</v>
      </c>
    </row>
    <row r="433" spans="8:16" hidden="1">
      <c r="H433" s="2" t="s">
        <v>270</v>
      </c>
      <c r="I433" s="2">
        <v>6</v>
      </c>
      <c r="J433" s="2" t="s">
        <v>88</v>
      </c>
      <c r="K433" s="2">
        <f t="shared" si="50"/>
        <v>1</v>
      </c>
      <c r="M433">
        <f t="shared" si="49"/>
        <v>0</v>
      </c>
      <c r="N433" t="e">
        <f t="shared" si="48"/>
        <v>#N/A</v>
      </c>
      <c r="O433" t="e">
        <f t="shared" si="47"/>
        <v>#N/A</v>
      </c>
      <c r="P433">
        <f>'Nom du personnage'!$U$51</f>
        <v>0</v>
      </c>
    </row>
    <row r="434" spans="8:16" hidden="1">
      <c r="H434" s="2" t="s">
        <v>271</v>
      </c>
      <c r="I434" s="2">
        <v>5</v>
      </c>
      <c r="J434" s="2" t="s">
        <v>88</v>
      </c>
      <c r="K434" s="2">
        <f t="shared" si="50"/>
        <v>1</v>
      </c>
      <c r="M434">
        <f t="shared" si="49"/>
        <v>0</v>
      </c>
      <c r="N434" t="e">
        <f t="shared" si="48"/>
        <v>#N/A</v>
      </c>
      <c r="O434" t="e">
        <f t="shared" si="47"/>
        <v>#N/A</v>
      </c>
      <c r="P434">
        <f>'Nom du personnage'!$U$51</f>
        <v>0</v>
      </c>
    </row>
    <row r="435" spans="8:16" hidden="1">
      <c r="H435" s="2" t="s">
        <v>272</v>
      </c>
      <c r="I435" s="2">
        <v>3</v>
      </c>
      <c r="J435" s="2" t="s">
        <v>88</v>
      </c>
      <c r="K435" s="2">
        <f t="shared" si="50"/>
        <v>5</v>
      </c>
      <c r="M435">
        <f t="shared" si="49"/>
        <v>0</v>
      </c>
      <c r="N435" t="e">
        <f t="shared" si="48"/>
        <v>#N/A</v>
      </c>
      <c r="O435" t="e">
        <f t="shared" si="47"/>
        <v>#N/A</v>
      </c>
      <c r="P435">
        <f>'Nom du personnage'!$U$51</f>
        <v>0</v>
      </c>
    </row>
    <row r="436" spans="8:16" hidden="1">
      <c r="H436" s="2" t="s">
        <v>211</v>
      </c>
      <c r="I436" s="2">
        <v>4</v>
      </c>
      <c r="J436" s="2" t="s">
        <v>88</v>
      </c>
      <c r="K436" s="2">
        <f t="shared" si="50"/>
        <v>1</v>
      </c>
      <c r="M436">
        <f t="shared" si="49"/>
        <v>0</v>
      </c>
      <c r="N436" t="e">
        <f t="shared" si="48"/>
        <v>#N/A</v>
      </c>
      <c r="O436" t="e">
        <f t="shared" si="47"/>
        <v>#N/A</v>
      </c>
      <c r="P436">
        <f>'Nom du personnage'!$U$51</f>
        <v>0</v>
      </c>
    </row>
    <row r="437" spans="8:16" hidden="1">
      <c r="H437" s="2" t="s">
        <v>212</v>
      </c>
      <c r="I437" s="2">
        <v>6</v>
      </c>
      <c r="J437" s="2" t="s">
        <v>88</v>
      </c>
      <c r="K437" s="2">
        <f t="shared" si="50"/>
        <v>1</v>
      </c>
      <c r="M437">
        <f t="shared" si="49"/>
        <v>0</v>
      </c>
      <c r="N437" t="e">
        <f t="shared" si="48"/>
        <v>#N/A</v>
      </c>
      <c r="O437" t="e">
        <f t="shared" si="47"/>
        <v>#N/A</v>
      </c>
      <c r="P437">
        <f>'Nom du personnage'!$U$51</f>
        <v>0</v>
      </c>
    </row>
    <row r="438" spans="8:16" hidden="1">
      <c r="H438" s="2" t="s">
        <v>213</v>
      </c>
      <c r="I438" s="2">
        <v>6</v>
      </c>
      <c r="J438" s="2" t="s">
        <v>88</v>
      </c>
      <c r="K438" s="2">
        <f t="shared" si="50"/>
        <v>1</v>
      </c>
      <c r="M438">
        <f t="shared" si="49"/>
        <v>0</v>
      </c>
      <c r="N438" t="e">
        <f t="shared" si="48"/>
        <v>#N/A</v>
      </c>
      <c r="O438" t="e">
        <f t="shared" si="47"/>
        <v>#N/A</v>
      </c>
      <c r="P438">
        <f>'Nom du personnage'!$U$51</f>
        <v>0</v>
      </c>
    </row>
    <row r="439" spans="8:16" hidden="1">
      <c r="H439" s="2" t="s">
        <v>274</v>
      </c>
      <c r="I439" s="2">
        <v>4</v>
      </c>
      <c r="J439" s="2" t="s">
        <v>88</v>
      </c>
      <c r="K439" s="2">
        <f t="shared" si="50"/>
        <v>5</v>
      </c>
      <c r="M439">
        <f t="shared" si="49"/>
        <v>0</v>
      </c>
      <c r="N439" t="e">
        <f t="shared" ref="N439:N470" si="51">VLOOKUP(M439,H439:J496,2,FALSE)</f>
        <v>#N/A</v>
      </c>
      <c r="O439" t="e">
        <f t="shared" ref="O439:O470" si="52">VLOOKUP(M439,H439:J496,2,FALSE)+1</f>
        <v>#N/A</v>
      </c>
      <c r="P439">
        <f>'Nom du personnage'!$U$51</f>
        <v>0</v>
      </c>
    </row>
    <row r="440" spans="8:16" hidden="1">
      <c r="H440" s="2" t="s">
        <v>259</v>
      </c>
      <c r="I440" s="2">
        <v>4</v>
      </c>
      <c r="J440" s="2" t="s">
        <v>88</v>
      </c>
      <c r="K440" s="2">
        <f t="shared" si="50"/>
        <v>5</v>
      </c>
      <c r="M440">
        <f t="shared" si="49"/>
        <v>0</v>
      </c>
      <c r="N440" t="e">
        <f t="shared" si="51"/>
        <v>#N/A</v>
      </c>
      <c r="O440" t="e">
        <f t="shared" si="52"/>
        <v>#N/A</v>
      </c>
      <c r="P440">
        <f>'Nom du personnage'!$U$51</f>
        <v>0</v>
      </c>
    </row>
    <row r="441" spans="8:16" hidden="1">
      <c r="H441" s="2" t="s">
        <v>227</v>
      </c>
      <c r="I441" s="2">
        <v>3</v>
      </c>
      <c r="J441" s="2" t="s">
        <v>91</v>
      </c>
      <c r="K441" s="2">
        <f t="shared" si="50"/>
        <v>5</v>
      </c>
      <c r="M441" s="2" cm="1">
        <f t="array" ref="M441">IF(AND('Nom du personnage'!$U$51=Compétences!J441,OR('Nom du personnage'!$C$65:$L$85=Compétences!$M$12,'Nom du personnage'!$Q$65:$Z$85=Compétences!$M$12)),H441,0)</f>
        <v>0</v>
      </c>
      <c r="N441" t="e">
        <f t="shared" si="51"/>
        <v>#N/A</v>
      </c>
      <c r="O441" t="e">
        <f t="shared" si="52"/>
        <v>#N/A</v>
      </c>
      <c r="P441">
        <f>'Nom du personnage'!$U$51</f>
        <v>0</v>
      </c>
    </row>
    <row r="442" spans="8:16" hidden="1">
      <c r="H442" s="2" t="s">
        <v>199</v>
      </c>
      <c r="I442" s="2">
        <v>6</v>
      </c>
      <c r="J442" s="2" t="s">
        <v>91</v>
      </c>
      <c r="K442" s="2">
        <f t="shared" si="50"/>
        <v>1</v>
      </c>
      <c r="M442" s="2" cm="1">
        <f t="array" ref="M442">IF(AND('Nom du personnage'!U448=Compétences!J442,OR('Nom du personnage'!$C$65:$L$85=Compétences!$M$13,'Nom du personnage'!$Q$65:$Z$85=Compétences!$M$13)),H442,0)</f>
        <v>0</v>
      </c>
      <c r="N442" t="e">
        <f t="shared" si="51"/>
        <v>#N/A</v>
      </c>
      <c r="O442" t="e">
        <f t="shared" si="52"/>
        <v>#N/A</v>
      </c>
      <c r="P442">
        <f>'Nom du personnage'!$U$51</f>
        <v>0</v>
      </c>
    </row>
    <row r="443" spans="8:16" hidden="1">
      <c r="H443" s="2" t="s">
        <v>200</v>
      </c>
      <c r="I443" s="2">
        <v>6</v>
      </c>
      <c r="J443" s="2" t="s">
        <v>91</v>
      </c>
      <c r="K443" s="2">
        <f t="shared" si="50"/>
        <v>1</v>
      </c>
      <c r="M443">
        <f t="shared" si="49"/>
        <v>0</v>
      </c>
      <c r="N443" t="e">
        <f t="shared" si="51"/>
        <v>#N/A</v>
      </c>
      <c r="O443" t="e">
        <f t="shared" si="52"/>
        <v>#N/A</v>
      </c>
      <c r="P443">
        <f>'Nom du personnage'!$U$51</f>
        <v>0</v>
      </c>
    </row>
    <row r="444" spans="8:16" hidden="1">
      <c r="H444" s="2" t="s">
        <v>202</v>
      </c>
      <c r="I444" s="2">
        <v>5</v>
      </c>
      <c r="J444" s="2" t="s">
        <v>91</v>
      </c>
      <c r="K444" s="2">
        <f t="shared" si="50"/>
        <v>5</v>
      </c>
      <c r="M444">
        <f t="shared" si="49"/>
        <v>0</v>
      </c>
      <c r="N444" t="e">
        <f t="shared" si="51"/>
        <v>#N/A</v>
      </c>
      <c r="O444" t="e">
        <f t="shared" si="52"/>
        <v>#N/A</v>
      </c>
      <c r="P444">
        <f>'Nom du personnage'!$U$51</f>
        <v>0</v>
      </c>
    </row>
    <row r="445" spans="8:16" hidden="1">
      <c r="H445" s="2" t="s">
        <v>203</v>
      </c>
      <c r="I445" s="2">
        <v>6</v>
      </c>
      <c r="J445" s="2" t="s">
        <v>91</v>
      </c>
      <c r="K445" s="2">
        <f t="shared" si="50"/>
        <v>5</v>
      </c>
      <c r="M445" s="2" cm="1">
        <f t="array" ref="M445">IF(AND('Nom du personnage'!U317=Compétences!J445,OR('Nom du personnage'!$C$65:$L$85=Compétences!$H$48,'Nom du personnage'!$Q$65:$Z$85=Compétences!$H$48)),H445,0)</f>
        <v>0</v>
      </c>
      <c r="N445" t="e">
        <f t="shared" si="51"/>
        <v>#N/A</v>
      </c>
      <c r="O445" t="e">
        <f t="shared" si="52"/>
        <v>#N/A</v>
      </c>
      <c r="P445">
        <f>'Nom du personnage'!$U$51</f>
        <v>0</v>
      </c>
    </row>
    <row r="446" spans="8:16" hidden="1">
      <c r="H446" s="2" t="s">
        <v>228</v>
      </c>
      <c r="I446" s="2">
        <v>4</v>
      </c>
      <c r="J446" s="2" t="s">
        <v>91</v>
      </c>
      <c r="K446" s="2">
        <f t="shared" si="50"/>
        <v>5</v>
      </c>
      <c r="M446">
        <f t="shared" si="49"/>
        <v>0</v>
      </c>
      <c r="N446" t="e">
        <f t="shared" si="51"/>
        <v>#N/A</v>
      </c>
      <c r="O446" t="e">
        <f t="shared" si="52"/>
        <v>#N/A</v>
      </c>
      <c r="P446">
        <f>'Nom du personnage'!$U$51</f>
        <v>0</v>
      </c>
    </row>
    <row r="447" spans="8:16" hidden="1">
      <c r="H447" s="2" t="s">
        <v>204</v>
      </c>
      <c r="I447" s="2">
        <v>5</v>
      </c>
      <c r="J447" s="2" t="s">
        <v>91</v>
      </c>
      <c r="K447" s="2">
        <f t="shared" si="50"/>
        <v>1</v>
      </c>
      <c r="M447">
        <f t="shared" si="49"/>
        <v>0</v>
      </c>
      <c r="N447" t="e">
        <f t="shared" si="51"/>
        <v>#N/A</v>
      </c>
      <c r="O447" t="e">
        <f t="shared" si="52"/>
        <v>#N/A</v>
      </c>
      <c r="P447">
        <f>'Nom du personnage'!$U$51</f>
        <v>0</v>
      </c>
    </row>
    <row r="448" spans="8:16" hidden="1">
      <c r="H448" s="2" t="s">
        <v>205</v>
      </c>
      <c r="I448" s="2">
        <v>5</v>
      </c>
      <c r="J448" s="2" t="s">
        <v>91</v>
      </c>
      <c r="K448" s="2">
        <f t="shared" si="50"/>
        <v>5</v>
      </c>
      <c r="M448" s="2" cm="1">
        <f t="array" ref="M448">IF(AND('Nom du personnage'!U448=Compétences!J448,OR('Nom du personnage'!$C$65:$L$85=Compétences!$H$50,'Nom du personnage'!$Q$65:$Z$85=Compétences!$H$50)),H448,0)</f>
        <v>0</v>
      </c>
      <c r="N448" t="e">
        <f t="shared" si="51"/>
        <v>#N/A</v>
      </c>
      <c r="O448" t="e">
        <f t="shared" si="52"/>
        <v>#N/A</v>
      </c>
      <c r="P448">
        <f>'Nom du personnage'!$U$51</f>
        <v>0</v>
      </c>
    </row>
    <row r="449" spans="8:16" hidden="1">
      <c r="H449" s="2" t="s">
        <v>229</v>
      </c>
      <c r="I449" s="2">
        <v>6</v>
      </c>
      <c r="J449" s="2" t="s">
        <v>91</v>
      </c>
      <c r="K449" s="2">
        <f t="shared" si="50"/>
        <v>5</v>
      </c>
      <c r="M449">
        <f t="shared" si="49"/>
        <v>0</v>
      </c>
      <c r="N449" t="e">
        <f t="shared" si="51"/>
        <v>#N/A</v>
      </c>
      <c r="O449" t="e">
        <f t="shared" si="52"/>
        <v>#N/A</v>
      </c>
      <c r="P449">
        <f>'Nom du personnage'!$U$51</f>
        <v>0</v>
      </c>
    </row>
    <row r="450" spans="8:16">
      <c r="H450" s="2" t="s">
        <v>206</v>
      </c>
      <c r="I450" s="2">
        <v>3</v>
      </c>
      <c r="J450" s="2" t="s">
        <v>91</v>
      </c>
      <c r="K450" s="2">
        <f t="shared" si="50"/>
        <v>5</v>
      </c>
      <c r="M450" s="2" cm="1">
        <f t="array" ref="M450">IF(AND('Nom du personnage'!U449=Compétences!J450,OR('Nom du personnage'!$C$65:$L$85=Compétences!$M$18,'Nom du personnage'!$Q$65:$Z$85=Compétences!$M$18)),H450,0)</f>
        <v>0</v>
      </c>
      <c r="N450" t="e">
        <f t="shared" si="51"/>
        <v>#N/A</v>
      </c>
      <c r="O450" t="e">
        <f t="shared" si="52"/>
        <v>#N/A</v>
      </c>
      <c r="P450">
        <f>'Nom du personnage'!$U$51</f>
        <v>0</v>
      </c>
    </row>
    <row r="451" spans="8:16" hidden="1">
      <c r="H451" s="2" t="s">
        <v>230</v>
      </c>
      <c r="I451" s="2">
        <v>7</v>
      </c>
      <c r="J451" s="2" t="s">
        <v>91</v>
      </c>
      <c r="K451" s="2">
        <f t="shared" si="50"/>
        <v>5</v>
      </c>
      <c r="M451">
        <f t="shared" si="49"/>
        <v>0</v>
      </c>
      <c r="N451" t="e">
        <f t="shared" si="51"/>
        <v>#N/A</v>
      </c>
      <c r="O451" t="e">
        <f t="shared" si="52"/>
        <v>#N/A</v>
      </c>
      <c r="P451">
        <f>'Nom du personnage'!$U$51</f>
        <v>0</v>
      </c>
    </row>
    <row r="452" spans="8:16" hidden="1">
      <c r="H452" s="2" t="s">
        <v>1005</v>
      </c>
      <c r="I452" s="2">
        <v>2</v>
      </c>
      <c r="J452" s="2" t="s">
        <v>91</v>
      </c>
      <c r="K452" s="2">
        <f t="shared" si="50"/>
        <v>5</v>
      </c>
      <c r="M452" s="2" cm="1">
        <f t="array" ref="M452">IF(AND('Nom du personnage'!$U$51=Compétences!J452,OR('Nom du personnage'!$C$65:$L$85=Compétences!$M$3,'Nom du personnage'!$Q$65:$Z$85=Compétences!$M$3)),H452,0)</f>
        <v>0</v>
      </c>
      <c r="N452" t="e">
        <f t="shared" si="51"/>
        <v>#N/A</v>
      </c>
      <c r="O452" t="e">
        <f t="shared" si="52"/>
        <v>#N/A</v>
      </c>
      <c r="P452">
        <f>'Nom du personnage'!$U$51</f>
        <v>0</v>
      </c>
    </row>
    <row r="453" spans="8:16" hidden="1">
      <c r="H453" s="2" t="s">
        <v>231</v>
      </c>
      <c r="I453" s="2">
        <v>6</v>
      </c>
      <c r="J453" s="2" t="s">
        <v>91</v>
      </c>
      <c r="K453" s="2">
        <f t="shared" si="50"/>
        <v>5</v>
      </c>
      <c r="M453">
        <f t="shared" si="49"/>
        <v>0</v>
      </c>
      <c r="N453" t="e">
        <f t="shared" si="51"/>
        <v>#N/A</v>
      </c>
      <c r="O453" t="e">
        <f t="shared" si="52"/>
        <v>#N/A</v>
      </c>
      <c r="P453">
        <f>'Nom du personnage'!$U$51</f>
        <v>0</v>
      </c>
    </row>
    <row r="454" spans="8:16" hidden="1">
      <c r="H454" s="2" t="s">
        <v>211</v>
      </c>
      <c r="I454" s="2">
        <v>4</v>
      </c>
      <c r="J454" s="2" t="s">
        <v>91</v>
      </c>
      <c r="K454" s="2">
        <f t="shared" si="50"/>
        <v>1</v>
      </c>
      <c r="M454">
        <f t="shared" si="49"/>
        <v>0</v>
      </c>
      <c r="N454" t="e">
        <f t="shared" si="51"/>
        <v>#N/A</v>
      </c>
      <c r="O454" t="e">
        <f t="shared" si="52"/>
        <v>#N/A</v>
      </c>
      <c r="P454">
        <f>'Nom du personnage'!$U$51</f>
        <v>0</v>
      </c>
    </row>
    <row r="455" spans="8:16" hidden="1">
      <c r="H455" s="2" t="s">
        <v>210</v>
      </c>
      <c r="I455" s="2">
        <v>6</v>
      </c>
      <c r="J455" s="2" t="s">
        <v>91</v>
      </c>
      <c r="K455" s="2">
        <f t="shared" si="50"/>
        <v>1</v>
      </c>
      <c r="M455">
        <f t="shared" si="49"/>
        <v>0</v>
      </c>
      <c r="N455" t="e">
        <f t="shared" si="51"/>
        <v>#N/A</v>
      </c>
      <c r="O455" t="e">
        <f t="shared" si="52"/>
        <v>#N/A</v>
      </c>
      <c r="P455">
        <f>'Nom du personnage'!$U$51</f>
        <v>0</v>
      </c>
    </row>
    <row r="456" spans="8:16" hidden="1">
      <c r="H456" s="2" t="s">
        <v>213</v>
      </c>
      <c r="I456" s="2">
        <v>6</v>
      </c>
      <c r="J456" s="2" t="s">
        <v>91</v>
      </c>
      <c r="K456" s="2">
        <f t="shared" si="50"/>
        <v>1</v>
      </c>
      <c r="M456">
        <f t="shared" si="49"/>
        <v>0</v>
      </c>
      <c r="N456" t="e">
        <f t="shared" si="51"/>
        <v>#N/A</v>
      </c>
      <c r="O456" t="e">
        <f t="shared" si="52"/>
        <v>#N/A</v>
      </c>
      <c r="P456">
        <f>'Nom du personnage'!$U$51</f>
        <v>0</v>
      </c>
    </row>
    <row r="457" spans="8:16" hidden="1">
      <c r="H457" s="2" t="s">
        <v>232</v>
      </c>
      <c r="I457" s="2">
        <v>5</v>
      </c>
      <c r="J457" s="2" t="s">
        <v>91</v>
      </c>
      <c r="K457" s="2">
        <f t="shared" si="50"/>
        <v>5</v>
      </c>
      <c r="M457">
        <f>IF(AND('Nom du personnage'!$U$51=Compétences!J457,Religion!$D$29=TRUE),Compétences!H457,0)</f>
        <v>0</v>
      </c>
      <c r="N457" t="e">
        <f t="shared" si="51"/>
        <v>#N/A</v>
      </c>
      <c r="O457" t="e">
        <f t="shared" si="52"/>
        <v>#N/A</v>
      </c>
      <c r="P457">
        <f>'Nom du personnage'!$U$51</f>
        <v>0</v>
      </c>
    </row>
    <row r="458" spans="8:16" hidden="1">
      <c r="H458" s="2" t="s">
        <v>233</v>
      </c>
      <c r="I458" s="2">
        <v>6</v>
      </c>
      <c r="J458" s="2" t="s">
        <v>91</v>
      </c>
      <c r="K458" s="2">
        <f t="shared" si="50"/>
        <v>5</v>
      </c>
      <c r="M458">
        <f t="shared" si="49"/>
        <v>0</v>
      </c>
      <c r="N458" t="e">
        <f t="shared" si="51"/>
        <v>#N/A</v>
      </c>
      <c r="O458" t="e">
        <f t="shared" si="52"/>
        <v>#N/A</v>
      </c>
      <c r="P458">
        <f>'Nom du personnage'!$U$51</f>
        <v>0</v>
      </c>
    </row>
    <row r="459" spans="8:16" hidden="1">
      <c r="H459" s="2" t="s">
        <v>234</v>
      </c>
      <c r="I459" s="2">
        <v>6</v>
      </c>
      <c r="J459" s="2" t="s">
        <v>91</v>
      </c>
      <c r="K459" s="2">
        <f t="shared" si="50"/>
        <v>5</v>
      </c>
      <c r="M459">
        <f t="shared" si="49"/>
        <v>0</v>
      </c>
      <c r="N459" t="e">
        <f t="shared" si="51"/>
        <v>#N/A</v>
      </c>
      <c r="O459" t="e">
        <f t="shared" si="52"/>
        <v>#N/A</v>
      </c>
      <c r="P459">
        <f>'Nom du personnage'!$U$51</f>
        <v>0</v>
      </c>
    </row>
    <row r="460" spans="8:16" hidden="1">
      <c r="H460" s="2" t="s">
        <v>235</v>
      </c>
      <c r="I460" s="2">
        <v>6</v>
      </c>
      <c r="J460" s="2" t="s">
        <v>91</v>
      </c>
      <c r="K460" s="2">
        <f t="shared" si="50"/>
        <v>5</v>
      </c>
      <c r="M460">
        <f>IF(AND('Nom du personnage'!$U$51=Compétences!J460,Religion!$D$29),Compétences!H460,0)</f>
        <v>0</v>
      </c>
      <c r="N460" t="e">
        <f t="shared" si="51"/>
        <v>#N/A</v>
      </c>
      <c r="O460" t="e">
        <f t="shared" si="52"/>
        <v>#N/A</v>
      </c>
      <c r="P460">
        <f>'Nom du personnage'!$U$51</f>
        <v>0</v>
      </c>
    </row>
    <row r="461" spans="8:16" hidden="1">
      <c r="H461" s="2" t="s">
        <v>236</v>
      </c>
      <c r="I461" s="2">
        <v>3</v>
      </c>
      <c r="J461" s="2" t="s">
        <v>91</v>
      </c>
      <c r="K461" s="2">
        <f t="shared" si="50"/>
        <v>1</v>
      </c>
      <c r="M461">
        <f t="shared" si="49"/>
        <v>0</v>
      </c>
      <c r="N461" t="e">
        <f t="shared" si="51"/>
        <v>#N/A</v>
      </c>
      <c r="O461" t="e">
        <f t="shared" si="52"/>
        <v>#N/A</v>
      </c>
      <c r="P461">
        <f>'Nom du personnage'!$U$51</f>
        <v>0</v>
      </c>
    </row>
    <row r="462" spans="8:16" hidden="1">
      <c r="H462" s="2" t="s">
        <v>237</v>
      </c>
      <c r="I462" s="2">
        <v>5</v>
      </c>
      <c r="J462" s="2" t="s">
        <v>91</v>
      </c>
      <c r="K462" s="2">
        <f t="shared" si="50"/>
        <v>1</v>
      </c>
      <c r="M462">
        <f t="shared" si="49"/>
        <v>0</v>
      </c>
      <c r="N462" t="e">
        <f t="shared" si="51"/>
        <v>#N/A</v>
      </c>
      <c r="O462" t="e">
        <f t="shared" si="52"/>
        <v>#N/A</v>
      </c>
      <c r="P462">
        <f>'Nom du personnage'!$U$51</f>
        <v>0</v>
      </c>
    </row>
    <row r="463" spans="8:16" hidden="1">
      <c r="H463" s="2" t="s">
        <v>238</v>
      </c>
      <c r="I463" s="2">
        <v>3</v>
      </c>
      <c r="J463" s="2" t="s">
        <v>91</v>
      </c>
      <c r="K463" s="2">
        <f t="shared" si="50"/>
        <v>1</v>
      </c>
      <c r="M463">
        <f t="shared" si="49"/>
        <v>0</v>
      </c>
      <c r="N463" t="e">
        <f t="shared" si="51"/>
        <v>#N/A</v>
      </c>
      <c r="O463" t="e">
        <f t="shared" si="52"/>
        <v>#N/A</v>
      </c>
      <c r="P463">
        <f>'Nom du personnage'!$U$51</f>
        <v>0</v>
      </c>
    </row>
    <row r="464" spans="8:16" hidden="1">
      <c r="H464" s="2" t="s">
        <v>246</v>
      </c>
      <c r="I464" s="2">
        <v>6</v>
      </c>
      <c r="J464" s="2" t="s">
        <v>91</v>
      </c>
      <c r="K464" s="2">
        <f t="shared" si="50"/>
        <v>5</v>
      </c>
      <c r="M464" s="2" cm="1">
        <f t="array" ref="M464">IF(AND('Nom du personnage'!$U$51=Compétences!J464,OR('Nom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personnage'!$Q$65:$Z$85=Compétences!$H$1052)),H464,0)</f>
        <v>0</v>
      </c>
      <c r="N464" t="e">
        <f t="shared" si="51"/>
        <v>#N/A</v>
      </c>
      <c r="O464" t="e">
        <f t="shared" si="52"/>
        <v>#N/A</v>
      </c>
      <c r="P464">
        <f>'Nom du personnage'!$U$51</f>
        <v>0</v>
      </c>
    </row>
    <row r="465" spans="8:16" hidden="1">
      <c r="H465" s="2" t="s">
        <v>239</v>
      </c>
      <c r="I465" s="2">
        <v>5</v>
      </c>
      <c r="J465" s="2" t="s">
        <v>91</v>
      </c>
      <c r="K465" s="2">
        <f t="shared" si="50"/>
        <v>1</v>
      </c>
      <c r="M465">
        <f t="shared" si="49"/>
        <v>0</v>
      </c>
      <c r="N465" t="e">
        <f t="shared" si="51"/>
        <v>#N/A</v>
      </c>
      <c r="O465" t="e">
        <f t="shared" si="52"/>
        <v>#N/A</v>
      </c>
      <c r="P465">
        <f>'Nom du personnage'!$U$51</f>
        <v>0</v>
      </c>
    </row>
    <row r="466" spans="8:16" hidden="1">
      <c r="H466" s="2" t="s">
        <v>240</v>
      </c>
      <c r="I466" s="2">
        <v>6</v>
      </c>
      <c r="J466" s="2" t="s">
        <v>91</v>
      </c>
      <c r="K466" s="2">
        <f t="shared" si="50"/>
        <v>1</v>
      </c>
      <c r="M466">
        <f t="shared" si="49"/>
        <v>0</v>
      </c>
      <c r="N466" t="e">
        <f t="shared" si="51"/>
        <v>#N/A</v>
      </c>
      <c r="O466" t="e">
        <f t="shared" si="52"/>
        <v>#N/A</v>
      </c>
      <c r="P466">
        <f>'Nom du personnage'!$U$51</f>
        <v>0</v>
      </c>
    </row>
    <row r="467" spans="8:16" hidden="1">
      <c r="H467" s="2" t="s">
        <v>241</v>
      </c>
      <c r="I467" s="2">
        <v>6</v>
      </c>
      <c r="J467" s="2" t="s">
        <v>91</v>
      </c>
      <c r="K467" s="2">
        <f t="shared" si="50"/>
        <v>1</v>
      </c>
      <c r="M467">
        <f t="shared" si="49"/>
        <v>0</v>
      </c>
      <c r="N467" t="e">
        <f t="shared" si="51"/>
        <v>#N/A</v>
      </c>
      <c r="O467" t="e">
        <f t="shared" si="52"/>
        <v>#N/A</v>
      </c>
      <c r="P467">
        <f>'Nom du personnage'!$U$51</f>
        <v>0</v>
      </c>
    </row>
    <row r="468" spans="8:16" hidden="1">
      <c r="H468" s="2" t="s">
        <v>242</v>
      </c>
      <c r="I468" s="2">
        <v>6</v>
      </c>
      <c r="J468" s="2" t="s">
        <v>91</v>
      </c>
      <c r="K468" s="2">
        <f t="shared" si="50"/>
        <v>5</v>
      </c>
      <c r="M468">
        <f t="shared" si="49"/>
        <v>0</v>
      </c>
      <c r="N468" t="e">
        <f t="shared" si="51"/>
        <v>#N/A</v>
      </c>
      <c r="O468" t="e">
        <f t="shared" si="52"/>
        <v>#N/A</v>
      </c>
      <c r="P468">
        <f>'Nom du personnage'!$U$51</f>
        <v>0</v>
      </c>
    </row>
    <row r="469" spans="8:16" hidden="1">
      <c r="H469" s="2" t="s">
        <v>243</v>
      </c>
      <c r="I469" s="2">
        <v>5</v>
      </c>
      <c r="J469" s="2" t="s">
        <v>91</v>
      </c>
      <c r="K469" s="2">
        <f t="shared" si="50"/>
        <v>1</v>
      </c>
      <c r="M469">
        <f t="shared" si="49"/>
        <v>0</v>
      </c>
      <c r="N469" t="e">
        <f t="shared" si="51"/>
        <v>#N/A</v>
      </c>
      <c r="O469" t="e">
        <f t="shared" si="52"/>
        <v>#N/A</v>
      </c>
      <c r="P469">
        <f>'Nom du personnage'!$U$51</f>
        <v>0</v>
      </c>
    </row>
    <row r="470" spans="8:16" hidden="1">
      <c r="H470" s="2" t="s">
        <v>244</v>
      </c>
      <c r="I470" s="2">
        <v>5</v>
      </c>
      <c r="J470" s="2" t="s">
        <v>91</v>
      </c>
      <c r="K470" s="2">
        <f t="shared" si="50"/>
        <v>5</v>
      </c>
      <c r="M470" s="2" cm="1">
        <f t="array" ref="M470">IF(AND('Nom du personnage'!$U$51=Compétences!J470,OR('Nom du personnage'!$C$65:$L$85=Compétences!$H$89,'Nom du personnage'!$Q$65:$Z$85=Compétences!$H$89)),H470,0)</f>
        <v>0</v>
      </c>
      <c r="N470" t="e">
        <f t="shared" si="51"/>
        <v>#N/A</v>
      </c>
      <c r="O470" t="e">
        <f t="shared" si="52"/>
        <v>#N/A</v>
      </c>
      <c r="P470">
        <f>'Nom du personnage'!$U$51</f>
        <v>0</v>
      </c>
    </row>
    <row r="471" spans="8:16" hidden="1">
      <c r="H471" s="2" t="s">
        <v>245</v>
      </c>
      <c r="I471" s="2">
        <v>2</v>
      </c>
      <c r="J471" s="2" t="s">
        <v>91</v>
      </c>
      <c r="K471" s="2">
        <f t="shared" si="50"/>
        <v>5</v>
      </c>
      <c r="M471">
        <f t="shared" si="49"/>
        <v>0</v>
      </c>
      <c r="N471" t="e">
        <f t="shared" ref="N471:N502" si="53">VLOOKUP(M471,H471:J528,2,FALSE)</f>
        <v>#N/A</v>
      </c>
      <c r="O471" t="e">
        <f t="shared" ref="O471:O502" si="54">VLOOKUP(M471,H471:J528,2,FALSE)+1</f>
        <v>#N/A</v>
      </c>
      <c r="P471">
        <f>'Nom du personnage'!$U$51</f>
        <v>0</v>
      </c>
    </row>
    <row r="472" spans="8:16" hidden="1">
      <c r="H472" s="2" t="s">
        <v>185</v>
      </c>
      <c r="I472">
        <v>6</v>
      </c>
      <c r="J472" s="2" t="s">
        <v>94</v>
      </c>
      <c r="K472" s="2">
        <f t="shared" si="50"/>
        <v>1</v>
      </c>
      <c r="M472">
        <f t="shared" si="49"/>
        <v>0</v>
      </c>
      <c r="N472" t="e">
        <f t="shared" si="53"/>
        <v>#N/A</v>
      </c>
      <c r="O472" t="e">
        <f t="shared" si="54"/>
        <v>#N/A</v>
      </c>
      <c r="P472">
        <f>'Nom du personnage'!$U$51</f>
        <v>0</v>
      </c>
    </row>
    <row r="473" spans="8:16" hidden="1">
      <c r="H473" s="2" t="s">
        <v>199</v>
      </c>
      <c r="I473">
        <v>6</v>
      </c>
      <c r="J473" s="2" t="s">
        <v>94</v>
      </c>
      <c r="K473" s="2">
        <f t="shared" si="50"/>
        <v>1</v>
      </c>
      <c r="M473" s="2" cm="1">
        <f t="array" ref="M473">IF(AND('Nom du personnage'!U479=Compétences!J473,OR('Nom du personnage'!$C$65:$L$85=Compétences!$M$13,'Nom du personnage'!$Q$65:$Z$85=Compétences!$M$13)),H473,0)</f>
        <v>0</v>
      </c>
      <c r="N473" t="e">
        <f t="shared" si="53"/>
        <v>#N/A</v>
      </c>
      <c r="O473" t="e">
        <f t="shared" si="54"/>
        <v>#N/A</v>
      </c>
      <c r="P473">
        <f>'Nom du personnage'!$U$51</f>
        <v>0</v>
      </c>
    </row>
    <row r="474" spans="8:16" hidden="1">
      <c r="H474" s="2" t="s">
        <v>200</v>
      </c>
      <c r="I474">
        <v>6</v>
      </c>
      <c r="J474" s="2" t="s">
        <v>94</v>
      </c>
      <c r="K474" s="2">
        <f t="shared" si="50"/>
        <v>1</v>
      </c>
      <c r="M474">
        <f t="shared" si="49"/>
        <v>0</v>
      </c>
      <c r="N474" t="e">
        <f t="shared" si="53"/>
        <v>#N/A</v>
      </c>
      <c r="O474" t="e">
        <f t="shared" si="54"/>
        <v>#N/A</v>
      </c>
      <c r="P474">
        <f>'Nom du personnage'!$U$51</f>
        <v>0</v>
      </c>
    </row>
    <row r="475" spans="8:16" hidden="1">
      <c r="H475" s="2" t="s">
        <v>201</v>
      </c>
      <c r="I475">
        <v>6</v>
      </c>
      <c r="J475" s="2" t="s">
        <v>94</v>
      </c>
      <c r="K475" s="2">
        <f t="shared" si="50"/>
        <v>1</v>
      </c>
      <c r="M475">
        <f t="shared" si="49"/>
        <v>0</v>
      </c>
      <c r="N475" t="e">
        <f t="shared" si="53"/>
        <v>#N/A</v>
      </c>
      <c r="O475" t="e">
        <f t="shared" si="54"/>
        <v>#N/A</v>
      </c>
      <c r="P475">
        <f>'Nom du personnage'!$U$51</f>
        <v>0</v>
      </c>
    </row>
    <row r="476" spans="8:16" hidden="1">
      <c r="H476" s="2" t="s">
        <v>202</v>
      </c>
      <c r="I476">
        <v>5</v>
      </c>
      <c r="J476" s="2" t="s">
        <v>94</v>
      </c>
      <c r="K476" s="2">
        <f t="shared" si="50"/>
        <v>5</v>
      </c>
      <c r="M476">
        <f t="shared" si="49"/>
        <v>0</v>
      </c>
      <c r="N476" t="e">
        <f t="shared" si="53"/>
        <v>#N/A</v>
      </c>
      <c r="O476" t="e">
        <f t="shared" si="54"/>
        <v>#N/A</v>
      </c>
      <c r="P476">
        <f>'Nom du personnage'!$U$51</f>
        <v>0</v>
      </c>
    </row>
    <row r="477" spans="8:16" hidden="1">
      <c r="H477" s="2" t="s">
        <v>203</v>
      </c>
      <c r="I477">
        <v>6</v>
      </c>
      <c r="J477" s="2" t="s">
        <v>94</v>
      </c>
      <c r="K477" s="2">
        <f t="shared" si="50"/>
        <v>5</v>
      </c>
      <c r="M477" s="2" cm="1">
        <f t="array" ref="M477">IF(AND('Nom du personnage'!U349=Compétences!J477,OR('Nom du personnage'!$C$65:$L$85=Compétences!$H$48,'Nom du personnage'!$Q$65:$Z$85=Compétences!$H$48)),H477,0)</f>
        <v>0</v>
      </c>
      <c r="N477" t="e">
        <f t="shared" si="53"/>
        <v>#N/A</v>
      </c>
      <c r="O477" t="e">
        <f t="shared" si="54"/>
        <v>#N/A</v>
      </c>
      <c r="P477">
        <f>'Nom du personnage'!$U$51</f>
        <v>0</v>
      </c>
    </row>
    <row r="478" spans="8:16" hidden="1">
      <c r="H478" s="2" t="s">
        <v>204</v>
      </c>
      <c r="I478">
        <v>4</v>
      </c>
      <c r="J478" s="2" t="s">
        <v>94</v>
      </c>
      <c r="K478" s="2">
        <f t="shared" si="50"/>
        <v>1</v>
      </c>
      <c r="M478">
        <f t="shared" si="49"/>
        <v>0</v>
      </c>
      <c r="N478" t="e">
        <f t="shared" si="53"/>
        <v>#N/A</v>
      </c>
      <c r="O478" t="e">
        <f t="shared" si="54"/>
        <v>#N/A</v>
      </c>
      <c r="P478">
        <f>'Nom du personnage'!$U$51</f>
        <v>0</v>
      </c>
    </row>
    <row r="479" spans="8:16" hidden="1">
      <c r="H479" s="2" t="s">
        <v>205</v>
      </c>
      <c r="I479">
        <v>5</v>
      </c>
      <c r="J479" s="2" t="s">
        <v>94</v>
      </c>
      <c r="K479" s="2">
        <f t="shared" si="50"/>
        <v>5</v>
      </c>
      <c r="M479" s="2" cm="1">
        <f t="array" ref="M479">IF(AND('Nom du personnage'!U479=Compétences!J479,OR('Nom du personnage'!$C$65:$L$85=Compétences!$H$50,'Nom du personnage'!$Q$65:$Z$85=Compétences!$H$50)),H479,0)</f>
        <v>0</v>
      </c>
      <c r="N479" t="e">
        <f t="shared" si="53"/>
        <v>#N/A</v>
      </c>
      <c r="O479" t="e">
        <f t="shared" si="54"/>
        <v>#N/A</v>
      </c>
      <c r="P479">
        <f>'Nom du personnage'!$U$51</f>
        <v>0</v>
      </c>
    </row>
    <row r="480" spans="8:16">
      <c r="H480" s="2" t="s">
        <v>206</v>
      </c>
      <c r="I480">
        <v>3</v>
      </c>
      <c r="J480" s="2" t="s">
        <v>94</v>
      </c>
      <c r="K480" s="2">
        <f t="shared" si="50"/>
        <v>5</v>
      </c>
      <c r="M480" s="2" cm="1">
        <f t="array" ref="M480">IF(AND('Nom du personnage'!U479=Compétences!J480,OR('Nom du personnage'!$C$65:$L$85=Compétences!$M$18,'Nom du personnage'!$Q$65:$Z$85=Compétences!$M$18)),H480,0)</f>
        <v>0</v>
      </c>
      <c r="N480" t="e">
        <f t="shared" si="53"/>
        <v>#N/A</v>
      </c>
      <c r="O480" t="e">
        <f t="shared" si="54"/>
        <v>#N/A</v>
      </c>
      <c r="P480">
        <f>'Nom du personnage'!$U$51</f>
        <v>0</v>
      </c>
    </row>
    <row r="481" spans="8:16" hidden="1">
      <c r="H481" s="2" t="s">
        <v>1005</v>
      </c>
      <c r="I481" s="2">
        <v>2</v>
      </c>
      <c r="J481" s="2" t="s">
        <v>94</v>
      </c>
      <c r="K481" s="2">
        <f t="shared" si="50"/>
        <v>5</v>
      </c>
      <c r="M481" s="2" cm="1">
        <f t="array" ref="M481">IF(AND('Nom du personnage'!$U$51=Compétences!J481,OR('Nom du personnage'!$C$65:$L$85=Compétences!$M$3,'Nom du personnage'!$Q$65:$Z$85=Compétences!$M$3)),H481,0)</f>
        <v>0</v>
      </c>
      <c r="N481" t="e">
        <f t="shared" si="53"/>
        <v>#N/A</v>
      </c>
      <c r="O481" t="e">
        <f t="shared" si="54"/>
        <v>#N/A</v>
      </c>
      <c r="P481">
        <f>'Nom du personnage'!$U$51</f>
        <v>0</v>
      </c>
    </row>
    <row r="482" spans="8:16" hidden="1">
      <c r="H482" s="2" t="s">
        <v>208</v>
      </c>
      <c r="I482" s="2">
        <v>6</v>
      </c>
      <c r="J482" s="2" t="s">
        <v>94</v>
      </c>
      <c r="K482" s="2">
        <f t="shared" si="50"/>
        <v>1</v>
      </c>
      <c r="M482">
        <f t="shared" si="49"/>
        <v>0</v>
      </c>
      <c r="N482" t="e">
        <f t="shared" si="53"/>
        <v>#N/A</v>
      </c>
      <c r="O482" t="e">
        <f t="shared" si="54"/>
        <v>#N/A</v>
      </c>
      <c r="P482">
        <f>'Nom du personnage'!$U$51</f>
        <v>0</v>
      </c>
    </row>
    <row r="483" spans="8:16" hidden="1">
      <c r="H483" s="2" t="s">
        <v>209</v>
      </c>
      <c r="I483" s="2">
        <v>4</v>
      </c>
      <c r="J483" s="2" t="s">
        <v>94</v>
      </c>
      <c r="K483" s="2">
        <f t="shared" si="50"/>
        <v>1</v>
      </c>
      <c r="M483">
        <f t="shared" si="49"/>
        <v>0</v>
      </c>
      <c r="N483" t="e">
        <f t="shared" si="53"/>
        <v>#N/A</v>
      </c>
      <c r="O483" t="e">
        <f t="shared" si="54"/>
        <v>#N/A</v>
      </c>
      <c r="P483">
        <f>'Nom du personnage'!$U$51</f>
        <v>0</v>
      </c>
    </row>
    <row r="484" spans="8:16" hidden="1">
      <c r="H484" s="2" t="s">
        <v>211</v>
      </c>
      <c r="I484" s="2">
        <v>4</v>
      </c>
      <c r="J484" s="2" t="s">
        <v>94</v>
      </c>
      <c r="K484" s="2">
        <f t="shared" si="50"/>
        <v>1</v>
      </c>
      <c r="M484">
        <f t="shared" si="49"/>
        <v>0</v>
      </c>
      <c r="N484" t="e">
        <f t="shared" si="53"/>
        <v>#N/A</v>
      </c>
      <c r="O484" t="e">
        <f t="shared" si="54"/>
        <v>#N/A</v>
      </c>
      <c r="P484">
        <f>'Nom du personnage'!$U$51</f>
        <v>0</v>
      </c>
    </row>
    <row r="485" spans="8:16" hidden="1">
      <c r="H485" s="2" t="s">
        <v>210</v>
      </c>
      <c r="I485" s="2">
        <v>6</v>
      </c>
      <c r="J485" s="2" t="s">
        <v>94</v>
      </c>
      <c r="K485" s="2">
        <f t="shared" si="50"/>
        <v>1</v>
      </c>
      <c r="M485">
        <f t="shared" si="49"/>
        <v>0</v>
      </c>
      <c r="N485" t="e">
        <f t="shared" si="53"/>
        <v>#N/A</v>
      </c>
      <c r="O485" t="e">
        <f t="shared" si="54"/>
        <v>#N/A</v>
      </c>
      <c r="P485">
        <f>'Nom du personnage'!$U$51</f>
        <v>0</v>
      </c>
    </row>
    <row r="486" spans="8:16" hidden="1">
      <c r="H486" s="2" t="s">
        <v>212</v>
      </c>
      <c r="I486" s="2">
        <v>6</v>
      </c>
      <c r="J486" s="2" t="s">
        <v>94</v>
      </c>
      <c r="K486" s="2">
        <f t="shared" si="50"/>
        <v>1</v>
      </c>
      <c r="M486">
        <f t="shared" si="49"/>
        <v>0</v>
      </c>
      <c r="N486" t="e">
        <f t="shared" si="53"/>
        <v>#N/A</v>
      </c>
      <c r="O486" t="e">
        <f t="shared" si="54"/>
        <v>#N/A</v>
      </c>
      <c r="P486">
        <f>'Nom du personnage'!$U$51</f>
        <v>0</v>
      </c>
    </row>
    <row r="487" spans="8:16" hidden="1">
      <c r="H487" s="2" t="s">
        <v>213</v>
      </c>
      <c r="I487" s="2">
        <v>6</v>
      </c>
      <c r="J487" s="2" t="s">
        <v>94</v>
      </c>
      <c r="K487" s="2">
        <f t="shared" si="50"/>
        <v>1</v>
      </c>
      <c r="M487">
        <f t="shared" ref="M487:M549" si="55">IF(P487=J487,H487,)</f>
        <v>0</v>
      </c>
      <c r="N487" t="e">
        <f t="shared" si="53"/>
        <v>#N/A</v>
      </c>
      <c r="O487" t="e">
        <f t="shared" si="54"/>
        <v>#N/A</v>
      </c>
      <c r="P487">
        <f>'Nom du personnage'!$U$51</f>
        <v>0</v>
      </c>
    </row>
    <row r="488" spans="8:16" hidden="1">
      <c r="H488" s="2" t="s">
        <v>232</v>
      </c>
      <c r="I488" s="2">
        <v>5</v>
      </c>
      <c r="J488" s="2" t="s">
        <v>94</v>
      </c>
      <c r="K488" s="2">
        <f t="shared" si="50"/>
        <v>5</v>
      </c>
      <c r="M488">
        <f>IF(AND('Nom du personnage'!$U$51=Compétences!J488,Religion!$D$29=TRUE),Compétences!H488,0)</f>
        <v>0</v>
      </c>
      <c r="N488" t="e">
        <f t="shared" si="53"/>
        <v>#N/A</v>
      </c>
      <c r="O488" t="e">
        <f t="shared" si="54"/>
        <v>#N/A</v>
      </c>
      <c r="P488">
        <f>'Nom du personnage'!$U$51</f>
        <v>0</v>
      </c>
    </row>
    <row r="489" spans="8:16" hidden="1">
      <c r="H489" s="2" t="s">
        <v>233</v>
      </c>
      <c r="I489" s="2">
        <v>6</v>
      </c>
      <c r="J489" s="2" t="s">
        <v>94</v>
      </c>
      <c r="K489" s="2">
        <f t="shared" si="50"/>
        <v>5</v>
      </c>
      <c r="M489">
        <f t="shared" si="55"/>
        <v>0</v>
      </c>
      <c r="N489" t="e">
        <f t="shared" si="53"/>
        <v>#N/A</v>
      </c>
      <c r="O489" t="e">
        <f t="shared" si="54"/>
        <v>#N/A</v>
      </c>
      <c r="P489">
        <f>'Nom du personnage'!$U$51</f>
        <v>0</v>
      </c>
    </row>
    <row r="490" spans="8:16" hidden="1">
      <c r="H490" s="2" t="s">
        <v>234</v>
      </c>
      <c r="I490" s="2">
        <v>6</v>
      </c>
      <c r="J490" s="2" t="s">
        <v>94</v>
      </c>
      <c r="K490" s="2">
        <f t="shared" si="50"/>
        <v>5</v>
      </c>
      <c r="M490">
        <f t="shared" si="55"/>
        <v>0</v>
      </c>
      <c r="N490" t="e">
        <f t="shared" si="53"/>
        <v>#N/A</v>
      </c>
      <c r="O490" t="e">
        <f t="shared" si="54"/>
        <v>#N/A</v>
      </c>
      <c r="P490">
        <f>'Nom du personnage'!$U$51</f>
        <v>0</v>
      </c>
    </row>
    <row r="491" spans="8:16" hidden="1">
      <c r="H491" s="2" t="s">
        <v>235</v>
      </c>
      <c r="I491" s="2">
        <v>6</v>
      </c>
      <c r="J491" s="2" t="s">
        <v>94</v>
      </c>
      <c r="K491" s="2">
        <f t="shared" si="50"/>
        <v>5</v>
      </c>
      <c r="M491">
        <f>IF(AND('Nom du personnage'!$U$51=Compétences!J491,Religion!$D$29),Compétences!H491,0)</f>
        <v>0</v>
      </c>
      <c r="N491" t="e">
        <f t="shared" si="53"/>
        <v>#N/A</v>
      </c>
      <c r="O491" t="e">
        <f t="shared" si="54"/>
        <v>#N/A</v>
      </c>
      <c r="P491">
        <f>'Nom du personnage'!$U$51</f>
        <v>0</v>
      </c>
    </row>
    <row r="492" spans="8:16" hidden="1">
      <c r="H492" s="2" t="s">
        <v>236</v>
      </c>
      <c r="I492" s="2">
        <v>3</v>
      </c>
      <c r="J492" s="2" t="s">
        <v>94</v>
      </c>
      <c r="K492" s="2">
        <f t="shared" si="50"/>
        <v>1</v>
      </c>
      <c r="M492">
        <f t="shared" si="55"/>
        <v>0</v>
      </c>
      <c r="N492" t="e">
        <f t="shared" si="53"/>
        <v>#N/A</v>
      </c>
      <c r="O492" t="e">
        <f t="shared" si="54"/>
        <v>#N/A</v>
      </c>
      <c r="P492">
        <f>'Nom du personnage'!$U$51</f>
        <v>0</v>
      </c>
    </row>
    <row r="493" spans="8:16" hidden="1">
      <c r="H493" s="2" t="s">
        <v>237</v>
      </c>
      <c r="I493" s="2">
        <v>5</v>
      </c>
      <c r="J493" s="2" t="s">
        <v>94</v>
      </c>
      <c r="K493" s="2">
        <f t="shared" ref="K493:K556" si="56">VLOOKUP(H493,$B$3:$D$115,3,FALSE)</f>
        <v>1</v>
      </c>
      <c r="M493">
        <f t="shared" si="55"/>
        <v>0</v>
      </c>
      <c r="N493" t="e">
        <f t="shared" si="53"/>
        <v>#N/A</v>
      </c>
      <c r="O493" t="e">
        <f t="shared" si="54"/>
        <v>#N/A</v>
      </c>
      <c r="P493">
        <f>'Nom du personnage'!$U$51</f>
        <v>0</v>
      </c>
    </row>
    <row r="494" spans="8:16" hidden="1">
      <c r="H494" s="2" t="s">
        <v>238</v>
      </c>
      <c r="I494" s="2">
        <v>3</v>
      </c>
      <c r="J494" s="2" t="s">
        <v>94</v>
      </c>
      <c r="K494" s="2">
        <f t="shared" si="56"/>
        <v>1</v>
      </c>
      <c r="M494">
        <f t="shared" si="55"/>
        <v>0</v>
      </c>
      <c r="N494" t="e">
        <f t="shared" si="53"/>
        <v>#N/A</v>
      </c>
      <c r="O494" t="e">
        <f t="shared" si="54"/>
        <v>#N/A</v>
      </c>
      <c r="P494">
        <f>'Nom du personnage'!$U$51</f>
        <v>0</v>
      </c>
    </row>
    <row r="495" spans="8:16" hidden="1">
      <c r="H495" s="2" t="s">
        <v>246</v>
      </c>
      <c r="I495" s="2">
        <v>6</v>
      </c>
      <c r="J495" s="2" t="s">
        <v>94</v>
      </c>
      <c r="K495" s="2">
        <f t="shared" si="56"/>
        <v>5</v>
      </c>
      <c r="M495" s="2" cm="1">
        <f t="array" ref="M495">IF(AND('Nom du personnage'!$U$51=Compétences!J495,OR('Nom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personnage'!$Q$65:$Z$85=Compétences!$H$1052)),H495,0)</f>
        <v>0</v>
      </c>
      <c r="N495" t="e">
        <f t="shared" si="53"/>
        <v>#N/A</v>
      </c>
      <c r="O495" t="e">
        <f t="shared" si="54"/>
        <v>#N/A</v>
      </c>
      <c r="P495">
        <f>'Nom du personnage'!$U$51</f>
        <v>0</v>
      </c>
    </row>
    <row r="496" spans="8:16" hidden="1">
      <c r="H496" s="2" t="s">
        <v>239</v>
      </c>
      <c r="I496" s="2">
        <v>5</v>
      </c>
      <c r="J496" s="2" t="s">
        <v>94</v>
      </c>
      <c r="K496" s="2">
        <f t="shared" si="56"/>
        <v>1</v>
      </c>
      <c r="M496">
        <f t="shared" si="55"/>
        <v>0</v>
      </c>
      <c r="N496" t="e">
        <f t="shared" si="53"/>
        <v>#N/A</v>
      </c>
      <c r="O496" t="e">
        <f t="shared" si="54"/>
        <v>#N/A</v>
      </c>
      <c r="P496">
        <f>'Nom du personnage'!$U$51</f>
        <v>0</v>
      </c>
    </row>
    <row r="497" spans="8:16" hidden="1">
      <c r="H497" s="2" t="s">
        <v>240</v>
      </c>
      <c r="I497" s="2">
        <v>6</v>
      </c>
      <c r="J497" s="2" t="s">
        <v>94</v>
      </c>
      <c r="K497" s="2">
        <f t="shared" si="56"/>
        <v>1</v>
      </c>
      <c r="M497">
        <f t="shared" si="55"/>
        <v>0</v>
      </c>
      <c r="N497" t="e">
        <f t="shared" si="53"/>
        <v>#N/A</v>
      </c>
      <c r="O497" t="e">
        <f t="shared" si="54"/>
        <v>#N/A</v>
      </c>
      <c r="P497">
        <f>'Nom du personnage'!$U$51</f>
        <v>0</v>
      </c>
    </row>
    <row r="498" spans="8:16" hidden="1">
      <c r="H498" s="2" t="s">
        <v>241</v>
      </c>
      <c r="I498" s="2">
        <v>6</v>
      </c>
      <c r="J498" s="2" t="s">
        <v>94</v>
      </c>
      <c r="K498" s="2">
        <f t="shared" si="56"/>
        <v>1</v>
      </c>
      <c r="M498">
        <f t="shared" si="55"/>
        <v>0</v>
      </c>
      <c r="N498" t="e">
        <f t="shared" si="53"/>
        <v>#N/A</v>
      </c>
      <c r="O498" t="e">
        <f t="shared" si="54"/>
        <v>#N/A</v>
      </c>
      <c r="P498">
        <f>'Nom du personnage'!$U$51</f>
        <v>0</v>
      </c>
    </row>
    <row r="499" spans="8:16" hidden="1">
      <c r="H499" s="2" t="s">
        <v>242</v>
      </c>
      <c r="I499" s="2">
        <v>6</v>
      </c>
      <c r="J499" s="2" t="s">
        <v>94</v>
      </c>
      <c r="K499" s="2">
        <f t="shared" si="56"/>
        <v>5</v>
      </c>
      <c r="M499">
        <f t="shared" si="55"/>
        <v>0</v>
      </c>
      <c r="N499" t="e">
        <f t="shared" si="53"/>
        <v>#N/A</v>
      </c>
      <c r="O499" t="e">
        <f t="shared" si="54"/>
        <v>#N/A</v>
      </c>
      <c r="P499">
        <f>'Nom du personnage'!$U$51</f>
        <v>0</v>
      </c>
    </row>
    <row r="500" spans="8:16" hidden="1">
      <c r="H500" s="2" t="s">
        <v>243</v>
      </c>
      <c r="I500" s="2">
        <v>5</v>
      </c>
      <c r="J500" s="2" t="s">
        <v>94</v>
      </c>
      <c r="K500" s="2">
        <f t="shared" si="56"/>
        <v>1</v>
      </c>
      <c r="M500">
        <f t="shared" si="55"/>
        <v>0</v>
      </c>
      <c r="N500" t="e">
        <f t="shared" si="53"/>
        <v>#N/A</v>
      </c>
      <c r="O500" t="e">
        <f t="shared" si="54"/>
        <v>#N/A</v>
      </c>
      <c r="P500">
        <f>'Nom du personnage'!$U$51</f>
        <v>0</v>
      </c>
    </row>
    <row r="501" spans="8:16" hidden="1">
      <c r="H501" s="2" t="s">
        <v>244</v>
      </c>
      <c r="I501" s="2">
        <v>5</v>
      </c>
      <c r="J501" s="2" t="s">
        <v>94</v>
      </c>
      <c r="K501" s="2">
        <f t="shared" si="56"/>
        <v>5</v>
      </c>
      <c r="M501" s="2" cm="1">
        <f t="array" ref="M501">IF(AND('Nom du personnage'!$U$51=Compétences!J501,OR('Nom du personnage'!$C$65:$L$85=Compétences!$H$89,'Nom du personnage'!$Q$65:$Z$85=Compétences!$H$89)),H501,0)</f>
        <v>0</v>
      </c>
      <c r="N501" t="e">
        <f t="shared" si="53"/>
        <v>#N/A</v>
      </c>
      <c r="O501" t="e">
        <f t="shared" si="54"/>
        <v>#N/A</v>
      </c>
      <c r="P501">
        <f>'Nom du personnage'!$U$51</f>
        <v>0</v>
      </c>
    </row>
    <row r="502" spans="8:16" hidden="1">
      <c r="H502" s="2" t="s">
        <v>245</v>
      </c>
      <c r="I502" s="2">
        <v>2</v>
      </c>
      <c r="J502" s="2" t="s">
        <v>94</v>
      </c>
      <c r="K502" s="2">
        <f t="shared" si="56"/>
        <v>5</v>
      </c>
      <c r="M502">
        <f t="shared" si="55"/>
        <v>0</v>
      </c>
      <c r="N502" t="e">
        <f t="shared" si="53"/>
        <v>#N/A</v>
      </c>
      <c r="O502" t="e">
        <f t="shared" si="54"/>
        <v>#N/A</v>
      </c>
      <c r="P502">
        <f>'Nom du personnage'!$U$51</f>
        <v>0</v>
      </c>
    </row>
    <row r="503" spans="8:16" hidden="1">
      <c r="H503" s="2" t="s">
        <v>185</v>
      </c>
      <c r="I503">
        <v>6</v>
      </c>
      <c r="J503" s="2" t="s">
        <v>98</v>
      </c>
      <c r="K503" s="2">
        <f t="shared" si="56"/>
        <v>1</v>
      </c>
      <c r="M503">
        <f t="shared" si="55"/>
        <v>0</v>
      </c>
      <c r="N503" t="e">
        <f t="shared" ref="N503:N534" si="57">VLOOKUP(M503,H503:J560,2,FALSE)</f>
        <v>#N/A</v>
      </c>
      <c r="O503" t="e">
        <f t="shared" ref="O503:O534" si="58">VLOOKUP(M503,H503:J560,2,FALSE)+1</f>
        <v>#N/A</v>
      </c>
      <c r="P503">
        <f>'Nom du personnage'!$U$51</f>
        <v>0</v>
      </c>
    </row>
    <row r="504" spans="8:16" hidden="1">
      <c r="H504" s="2" t="s">
        <v>199</v>
      </c>
      <c r="I504">
        <v>6</v>
      </c>
      <c r="J504" s="2" t="s">
        <v>98</v>
      </c>
      <c r="K504" s="2">
        <f t="shared" si="56"/>
        <v>1</v>
      </c>
      <c r="M504" s="2" cm="1">
        <f t="array" ref="M504">IF(AND('Nom du personnage'!U510=Compétences!J504,OR('Nom du personnage'!$C$65:$L$85=Compétences!$M$13,'Nom du personnage'!$Q$65:$Z$85=Compétences!$M$13)),H504,0)</f>
        <v>0</v>
      </c>
      <c r="N504" t="e">
        <f t="shared" si="57"/>
        <v>#N/A</v>
      </c>
      <c r="O504" t="e">
        <f t="shared" si="58"/>
        <v>#N/A</v>
      </c>
      <c r="P504">
        <f>'Nom du personnage'!$U$51</f>
        <v>0</v>
      </c>
    </row>
    <row r="505" spans="8:16" hidden="1">
      <c r="H505" s="2" t="s">
        <v>200</v>
      </c>
      <c r="I505">
        <v>6</v>
      </c>
      <c r="J505" s="2" t="s">
        <v>98</v>
      </c>
      <c r="K505" s="2">
        <f t="shared" si="56"/>
        <v>1</v>
      </c>
      <c r="M505">
        <f t="shared" si="55"/>
        <v>0</v>
      </c>
      <c r="N505" t="e">
        <f t="shared" si="57"/>
        <v>#N/A</v>
      </c>
      <c r="O505" t="e">
        <f t="shared" si="58"/>
        <v>#N/A</v>
      </c>
      <c r="P505">
        <f>'Nom du personnage'!$U$51</f>
        <v>0</v>
      </c>
    </row>
    <row r="506" spans="8:16" hidden="1">
      <c r="H506" s="2" t="s">
        <v>201</v>
      </c>
      <c r="I506">
        <v>6</v>
      </c>
      <c r="J506" s="2" t="s">
        <v>98</v>
      </c>
      <c r="K506" s="2">
        <f t="shared" si="56"/>
        <v>1</v>
      </c>
      <c r="M506">
        <f t="shared" si="55"/>
        <v>0</v>
      </c>
      <c r="N506" t="e">
        <f t="shared" si="57"/>
        <v>#N/A</v>
      </c>
      <c r="O506" t="e">
        <f t="shared" si="58"/>
        <v>#N/A</v>
      </c>
      <c r="P506">
        <f>'Nom du personnage'!$U$51</f>
        <v>0</v>
      </c>
    </row>
    <row r="507" spans="8:16" hidden="1">
      <c r="H507" s="2" t="s">
        <v>202</v>
      </c>
      <c r="I507">
        <v>5</v>
      </c>
      <c r="J507" s="2" t="s">
        <v>98</v>
      </c>
      <c r="K507" s="2">
        <f t="shared" si="56"/>
        <v>5</v>
      </c>
      <c r="M507">
        <f t="shared" si="55"/>
        <v>0</v>
      </c>
      <c r="N507" t="e">
        <f t="shared" si="57"/>
        <v>#N/A</v>
      </c>
      <c r="O507" t="e">
        <f t="shared" si="58"/>
        <v>#N/A</v>
      </c>
      <c r="P507">
        <f>'Nom du personnage'!$U$51</f>
        <v>0</v>
      </c>
    </row>
    <row r="508" spans="8:16" hidden="1">
      <c r="H508" s="2" t="s">
        <v>203</v>
      </c>
      <c r="I508">
        <v>6</v>
      </c>
      <c r="J508" s="2" t="s">
        <v>98</v>
      </c>
      <c r="K508" s="2">
        <f t="shared" si="56"/>
        <v>5</v>
      </c>
      <c r="M508" s="2" cm="1">
        <f t="array" ref="M508">IF(AND('Nom du personnage'!U380=Compétences!J508,OR('Nom du personnage'!$C$65:$L$85=Compétences!$H$48,'Nom du personnage'!$Q$65:$Z$85=Compétences!$H$48)),H508,0)</f>
        <v>0</v>
      </c>
      <c r="N508" t="e">
        <f t="shared" si="57"/>
        <v>#N/A</v>
      </c>
      <c r="O508" t="e">
        <f t="shared" si="58"/>
        <v>#N/A</v>
      </c>
      <c r="P508">
        <f>'Nom du personnage'!$U$51</f>
        <v>0</v>
      </c>
    </row>
    <row r="509" spans="8:16" hidden="1">
      <c r="H509" s="2" t="s">
        <v>204</v>
      </c>
      <c r="I509">
        <v>4</v>
      </c>
      <c r="J509" s="2" t="s">
        <v>98</v>
      </c>
      <c r="K509" s="2">
        <f t="shared" si="56"/>
        <v>1</v>
      </c>
      <c r="M509">
        <f t="shared" si="55"/>
        <v>0</v>
      </c>
      <c r="N509" t="e">
        <f t="shared" si="57"/>
        <v>#N/A</v>
      </c>
      <c r="O509" t="e">
        <f t="shared" si="58"/>
        <v>#N/A</v>
      </c>
      <c r="P509">
        <f>'Nom du personnage'!$U$51</f>
        <v>0</v>
      </c>
    </row>
    <row r="510" spans="8:16" hidden="1">
      <c r="H510" s="2" t="s">
        <v>205</v>
      </c>
      <c r="I510">
        <v>5</v>
      </c>
      <c r="J510" s="2" t="s">
        <v>98</v>
      </c>
      <c r="K510" s="2">
        <f t="shared" si="56"/>
        <v>5</v>
      </c>
      <c r="M510" s="2" cm="1">
        <f t="array" ref="M510">IF(AND('Nom du personnage'!U510=Compétences!J510,OR('Nom du personnage'!$C$65:$L$85=Compétences!$H$50,'Nom du personnage'!$Q$65:$Z$85=Compétences!$H$50)),H510,0)</f>
        <v>0</v>
      </c>
      <c r="N510" t="e">
        <f t="shared" si="57"/>
        <v>#N/A</v>
      </c>
      <c r="O510" t="e">
        <f t="shared" si="58"/>
        <v>#N/A</v>
      </c>
      <c r="P510">
        <f>'Nom du personnage'!$U$51</f>
        <v>0</v>
      </c>
    </row>
    <row r="511" spans="8:16">
      <c r="H511" s="2" t="s">
        <v>206</v>
      </c>
      <c r="I511">
        <v>3</v>
      </c>
      <c r="J511" s="2" t="s">
        <v>98</v>
      </c>
      <c r="K511" s="2">
        <f t="shared" si="56"/>
        <v>5</v>
      </c>
      <c r="M511" s="2" cm="1">
        <f t="array" ref="M511">IF(AND('Nom du personnage'!U510=Compétences!J511,OR('Nom du personnage'!$C$65:$L$85=Compétences!$M$18,'Nom du personnage'!$Q$65:$Z$85=Compétences!$M$18)),H511,0)</f>
        <v>0</v>
      </c>
      <c r="N511" t="e">
        <f t="shared" si="57"/>
        <v>#N/A</v>
      </c>
      <c r="O511" t="e">
        <f t="shared" si="58"/>
        <v>#N/A</v>
      </c>
      <c r="P511">
        <f>'Nom du personnage'!$U$51</f>
        <v>0</v>
      </c>
    </row>
    <row r="512" spans="8:16" hidden="1">
      <c r="H512" s="2" t="s">
        <v>1005</v>
      </c>
      <c r="I512" s="2">
        <v>2</v>
      </c>
      <c r="J512" s="2" t="s">
        <v>98</v>
      </c>
      <c r="K512" s="2">
        <f t="shared" si="56"/>
        <v>5</v>
      </c>
      <c r="M512" s="2" cm="1">
        <f t="array" ref="M512">IF(AND('Nom du personnage'!$U$51=Compétences!J512,OR('Nom du personnage'!$C$65:$L$85=Compétences!$M$3,'Nom du personnage'!$Q$65:$Z$85=Compétences!$M$3)),H512,0)</f>
        <v>0</v>
      </c>
      <c r="N512" t="e">
        <f t="shared" si="57"/>
        <v>#N/A</v>
      </c>
      <c r="O512" t="e">
        <f t="shared" si="58"/>
        <v>#N/A</v>
      </c>
      <c r="P512">
        <f>'Nom du personnage'!$U$51</f>
        <v>0</v>
      </c>
    </row>
    <row r="513" spans="8:16" hidden="1">
      <c r="H513" s="2" t="s">
        <v>208</v>
      </c>
      <c r="I513" s="2">
        <v>6</v>
      </c>
      <c r="J513" s="2" t="s">
        <v>98</v>
      </c>
      <c r="K513" s="2">
        <f t="shared" si="56"/>
        <v>1</v>
      </c>
      <c r="M513">
        <f t="shared" si="55"/>
        <v>0</v>
      </c>
      <c r="N513" t="e">
        <f t="shared" si="57"/>
        <v>#N/A</v>
      </c>
      <c r="O513" t="e">
        <f t="shared" si="58"/>
        <v>#N/A</v>
      </c>
      <c r="P513">
        <f>'Nom du personnage'!$U$51</f>
        <v>0</v>
      </c>
    </row>
    <row r="514" spans="8:16" hidden="1">
      <c r="H514" s="2" t="s">
        <v>209</v>
      </c>
      <c r="I514" s="2">
        <v>4</v>
      </c>
      <c r="J514" s="2" t="s">
        <v>98</v>
      </c>
      <c r="K514" s="2">
        <f t="shared" si="56"/>
        <v>1</v>
      </c>
      <c r="M514">
        <f t="shared" si="55"/>
        <v>0</v>
      </c>
      <c r="N514" t="e">
        <f t="shared" si="57"/>
        <v>#N/A</v>
      </c>
      <c r="O514" t="e">
        <f t="shared" si="58"/>
        <v>#N/A</v>
      </c>
      <c r="P514">
        <f>'Nom du personnage'!$U$51</f>
        <v>0</v>
      </c>
    </row>
    <row r="515" spans="8:16" hidden="1">
      <c r="H515" s="2" t="s">
        <v>211</v>
      </c>
      <c r="I515" s="2">
        <v>4</v>
      </c>
      <c r="J515" s="2" t="s">
        <v>98</v>
      </c>
      <c r="K515" s="2">
        <f t="shared" si="56"/>
        <v>1</v>
      </c>
      <c r="M515">
        <f t="shared" si="55"/>
        <v>0</v>
      </c>
      <c r="N515" t="e">
        <f t="shared" si="57"/>
        <v>#N/A</v>
      </c>
      <c r="O515" t="e">
        <f t="shared" si="58"/>
        <v>#N/A</v>
      </c>
      <c r="P515">
        <f>'Nom du personnage'!$U$51</f>
        <v>0</v>
      </c>
    </row>
    <row r="516" spans="8:16" hidden="1">
      <c r="H516" s="2" t="s">
        <v>210</v>
      </c>
      <c r="I516" s="2">
        <v>6</v>
      </c>
      <c r="J516" s="2" t="s">
        <v>98</v>
      </c>
      <c r="K516" s="2">
        <f t="shared" si="56"/>
        <v>1</v>
      </c>
      <c r="M516">
        <f t="shared" si="55"/>
        <v>0</v>
      </c>
      <c r="N516" t="e">
        <f t="shared" si="57"/>
        <v>#N/A</v>
      </c>
      <c r="O516" t="e">
        <f t="shared" si="58"/>
        <v>#N/A</v>
      </c>
      <c r="P516">
        <f>'Nom du personnage'!$U$51</f>
        <v>0</v>
      </c>
    </row>
    <row r="517" spans="8:16" hidden="1">
      <c r="H517" s="2" t="s">
        <v>212</v>
      </c>
      <c r="I517" s="2">
        <v>6</v>
      </c>
      <c r="J517" s="2" t="s">
        <v>98</v>
      </c>
      <c r="K517" s="2">
        <f t="shared" si="56"/>
        <v>1</v>
      </c>
      <c r="M517">
        <f t="shared" si="55"/>
        <v>0</v>
      </c>
      <c r="N517" t="e">
        <f t="shared" si="57"/>
        <v>#N/A</v>
      </c>
      <c r="O517" t="e">
        <f t="shared" si="58"/>
        <v>#N/A</v>
      </c>
      <c r="P517">
        <f>'Nom du personnage'!$U$51</f>
        <v>0</v>
      </c>
    </row>
    <row r="518" spans="8:16" hidden="1">
      <c r="H518" s="2" t="s">
        <v>213</v>
      </c>
      <c r="I518" s="2">
        <v>6</v>
      </c>
      <c r="J518" s="2" t="s">
        <v>98</v>
      </c>
      <c r="K518" s="2">
        <f t="shared" si="56"/>
        <v>1</v>
      </c>
      <c r="M518">
        <f t="shared" si="55"/>
        <v>0</v>
      </c>
      <c r="N518" t="e">
        <f t="shared" si="57"/>
        <v>#N/A</v>
      </c>
      <c r="O518" t="e">
        <f t="shared" si="58"/>
        <v>#N/A</v>
      </c>
      <c r="P518">
        <f>'Nom du personnage'!$U$51</f>
        <v>0</v>
      </c>
    </row>
    <row r="519" spans="8:16" hidden="1">
      <c r="H519" s="2" t="s">
        <v>247</v>
      </c>
      <c r="I519" s="2">
        <v>5</v>
      </c>
      <c r="J519" s="2" t="s">
        <v>98</v>
      </c>
      <c r="K519" s="2">
        <f t="shared" si="56"/>
        <v>5</v>
      </c>
      <c r="M519">
        <f>IF('Nom du personnage'!$U$51=Compétences!J519,'Contact marchand'!F3,0)</f>
        <v>0</v>
      </c>
      <c r="N519" t="e">
        <f t="shared" si="57"/>
        <v>#N/A</v>
      </c>
      <c r="O519" t="e">
        <f t="shared" si="58"/>
        <v>#N/A</v>
      </c>
      <c r="P519">
        <f>'Nom du personnage'!$U$51</f>
        <v>0</v>
      </c>
    </row>
    <row r="520" spans="8:16" hidden="1">
      <c r="H520" s="2" t="s">
        <v>248</v>
      </c>
      <c r="I520" s="2">
        <v>5</v>
      </c>
      <c r="J520" s="2" t="s">
        <v>98</v>
      </c>
      <c r="K520" s="2">
        <f t="shared" si="56"/>
        <v>5</v>
      </c>
      <c r="M520">
        <f>IF('Nom du personnage'!$U$51=Compétences!J520,'Contact marchand'!F4,0)</f>
        <v>0</v>
      </c>
      <c r="N520" t="e">
        <f t="shared" si="57"/>
        <v>#N/A</v>
      </c>
      <c r="O520" t="e">
        <f t="shared" si="58"/>
        <v>#N/A</v>
      </c>
      <c r="P520">
        <f>'Nom du personnage'!$U$51</f>
        <v>0</v>
      </c>
    </row>
    <row r="521" spans="8:16" hidden="1">
      <c r="H521" s="2" t="s">
        <v>249</v>
      </c>
      <c r="I521" s="2">
        <v>5</v>
      </c>
      <c r="J521" s="2" t="s">
        <v>98</v>
      </c>
      <c r="K521" s="2">
        <f t="shared" si="56"/>
        <v>5</v>
      </c>
      <c r="M521">
        <f>IF('Nom du personnage'!$U$51=Compétences!J521,'Contact marchand'!F5,0)</f>
        <v>0</v>
      </c>
      <c r="N521" t="e">
        <f t="shared" si="57"/>
        <v>#N/A</v>
      </c>
      <c r="O521" t="e">
        <f t="shared" si="58"/>
        <v>#N/A</v>
      </c>
      <c r="P521">
        <f>'Nom du personnage'!$U$51</f>
        <v>0</v>
      </c>
    </row>
    <row r="522" spans="8:16" hidden="1">
      <c r="H522" s="2" t="s">
        <v>250</v>
      </c>
      <c r="I522" s="2">
        <v>5</v>
      </c>
      <c r="J522" s="2" t="s">
        <v>98</v>
      </c>
      <c r="K522" s="2">
        <f t="shared" si="56"/>
        <v>5</v>
      </c>
      <c r="M522">
        <f>IF('Nom du personnage'!$U$51=Compétences!J522,'Contact marchand'!F6,0)</f>
        <v>0</v>
      </c>
      <c r="N522" t="e">
        <f t="shared" si="57"/>
        <v>#N/A</v>
      </c>
      <c r="O522" t="e">
        <f t="shared" si="58"/>
        <v>#N/A</v>
      </c>
      <c r="P522">
        <f>'Nom du personnage'!$U$51</f>
        <v>0</v>
      </c>
    </row>
    <row r="523" spans="8:16" hidden="1">
      <c r="H523" s="2" t="s">
        <v>251</v>
      </c>
      <c r="I523" s="2">
        <v>6</v>
      </c>
      <c r="J523" s="2" t="s">
        <v>98</v>
      </c>
      <c r="K523" s="2">
        <f t="shared" si="56"/>
        <v>5</v>
      </c>
      <c r="M523">
        <f>IF('Nom du personnage'!$U$51=Compétences!J523,'Contact marchand'!F7,0)</f>
        <v>0</v>
      </c>
      <c r="N523" t="e">
        <f t="shared" si="57"/>
        <v>#N/A</v>
      </c>
      <c r="O523" t="e">
        <f t="shared" si="58"/>
        <v>#N/A</v>
      </c>
      <c r="P523">
        <f>'Nom du personnage'!$U$51</f>
        <v>0</v>
      </c>
    </row>
    <row r="524" spans="8:16" hidden="1">
      <c r="H524" s="2" t="s">
        <v>252</v>
      </c>
      <c r="I524" s="2">
        <v>10</v>
      </c>
      <c r="J524" s="2" t="s">
        <v>98</v>
      </c>
      <c r="K524" s="2">
        <f t="shared" si="56"/>
        <v>5</v>
      </c>
      <c r="M524">
        <f>IF('Nom du personnage'!$U$51=Compétences!J524,'Contact marchand'!F8,0)</f>
        <v>0</v>
      </c>
      <c r="N524" t="e">
        <f t="shared" si="57"/>
        <v>#N/A</v>
      </c>
      <c r="O524" t="e">
        <f t="shared" si="58"/>
        <v>#N/A</v>
      </c>
      <c r="P524">
        <f>'Nom du personnage'!$U$51</f>
        <v>0</v>
      </c>
    </row>
    <row r="525" spans="8:16" hidden="1">
      <c r="H525" s="2" t="s">
        <v>253</v>
      </c>
      <c r="I525" s="2">
        <v>10</v>
      </c>
      <c r="J525" s="2" t="s">
        <v>98</v>
      </c>
      <c r="K525" s="2">
        <f t="shared" si="56"/>
        <v>5</v>
      </c>
      <c r="M525">
        <f>IF('Nom du personnage'!$U$51=Compétences!J525,'Contact marchand'!F9,0)</f>
        <v>0</v>
      </c>
      <c r="N525" t="e">
        <f t="shared" si="57"/>
        <v>#N/A</v>
      </c>
      <c r="O525" t="e">
        <f t="shared" si="58"/>
        <v>#N/A</v>
      </c>
      <c r="P525">
        <f>'Nom du personnage'!$U$51</f>
        <v>0</v>
      </c>
    </row>
    <row r="526" spans="8:16" hidden="1">
      <c r="H526" s="2" t="s">
        <v>254</v>
      </c>
      <c r="I526" s="2">
        <v>6</v>
      </c>
      <c r="J526" s="2" t="s">
        <v>98</v>
      </c>
      <c r="K526" s="2">
        <f t="shared" si="56"/>
        <v>5</v>
      </c>
      <c r="M526">
        <f t="shared" si="55"/>
        <v>0</v>
      </c>
      <c r="N526" t="e">
        <f t="shared" si="57"/>
        <v>#N/A</v>
      </c>
      <c r="O526" t="e">
        <f t="shared" si="58"/>
        <v>#N/A</v>
      </c>
      <c r="P526">
        <f>'Nom du personnage'!$U$51</f>
        <v>0</v>
      </c>
    </row>
    <row r="527" spans="8:16" hidden="1">
      <c r="H527" s="2" t="s">
        <v>255</v>
      </c>
      <c r="I527" s="2">
        <v>5</v>
      </c>
      <c r="J527" s="2" t="s">
        <v>98</v>
      </c>
      <c r="K527" s="2">
        <f t="shared" si="56"/>
        <v>1</v>
      </c>
      <c r="M527">
        <f>IF(AND(J527='Nom du personnage'!$U$51,Concoction!$F$45=TRUE),Compétences!H527,0)</f>
        <v>0</v>
      </c>
      <c r="N527" t="e">
        <f t="shared" si="57"/>
        <v>#N/A</v>
      </c>
      <c r="O527" t="e">
        <f t="shared" si="58"/>
        <v>#N/A</v>
      </c>
      <c r="P527">
        <f>'Nom du personnage'!$U$51</f>
        <v>0</v>
      </c>
    </row>
    <row r="528" spans="8:16" hidden="1">
      <c r="H528" s="2" t="s">
        <v>256</v>
      </c>
      <c r="I528" s="2">
        <v>6</v>
      </c>
      <c r="J528" s="2" t="s">
        <v>98</v>
      </c>
      <c r="K528" s="2">
        <f t="shared" si="56"/>
        <v>5</v>
      </c>
      <c r="M528">
        <f>IF(AND(J528='Nom du personnage'!$U$51,'Lecture et écriture'!$G$99=TRUE),Compétences!H528,0)</f>
        <v>0</v>
      </c>
      <c r="N528" t="e">
        <f t="shared" si="57"/>
        <v>#N/A</v>
      </c>
      <c r="O528" t="e">
        <f t="shared" si="58"/>
        <v>#N/A</v>
      </c>
      <c r="P528">
        <f>'Nom du personnage'!$U$51</f>
        <v>0</v>
      </c>
    </row>
    <row r="529" spans="8:16" hidden="1">
      <c r="H529" s="2" t="s">
        <v>257</v>
      </c>
      <c r="I529" s="2">
        <v>6</v>
      </c>
      <c r="J529" s="2" t="s">
        <v>98</v>
      </c>
      <c r="K529" s="2">
        <f t="shared" si="56"/>
        <v>1</v>
      </c>
      <c r="M529" s="2" cm="1">
        <f t="array" ref="M529">IF(AND(J529='Nom du personnage'!$U$51,OR('Nom du personnage'!$C$65:$L$85=Compétences!$H$19,'Nom du personnage'!$Q$65:$Z$85=Compétences!$H$19)),H529,0)</f>
        <v>0</v>
      </c>
      <c r="N529" t="e">
        <f t="shared" si="57"/>
        <v>#N/A</v>
      </c>
      <c r="O529" t="e">
        <f t="shared" si="58"/>
        <v>#N/A</v>
      </c>
      <c r="P529">
        <f>'Nom du personnage'!$U$51</f>
        <v>0</v>
      </c>
    </row>
    <row r="530" spans="8:16" hidden="1">
      <c r="H530" s="2" t="s">
        <v>241</v>
      </c>
      <c r="I530" s="2">
        <v>6</v>
      </c>
      <c r="J530" s="2" t="s">
        <v>98</v>
      </c>
      <c r="K530" s="2">
        <f t="shared" si="56"/>
        <v>1</v>
      </c>
      <c r="M530">
        <f t="shared" si="55"/>
        <v>0</v>
      </c>
      <c r="N530" t="e">
        <f t="shared" si="57"/>
        <v>#N/A</v>
      </c>
      <c r="O530" t="e">
        <f t="shared" si="58"/>
        <v>#N/A</v>
      </c>
      <c r="P530">
        <f>'Nom du personnage'!$U$51</f>
        <v>0</v>
      </c>
    </row>
    <row r="531" spans="8:16" hidden="1">
      <c r="H531" s="2" t="s">
        <v>258</v>
      </c>
      <c r="I531" s="2">
        <v>5</v>
      </c>
      <c r="J531" s="2" t="s">
        <v>98</v>
      </c>
      <c r="K531" s="2">
        <f t="shared" si="56"/>
        <v>5</v>
      </c>
      <c r="M531" s="2" cm="1">
        <f t="array" ref="M531">IF(AND(J531='Nom du personnage'!$U$51,OR('Nom du personnage'!$C$65:$L$85=Compétences!$H$19,'Nom du personnage'!$Q$65:$Z$85=Compétences!$H$19)),H531,0)</f>
        <v>0</v>
      </c>
      <c r="N531" t="e">
        <f t="shared" si="57"/>
        <v>#N/A</v>
      </c>
      <c r="O531" t="e">
        <f t="shared" si="58"/>
        <v>#N/A</v>
      </c>
      <c r="P531">
        <f>'Nom du personnage'!$U$51</f>
        <v>0</v>
      </c>
    </row>
    <row r="532" spans="8:16" hidden="1">
      <c r="H532" s="2" t="s">
        <v>259</v>
      </c>
      <c r="I532" s="2">
        <v>4</v>
      </c>
      <c r="J532" s="2" t="s">
        <v>98</v>
      </c>
      <c r="K532" s="2">
        <f t="shared" si="56"/>
        <v>5</v>
      </c>
      <c r="M532">
        <f t="shared" si="55"/>
        <v>0</v>
      </c>
      <c r="N532" t="e">
        <f t="shared" si="57"/>
        <v>#N/A</v>
      </c>
      <c r="O532" t="e">
        <f t="shared" si="58"/>
        <v>#N/A</v>
      </c>
      <c r="P532">
        <f>'Nom du personnage'!$U$51</f>
        <v>0</v>
      </c>
    </row>
    <row r="533" spans="8:16" hidden="1">
      <c r="H533" s="2" t="s">
        <v>227</v>
      </c>
      <c r="I533" s="2">
        <v>3</v>
      </c>
      <c r="J533" s="2" t="s">
        <v>104</v>
      </c>
      <c r="K533" s="2">
        <f t="shared" si="56"/>
        <v>5</v>
      </c>
      <c r="M533" s="2" cm="1">
        <f t="array" ref="M533">IF(AND('Nom du personnage'!$U$51=Compétences!J533,OR('Nom du personnage'!$C$65:$L$85=Compétences!$M$12,'Nom du personnage'!$Q$65:$Z$85=Compétences!$M$12)),H533,0)</f>
        <v>0</v>
      </c>
      <c r="N533" t="e">
        <f t="shared" si="57"/>
        <v>#N/A</v>
      </c>
      <c r="O533" t="e">
        <f t="shared" si="58"/>
        <v>#N/A</v>
      </c>
      <c r="P533">
        <f>'Nom du personnage'!$U$51</f>
        <v>0</v>
      </c>
    </row>
    <row r="534" spans="8:16" hidden="1">
      <c r="H534" s="2" t="s">
        <v>199</v>
      </c>
      <c r="I534" s="2">
        <v>6</v>
      </c>
      <c r="J534" s="2" t="s">
        <v>104</v>
      </c>
      <c r="K534" s="2">
        <f t="shared" si="56"/>
        <v>1</v>
      </c>
      <c r="M534" s="2" cm="1">
        <f t="array" ref="M534">IF(AND('Nom du personnage'!U540=Compétences!J534,OR('Nom du personnage'!$C$65:$L$85=Compétences!$M$13,'Nom du personnage'!$Q$65:$Z$85=Compétences!$M$13)),H534,0)</f>
        <v>0</v>
      </c>
      <c r="N534" t="e">
        <f t="shared" si="57"/>
        <v>#N/A</v>
      </c>
      <c r="O534" t="e">
        <f t="shared" si="58"/>
        <v>#N/A</v>
      </c>
      <c r="P534">
        <f>'Nom du personnage'!$U$51</f>
        <v>0</v>
      </c>
    </row>
    <row r="535" spans="8:16" hidden="1">
      <c r="H535" s="2" t="s">
        <v>200</v>
      </c>
      <c r="I535" s="2">
        <v>6</v>
      </c>
      <c r="J535" s="2" t="s">
        <v>104</v>
      </c>
      <c r="K535" s="2">
        <f t="shared" si="56"/>
        <v>1</v>
      </c>
      <c r="M535">
        <f t="shared" si="55"/>
        <v>0</v>
      </c>
      <c r="N535" t="e">
        <f t="shared" ref="N535:N566" si="59">VLOOKUP(M535,H535:J592,2,FALSE)</f>
        <v>#N/A</v>
      </c>
      <c r="O535" t="e">
        <f t="shared" ref="O535:O566" si="60">VLOOKUP(M535,H535:J592,2,FALSE)+1</f>
        <v>#N/A</v>
      </c>
      <c r="P535">
        <f>'Nom du personnage'!$U$51</f>
        <v>0</v>
      </c>
    </row>
    <row r="536" spans="8:16" hidden="1">
      <c r="H536" s="2" t="s">
        <v>202</v>
      </c>
      <c r="I536" s="2">
        <v>5</v>
      </c>
      <c r="J536" s="2" t="s">
        <v>104</v>
      </c>
      <c r="K536" s="2">
        <f t="shared" si="56"/>
        <v>5</v>
      </c>
      <c r="M536">
        <f t="shared" si="55"/>
        <v>0</v>
      </c>
      <c r="N536" t="e">
        <f t="shared" si="59"/>
        <v>#N/A</v>
      </c>
      <c r="O536" t="e">
        <f t="shared" si="60"/>
        <v>#N/A</v>
      </c>
      <c r="P536">
        <f>'Nom du personnage'!$U$51</f>
        <v>0</v>
      </c>
    </row>
    <row r="537" spans="8:16" hidden="1">
      <c r="H537" s="2" t="s">
        <v>203</v>
      </c>
      <c r="I537" s="2">
        <v>6</v>
      </c>
      <c r="J537" s="2" t="s">
        <v>104</v>
      </c>
      <c r="K537" s="2">
        <f t="shared" si="56"/>
        <v>5</v>
      </c>
      <c r="M537" s="2" cm="1">
        <f t="array" ref="M537">IF(AND('Nom du personnage'!U409=Compétences!J537,OR('Nom du personnage'!$C$65:$L$85=Compétences!$H$48,'Nom du personnage'!$Q$65:$Z$85=Compétences!$H$48)),H537,0)</f>
        <v>0</v>
      </c>
      <c r="N537" t="e">
        <f t="shared" si="59"/>
        <v>#N/A</v>
      </c>
      <c r="O537" t="e">
        <f t="shared" si="60"/>
        <v>#N/A</v>
      </c>
      <c r="P537">
        <f>'Nom du personnage'!$U$51</f>
        <v>0</v>
      </c>
    </row>
    <row r="538" spans="8:16" hidden="1">
      <c r="H538" s="2" t="s">
        <v>228</v>
      </c>
      <c r="I538" s="2">
        <v>4</v>
      </c>
      <c r="J538" s="2" t="s">
        <v>104</v>
      </c>
      <c r="K538" s="2">
        <f t="shared" si="56"/>
        <v>5</v>
      </c>
      <c r="M538">
        <f t="shared" si="55"/>
        <v>0</v>
      </c>
      <c r="N538" t="e">
        <f t="shared" si="59"/>
        <v>#N/A</v>
      </c>
      <c r="O538" t="e">
        <f t="shared" si="60"/>
        <v>#N/A</v>
      </c>
      <c r="P538">
        <f>'Nom du personnage'!$U$51</f>
        <v>0</v>
      </c>
    </row>
    <row r="539" spans="8:16" hidden="1">
      <c r="H539" s="2" t="s">
        <v>204</v>
      </c>
      <c r="I539" s="2">
        <v>5</v>
      </c>
      <c r="J539" s="2" t="s">
        <v>104</v>
      </c>
      <c r="K539" s="2">
        <f t="shared" si="56"/>
        <v>1</v>
      </c>
      <c r="M539">
        <f t="shared" si="55"/>
        <v>0</v>
      </c>
      <c r="N539" t="e">
        <f t="shared" si="59"/>
        <v>#N/A</v>
      </c>
      <c r="O539" t="e">
        <f t="shared" si="60"/>
        <v>#N/A</v>
      </c>
      <c r="P539">
        <f>'Nom du personnage'!$U$51</f>
        <v>0</v>
      </c>
    </row>
    <row r="540" spans="8:16" hidden="1">
      <c r="H540" s="2" t="s">
        <v>205</v>
      </c>
      <c r="I540" s="2">
        <v>5</v>
      </c>
      <c r="J540" s="2" t="s">
        <v>104</v>
      </c>
      <c r="K540" s="2">
        <f t="shared" si="56"/>
        <v>5</v>
      </c>
      <c r="M540" s="2" cm="1">
        <f t="array" ref="M540">IF(AND('Nom du personnage'!U540=Compétences!J540,OR('Nom du personnage'!$C$65:$L$85=Compétences!$H$50,'Nom du personnage'!$Q$65:$Z$85=Compétences!$H$50)),H540,0)</f>
        <v>0</v>
      </c>
      <c r="N540" t="e">
        <f t="shared" si="59"/>
        <v>#N/A</v>
      </c>
      <c r="O540" t="e">
        <f t="shared" si="60"/>
        <v>#N/A</v>
      </c>
      <c r="P540">
        <f>'Nom du personnage'!$U$51</f>
        <v>0</v>
      </c>
    </row>
    <row r="541" spans="8:16" hidden="1">
      <c r="H541" s="2" t="s">
        <v>229</v>
      </c>
      <c r="I541" s="2">
        <v>6</v>
      </c>
      <c r="J541" s="2" t="s">
        <v>104</v>
      </c>
      <c r="K541" s="2">
        <f t="shared" si="56"/>
        <v>5</v>
      </c>
      <c r="M541">
        <f t="shared" si="55"/>
        <v>0</v>
      </c>
      <c r="N541" t="e">
        <f t="shared" si="59"/>
        <v>#N/A</v>
      </c>
      <c r="O541" t="e">
        <f t="shared" si="60"/>
        <v>#N/A</v>
      </c>
      <c r="P541">
        <f>'Nom du personnage'!$U$51</f>
        <v>0</v>
      </c>
    </row>
    <row r="542" spans="8:16">
      <c r="H542" s="2" t="s">
        <v>206</v>
      </c>
      <c r="I542" s="2">
        <v>3</v>
      </c>
      <c r="J542" s="2" t="s">
        <v>104</v>
      </c>
      <c r="K542" s="2">
        <f t="shared" si="56"/>
        <v>5</v>
      </c>
      <c r="M542" s="2" cm="1">
        <f t="array" ref="M542">IF(AND('Nom du personnage'!U541=Compétences!J542,OR('Nom du personnage'!$C$65:$L$85=Compétences!$M$18,'Nom du personnage'!$Q$65:$Z$85=Compétences!$M$18)),H542,0)</f>
        <v>0</v>
      </c>
      <c r="N542" t="e">
        <f t="shared" si="59"/>
        <v>#N/A</v>
      </c>
      <c r="O542" t="e">
        <f t="shared" si="60"/>
        <v>#N/A</v>
      </c>
      <c r="P542">
        <f>'Nom du personnage'!$U$51</f>
        <v>0</v>
      </c>
    </row>
    <row r="543" spans="8:16" hidden="1">
      <c r="H543" s="2" t="s">
        <v>230</v>
      </c>
      <c r="I543" s="2">
        <v>7</v>
      </c>
      <c r="J543" s="2" t="s">
        <v>104</v>
      </c>
      <c r="K543" s="2">
        <f t="shared" si="56"/>
        <v>5</v>
      </c>
      <c r="M543">
        <f t="shared" si="55"/>
        <v>0</v>
      </c>
      <c r="N543" t="e">
        <f t="shared" si="59"/>
        <v>#N/A</v>
      </c>
      <c r="O543" t="e">
        <f t="shared" si="60"/>
        <v>#N/A</v>
      </c>
      <c r="P543">
        <f>'Nom du personnage'!$U$51</f>
        <v>0</v>
      </c>
    </row>
    <row r="544" spans="8:16" hidden="1">
      <c r="H544" s="2" t="s">
        <v>1005</v>
      </c>
      <c r="I544" s="2">
        <v>2</v>
      </c>
      <c r="J544" s="2" t="s">
        <v>104</v>
      </c>
      <c r="K544" s="2">
        <f t="shared" si="56"/>
        <v>5</v>
      </c>
      <c r="M544" s="2" cm="1">
        <f t="array" ref="M544">IF(AND('Nom du personnage'!$U$51=Compétences!J544,OR('Nom du personnage'!$C$65:$L$85=Compétences!$M$3,'Nom du personnage'!$Q$65:$Z$85=Compétences!$M$3)),H544,0)</f>
        <v>0</v>
      </c>
      <c r="N544" t="e">
        <f t="shared" si="59"/>
        <v>#N/A</v>
      </c>
      <c r="O544" t="e">
        <f t="shared" si="60"/>
        <v>#N/A</v>
      </c>
      <c r="P544">
        <f>'Nom du personnage'!$U$51</f>
        <v>0</v>
      </c>
    </row>
    <row r="545" spans="8:16" hidden="1">
      <c r="H545" s="2" t="s">
        <v>231</v>
      </c>
      <c r="I545" s="2">
        <v>6</v>
      </c>
      <c r="J545" s="2" t="s">
        <v>104</v>
      </c>
      <c r="K545" s="2">
        <f t="shared" si="56"/>
        <v>5</v>
      </c>
      <c r="M545">
        <f t="shared" si="55"/>
        <v>0</v>
      </c>
      <c r="N545" t="e">
        <f t="shared" si="59"/>
        <v>#N/A</v>
      </c>
      <c r="O545" t="e">
        <f t="shared" si="60"/>
        <v>#N/A</v>
      </c>
      <c r="P545">
        <f>'Nom du personnage'!$U$51</f>
        <v>0</v>
      </c>
    </row>
    <row r="546" spans="8:16" hidden="1">
      <c r="H546" s="2" t="s">
        <v>211</v>
      </c>
      <c r="I546" s="2">
        <v>4</v>
      </c>
      <c r="J546" s="2" t="s">
        <v>104</v>
      </c>
      <c r="K546" s="2">
        <f t="shared" si="56"/>
        <v>1</v>
      </c>
      <c r="M546">
        <f t="shared" si="55"/>
        <v>0</v>
      </c>
      <c r="N546" t="e">
        <f t="shared" si="59"/>
        <v>#N/A</v>
      </c>
      <c r="O546" t="e">
        <f t="shared" si="60"/>
        <v>#N/A</v>
      </c>
      <c r="P546">
        <f>'Nom du personnage'!$U$51</f>
        <v>0</v>
      </c>
    </row>
    <row r="547" spans="8:16" hidden="1">
      <c r="H547" s="2" t="s">
        <v>210</v>
      </c>
      <c r="I547" s="2">
        <v>6</v>
      </c>
      <c r="J547" s="2" t="s">
        <v>104</v>
      </c>
      <c r="K547" s="2">
        <f t="shared" si="56"/>
        <v>1</v>
      </c>
      <c r="M547">
        <f t="shared" si="55"/>
        <v>0</v>
      </c>
      <c r="N547" t="e">
        <f t="shared" si="59"/>
        <v>#N/A</v>
      </c>
      <c r="O547" t="e">
        <f t="shared" si="60"/>
        <v>#N/A</v>
      </c>
      <c r="P547">
        <f>'Nom du personnage'!$U$51</f>
        <v>0</v>
      </c>
    </row>
    <row r="548" spans="8:16" hidden="1">
      <c r="H548" s="2" t="s">
        <v>213</v>
      </c>
      <c r="I548" s="2">
        <v>6</v>
      </c>
      <c r="J548" s="2" t="s">
        <v>104</v>
      </c>
      <c r="K548" s="2">
        <f t="shared" si="56"/>
        <v>1</v>
      </c>
      <c r="M548">
        <f t="shared" si="55"/>
        <v>0</v>
      </c>
      <c r="N548" t="e">
        <f t="shared" si="59"/>
        <v>#N/A</v>
      </c>
      <c r="O548" t="e">
        <f t="shared" si="60"/>
        <v>#N/A</v>
      </c>
      <c r="P548">
        <f>'Nom du personnage'!$U$51</f>
        <v>0</v>
      </c>
    </row>
    <row r="549" spans="8:16" hidden="1">
      <c r="H549" s="2" t="s">
        <v>260</v>
      </c>
      <c r="I549" s="2">
        <v>4</v>
      </c>
      <c r="J549" s="2" t="s">
        <v>104</v>
      </c>
      <c r="K549" s="2">
        <f t="shared" si="56"/>
        <v>1</v>
      </c>
      <c r="M549">
        <f t="shared" si="55"/>
        <v>0</v>
      </c>
      <c r="N549" t="e">
        <f t="shared" si="59"/>
        <v>#N/A</v>
      </c>
      <c r="O549" t="e">
        <f t="shared" si="60"/>
        <v>#N/A</v>
      </c>
      <c r="P549">
        <f>'Nom du personnage'!$U$51</f>
        <v>0</v>
      </c>
    </row>
    <row r="550" spans="8:16" hidden="1">
      <c r="H550" s="2" t="s">
        <v>261</v>
      </c>
      <c r="I550" s="2">
        <v>5</v>
      </c>
      <c r="J550" s="2" t="s">
        <v>104</v>
      </c>
      <c r="K550" s="2">
        <f t="shared" si="56"/>
        <v>1</v>
      </c>
      <c r="M550">
        <f>IF(AND(Religion!$D$29=TRUE,'Nom du personnage'!$F$60&lt;&gt;Données!$N$4,J550='Nom du personnage'!$U$51),Compétences!H550,0)</f>
        <v>0</v>
      </c>
      <c r="N550" t="e">
        <f t="shared" si="59"/>
        <v>#N/A</v>
      </c>
      <c r="O550" t="e">
        <f t="shared" si="60"/>
        <v>#N/A</v>
      </c>
      <c r="P550">
        <f>'Nom du personnage'!$U$51</f>
        <v>0</v>
      </c>
    </row>
    <row r="551" spans="8:16" hidden="1">
      <c r="H551" s="2" t="s">
        <v>232</v>
      </c>
      <c r="I551" s="2">
        <v>5</v>
      </c>
      <c r="J551" s="2" t="s">
        <v>104</v>
      </c>
      <c r="K551" s="2">
        <f t="shared" si="56"/>
        <v>5</v>
      </c>
      <c r="M551">
        <f>IF(AND('Nom du personnage'!$U$51=Compétences!J551,Religion!$D$29=TRUE),Compétences!H551,0)</f>
        <v>0</v>
      </c>
      <c r="N551" t="e">
        <f t="shared" si="59"/>
        <v>#N/A</v>
      </c>
      <c r="O551" t="e">
        <f t="shared" si="60"/>
        <v>#N/A</v>
      </c>
      <c r="P551">
        <f>'Nom du personnage'!$U$51</f>
        <v>0</v>
      </c>
    </row>
    <row r="552" spans="8:16" hidden="1">
      <c r="H552" s="2" t="s">
        <v>262</v>
      </c>
      <c r="I552" s="2">
        <v>5</v>
      </c>
      <c r="J552" s="2" t="s">
        <v>104</v>
      </c>
      <c r="K552" s="2">
        <f t="shared" si="56"/>
        <v>1</v>
      </c>
      <c r="M552">
        <f t="shared" ref="M552:M613" si="61">IF(P552=J552,H552,)</f>
        <v>0</v>
      </c>
      <c r="N552" t="e">
        <f t="shared" si="59"/>
        <v>#N/A</v>
      </c>
      <c r="O552" t="e">
        <f t="shared" si="60"/>
        <v>#N/A</v>
      </c>
      <c r="P552">
        <f>'Nom du personnage'!$U$51</f>
        <v>0</v>
      </c>
    </row>
    <row r="553" spans="8:16" hidden="1">
      <c r="H553" s="2" t="s">
        <v>233</v>
      </c>
      <c r="I553" s="2">
        <v>6</v>
      </c>
      <c r="J553" s="2" t="s">
        <v>104</v>
      </c>
      <c r="K553" s="2">
        <f t="shared" si="56"/>
        <v>5</v>
      </c>
      <c r="M553">
        <f t="shared" si="61"/>
        <v>0</v>
      </c>
      <c r="N553" t="e">
        <f t="shared" si="59"/>
        <v>#N/A</v>
      </c>
      <c r="O553" t="e">
        <f t="shared" si="60"/>
        <v>#N/A</v>
      </c>
      <c r="P553">
        <f>'Nom du personnage'!$U$51</f>
        <v>0</v>
      </c>
    </row>
    <row r="554" spans="8:16" hidden="1">
      <c r="H554" s="2" t="s">
        <v>235</v>
      </c>
      <c r="I554" s="2">
        <v>6</v>
      </c>
      <c r="J554" s="2" t="s">
        <v>104</v>
      </c>
      <c r="K554" s="2">
        <f t="shared" si="56"/>
        <v>5</v>
      </c>
      <c r="M554">
        <f>IF(AND('Nom du personnage'!$U$51=Compétences!J554,Religion!$D$29),Compétences!H554,0)</f>
        <v>0</v>
      </c>
      <c r="N554" t="e">
        <f t="shared" si="59"/>
        <v>#N/A</v>
      </c>
      <c r="O554" t="e">
        <f t="shared" si="60"/>
        <v>#N/A</v>
      </c>
      <c r="P554">
        <f>'Nom du personnage'!$U$51</f>
        <v>0</v>
      </c>
    </row>
    <row r="555" spans="8:16" hidden="1">
      <c r="H555" s="2" t="s">
        <v>236</v>
      </c>
      <c r="I555" s="2">
        <v>3</v>
      </c>
      <c r="J555" s="2" t="s">
        <v>104</v>
      </c>
      <c r="K555" s="2">
        <f t="shared" si="56"/>
        <v>1</v>
      </c>
      <c r="M555">
        <f t="shared" si="61"/>
        <v>0</v>
      </c>
      <c r="N555" t="e">
        <f t="shared" si="59"/>
        <v>#N/A</v>
      </c>
      <c r="O555" t="e">
        <f t="shared" si="60"/>
        <v>#N/A</v>
      </c>
      <c r="P555">
        <f>'Nom du personnage'!$U$51</f>
        <v>0</v>
      </c>
    </row>
    <row r="556" spans="8:16" hidden="1">
      <c r="H556" s="2" t="s">
        <v>237</v>
      </c>
      <c r="I556" s="2">
        <v>5</v>
      </c>
      <c r="J556" s="2" t="s">
        <v>104</v>
      </c>
      <c r="K556" s="2">
        <f t="shared" si="56"/>
        <v>1</v>
      </c>
      <c r="M556">
        <f t="shared" si="61"/>
        <v>0</v>
      </c>
      <c r="N556" t="e">
        <f t="shared" si="59"/>
        <v>#N/A</v>
      </c>
      <c r="O556" t="e">
        <f t="shared" si="60"/>
        <v>#N/A</v>
      </c>
      <c r="P556">
        <f>'Nom du personnage'!$U$51</f>
        <v>0</v>
      </c>
    </row>
    <row r="557" spans="8:16" hidden="1">
      <c r="H557" s="2" t="s">
        <v>238</v>
      </c>
      <c r="I557" s="2">
        <v>3</v>
      </c>
      <c r="J557" s="2" t="s">
        <v>104</v>
      </c>
      <c r="K557" s="2">
        <f t="shared" ref="K557:K620" si="62">VLOOKUP(H557,$B$3:$D$115,3,FALSE)</f>
        <v>1</v>
      </c>
      <c r="M557">
        <f t="shared" si="61"/>
        <v>0</v>
      </c>
      <c r="N557" t="e">
        <f t="shared" si="59"/>
        <v>#N/A</v>
      </c>
      <c r="O557" t="e">
        <f t="shared" si="60"/>
        <v>#N/A</v>
      </c>
      <c r="P557">
        <f>'Nom du personnage'!$U$51</f>
        <v>0</v>
      </c>
    </row>
    <row r="558" spans="8:16" hidden="1">
      <c r="H558" s="2" t="s">
        <v>240</v>
      </c>
      <c r="I558" s="2">
        <v>6</v>
      </c>
      <c r="J558" s="2" t="s">
        <v>104</v>
      </c>
      <c r="K558" s="2">
        <f t="shared" si="62"/>
        <v>1</v>
      </c>
      <c r="M558">
        <f t="shared" si="61"/>
        <v>0</v>
      </c>
      <c r="N558" t="e">
        <f t="shared" si="59"/>
        <v>#N/A</v>
      </c>
      <c r="O558" t="e">
        <f t="shared" si="60"/>
        <v>#N/A</v>
      </c>
      <c r="P558">
        <f>'Nom du personnage'!$U$51</f>
        <v>0</v>
      </c>
    </row>
    <row r="559" spans="8:16" hidden="1">
      <c r="H559" s="2" t="s">
        <v>241</v>
      </c>
      <c r="I559" s="2">
        <v>6</v>
      </c>
      <c r="J559" s="2" t="s">
        <v>104</v>
      </c>
      <c r="K559" s="2">
        <f t="shared" si="62"/>
        <v>1</v>
      </c>
      <c r="M559">
        <f t="shared" si="61"/>
        <v>0</v>
      </c>
      <c r="N559" t="e">
        <f t="shared" si="59"/>
        <v>#N/A</v>
      </c>
      <c r="O559" t="e">
        <f t="shared" si="60"/>
        <v>#N/A</v>
      </c>
      <c r="P559">
        <f>'Nom du personnage'!$U$51</f>
        <v>0</v>
      </c>
    </row>
    <row r="560" spans="8:16" hidden="1">
      <c r="H560" s="2" t="s">
        <v>242</v>
      </c>
      <c r="I560" s="2">
        <v>6</v>
      </c>
      <c r="J560" s="2" t="s">
        <v>104</v>
      </c>
      <c r="K560" s="2">
        <f t="shared" si="62"/>
        <v>5</v>
      </c>
      <c r="M560">
        <f t="shared" si="61"/>
        <v>0</v>
      </c>
      <c r="N560" t="e">
        <f t="shared" si="59"/>
        <v>#N/A</v>
      </c>
      <c r="O560" t="e">
        <f t="shared" si="60"/>
        <v>#N/A</v>
      </c>
      <c r="P560">
        <f>'Nom du personnage'!$U$51</f>
        <v>0</v>
      </c>
    </row>
    <row r="561" spans="8:16" hidden="1">
      <c r="H561" s="2" t="s">
        <v>243</v>
      </c>
      <c r="I561" s="2">
        <v>5</v>
      </c>
      <c r="J561" s="2" t="s">
        <v>104</v>
      </c>
      <c r="K561" s="2">
        <f t="shared" si="62"/>
        <v>1</v>
      </c>
      <c r="M561">
        <f t="shared" si="61"/>
        <v>0</v>
      </c>
      <c r="N561" t="e">
        <f t="shared" si="59"/>
        <v>#N/A</v>
      </c>
      <c r="O561" t="e">
        <f t="shared" si="60"/>
        <v>#N/A</v>
      </c>
      <c r="P561">
        <f>'Nom du personnage'!$U$51</f>
        <v>0</v>
      </c>
    </row>
    <row r="562" spans="8:16" hidden="1">
      <c r="H562" s="2" t="s">
        <v>244</v>
      </c>
      <c r="I562" s="2">
        <v>5</v>
      </c>
      <c r="J562" s="2" t="s">
        <v>104</v>
      </c>
      <c r="K562" s="2">
        <f t="shared" si="62"/>
        <v>5</v>
      </c>
      <c r="M562" s="2" cm="1">
        <f t="array" ref="M562">IF(AND('Nom du personnage'!$U$51=Compétences!J562,OR('Nom du personnage'!$C$65:$L$85=Compétences!$H$89,'Nom du personnage'!$Q$65:$Z$85=Compétences!$H$89)),H562,0)</f>
        <v>0</v>
      </c>
      <c r="N562" t="e">
        <f t="shared" si="59"/>
        <v>#N/A</v>
      </c>
      <c r="O562" t="e">
        <f t="shared" si="60"/>
        <v>#N/A</v>
      </c>
      <c r="P562">
        <f>'Nom du personnage'!$U$51</f>
        <v>0</v>
      </c>
    </row>
    <row r="563" spans="8:16" hidden="1">
      <c r="H563" s="2" t="s">
        <v>245</v>
      </c>
      <c r="I563" s="2">
        <v>2</v>
      </c>
      <c r="J563" s="2" t="s">
        <v>104</v>
      </c>
      <c r="K563" s="2">
        <f t="shared" si="62"/>
        <v>5</v>
      </c>
      <c r="M563">
        <f t="shared" si="61"/>
        <v>0</v>
      </c>
      <c r="N563" t="e">
        <f t="shared" si="59"/>
        <v>#N/A</v>
      </c>
      <c r="O563" t="e">
        <f t="shared" si="60"/>
        <v>#N/A</v>
      </c>
      <c r="P563">
        <f>'Nom du personnage'!$U$51</f>
        <v>0</v>
      </c>
    </row>
    <row r="564" spans="8:16" hidden="1">
      <c r="H564" s="2" t="s">
        <v>227</v>
      </c>
      <c r="I564" s="2">
        <v>3</v>
      </c>
      <c r="J564" s="2" t="s">
        <v>107</v>
      </c>
      <c r="K564" s="2">
        <f t="shared" si="62"/>
        <v>5</v>
      </c>
      <c r="M564" s="2" cm="1">
        <f t="array" ref="M564">IF(AND('Nom du personnage'!$U$51=Compétences!J564,OR('Nom du personnage'!$C$65:$L$85=Compétences!$M$12,'Nom du personnage'!$Q$65:$Z$85=Compétences!$M$12)),H564,0)</f>
        <v>0</v>
      </c>
      <c r="N564" t="e">
        <f t="shared" si="59"/>
        <v>#N/A</v>
      </c>
      <c r="O564" t="e">
        <f t="shared" si="60"/>
        <v>#N/A</v>
      </c>
      <c r="P564">
        <f>'Nom du personnage'!$U$51</f>
        <v>0</v>
      </c>
    </row>
    <row r="565" spans="8:16" hidden="1">
      <c r="H565" s="2" t="s">
        <v>199</v>
      </c>
      <c r="I565" s="2">
        <v>6</v>
      </c>
      <c r="J565" s="2" t="s">
        <v>107</v>
      </c>
      <c r="K565" s="2">
        <f t="shared" si="62"/>
        <v>1</v>
      </c>
      <c r="M565" s="2" cm="1">
        <f t="array" ref="M565">IF(AND('Nom du personnage'!U571=Compétences!J565,OR('Nom du personnage'!$C$65:$L$85=Compétences!$M$13,'Nom du personnage'!$Q$65:$Z$85=Compétences!$M$13)),H565,0)</f>
        <v>0</v>
      </c>
      <c r="N565" t="e">
        <f t="shared" si="59"/>
        <v>#N/A</v>
      </c>
      <c r="O565" t="e">
        <f t="shared" si="60"/>
        <v>#N/A</v>
      </c>
      <c r="P565">
        <f>'Nom du personnage'!$U$51</f>
        <v>0</v>
      </c>
    </row>
    <row r="566" spans="8:16" hidden="1">
      <c r="H566" s="2" t="s">
        <v>200</v>
      </c>
      <c r="I566" s="2">
        <v>6</v>
      </c>
      <c r="J566" s="2" t="s">
        <v>107</v>
      </c>
      <c r="K566" s="2">
        <f t="shared" si="62"/>
        <v>1</v>
      </c>
      <c r="M566">
        <f t="shared" si="61"/>
        <v>0</v>
      </c>
      <c r="N566" t="e">
        <f t="shared" si="59"/>
        <v>#N/A</v>
      </c>
      <c r="O566" t="e">
        <f t="shared" si="60"/>
        <v>#N/A</v>
      </c>
      <c r="P566">
        <f>'Nom du personnage'!$U$51</f>
        <v>0</v>
      </c>
    </row>
    <row r="567" spans="8:16" hidden="1">
      <c r="H567" s="2" t="s">
        <v>202</v>
      </c>
      <c r="I567" s="2">
        <v>5</v>
      </c>
      <c r="J567" s="2" t="s">
        <v>107</v>
      </c>
      <c r="K567" s="2">
        <f t="shared" si="62"/>
        <v>5</v>
      </c>
      <c r="M567">
        <f t="shared" si="61"/>
        <v>0</v>
      </c>
      <c r="N567" t="e">
        <f t="shared" ref="N567:N598" si="63">VLOOKUP(M567,H567:J624,2,FALSE)</f>
        <v>#N/A</v>
      </c>
      <c r="O567" t="e">
        <f t="shared" ref="O567:O595" si="64">VLOOKUP(M567,H567:J624,2,FALSE)+1</f>
        <v>#N/A</v>
      </c>
      <c r="P567">
        <f>'Nom du personnage'!$U$51</f>
        <v>0</v>
      </c>
    </row>
    <row r="568" spans="8:16" hidden="1">
      <c r="H568" s="2" t="s">
        <v>203</v>
      </c>
      <c r="I568" s="2">
        <v>6</v>
      </c>
      <c r="J568" s="2" t="s">
        <v>107</v>
      </c>
      <c r="K568" s="2">
        <f t="shared" si="62"/>
        <v>5</v>
      </c>
      <c r="M568" s="2" cm="1">
        <f t="array" ref="M568">IF(AND('Nom du personnage'!U440=Compétences!J568,OR('Nom du personnage'!$C$65:$L$85=Compétences!$H$48,'Nom du personnage'!$Q$65:$Z$85=Compétences!$H$48)),H568,0)</f>
        <v>0</v>
      </c>
      <c r="N568" t="e">
        <f t="shared" si="63"/>
        <v>#N/A</v>
      </c>
      <c r="O568" t="e">
        <f t="shared" si="64"/>
        <v>#N/A</v>
      </c>
      <c r="P568">
        <f>'Nom du personnage'!$U$51</f>
        <v>0</v>
      </c>
    </row>
    <row r="569" spans="8:16" hidden="1">
      <c r="H569" s="2" t="s">
        <v>228</v>
      </c>
      <c r="I569" s="2">
        <v>4</v>
      </c>
      <c r="J569" s="2" t="s">
        <v>107</v>
      </c>
      <c r="K569" s="2">
        <f t="shared" si="62"/>
        <v>5</v>
      </c>
      <c r="M569">
        <f t="shared" si="61"/>
        <v>0</v>
      </c>
      <c r="N569" t="e">
        <f t="shared" si="63"/>
        <v>#N/A</v>
      </c>
      <c r="O569" t="e">
        <f t="shared" si="64"/>
        <v>#N/A</v>
      </c>
      <c r="P569">
        <f>'Nom du personnage'!$U$51</f>
        <v>0</v>
      </c>
    </row>
    <row r="570" spans="8:16" hidden="1">
      <c r="H570" s="2" t="s">
        <v>204</v>
      </c>
      <c r="I570" s="2">
        <v>5</v>
      </c>
      <c r="J570" s="2" t="s">
        <v>107</v>
      </c>
      <c r="K570" s="2">
        <f t="shared" si="62"/>
        <v>1</v>
      </c>
      <c r="M570">
        <f t="shared" si="61"/>
        <v>0</v>
      </c>
      <c r="N570" t="e">
        <f t="shared" si="63"/>
        <v>#N/A</v>
      </c>
      <c r="O570" t="e">
        <f t="shared" si="64"/>
        <v>#N/A</v>
      </c>
      <c r="P570">
        <f>'Nom du personnage'!$U$51</f>
        <v>0</v>
      </c>
    </row>
    <row r="571" spans="8:16" hidden="1">
      <c r="H571" s="2" t="s">
        <v>205</v>
      </c>
      <c r="I571" s="2">
        <v>5</v>
      </c>
      <c r="J571" s="2" t="s">
        <v>107</v>
      </c>
      <c r="K571" s="2">
        <f t="shared" si="62"/>
        <v>5</v>
      </c>
      <c r="M571" s="2" cm="1">
        <f t="array" ref="M571">IF(AND('Nom du personnage'!U571=Compétences!J571,OR('Nom du personnage'!$C$65:$L$85=Compétences!$H$50,'Nom du personnage'!$Q$65:$Z$85=Compétences!$H$50)),H571,0)</f>
        <v>0</v>
      </c>
      <c r="N571" t="e">
        <f t="shared" si="63"/>
        <v>#N/A</v>
      </c>
      <c r="O571" t="e">
        <f t="shared" si="64"/>
        <v>#N/A</v>
      </c>
      <c r="P571">
        <f>'Nom du personnage'!$U$51</f>
        <v>0</v>
      </c>
    </row>
    <row r="572" spans="8:16" hidden="1">
      <c r="H572" s="2" t="s">
        <v>229</v>
      </c>
      <c r="I572" s="2">
        <v>6</v>
      </c>
      <c r="J572" s="2" t="s">
        <v>107</v>
      </c>
      <c r="K572" s="2">
        <f t="shared" si="62"/>
        <v>5</v>
      </c>
      <c r="M572">
        <f t="shared" si="61"/>
        <v>0</v>
      </c>
      <c r="N572" t="e">
        <f t="shared" si="63"/>
        <v>#N/A</v>
      </c>
      <c r="O572" t="e">
        <f t="shared" si="64"/>
        <v>#N/A</v>
      </c>
      <c r="P572">
        <f>'Nom du personnage'!$U$51</f>
        <v>0</v>
      </c>
    </row>
    <row r="573" spans="8:16">
      <c r="H573" s="2" t="s">
        <v>206</v>
      </c>
      <c r="I573" s="2">
        <v>3</v>
      </c>
      <c r="J573" s="2" t="s">
        <v>107</v>
      </c>
      <c r="K573" s="2">
        <f t="shared" si="62"/>
        <v>5</v>
      </c>
      <c r="M573" s="2" cm="1">
        <f t="array" ref="M573">IF(AND('Nom du personnage'!U572=Compétences!J573,OR('Nom du personnage'!$C$65:$L$85=Compétences!$M$18,'Nom du personnage'!$Q$65:$Z$85=Compétences!$M$18)),H573,0)</f>
        <v>0</v>
      </c>
      <c r="N573" t="e">
        <f t="shared" si="63"/>
        <v>#N/A</v>
      </c>
      <c r="O573" t="e">
        <f t="shared" si="64"/>
        <v>#N/A</v>
      </c>
      <c r="P573">
        <f>'Nom du personnage'!$U$51</f>
        <v>0</v>
      </c>
    </row>
    <row r="574" spans="8:16" hidden="1">
      <c r="H574" s="2" t="s">
        <v>230</v>
      </c>
      <c r="I574" s="2">
        <v>7</v>
      </c>
      <c r="J574" s="2" t="s">
        <v>107</v>
      </c>
      <c r="K574" s="2">
        <f t="shared" si="62"/>
        <v>5</v>
      </c>
      <c r="M574">
        <f t="shared" si="61"/>
        <v>0</v>
      </c>
      <c r="N574" t="e">
        <f t="shared" si="63"/>
        <v>#N/A</v>
      </c>
      <c r="O574" t="e">
        <f t="shared" si="64"/>
        <v>#N/A</v>
      </c>
      <c r="P574">
        <f>'Nom du personnage'!$U$51</f>
        <v>0</v>
      </c>
    </row>
    <row r="575" spans="8:16" hidden="1">
      <c r="H575" s="2" t="s">
        <v>1005</v>
      </c>
      <c r="I575" s="2">
        <v>2</v>
      </c>
      <c r="J575" s="2" t="s">
        <v>107</v>
      </c>
      <c r="K575" s="2">
        <f t="shared" si="62"/>
        <v>5</v>
      </c>
      <c r="M575" s="2" cm="1">
        <f t="array" ref="M575">IF(AND('Nom du personnage'!$U$51=Compétences!J575,OR('Nom du personnage'!$C$65:$L$85=Compétences!$M$3,'Nom du personnage'!$Q$65:$Z$85=Compétences!$M$3)),H575,0)</f>
        <v>0</v>
      </c>
      <c r="N575" t="e">
        <f t="shared" si="63"/>
        <v>#N/A</v>
      </c>
      <c r="O575" t="e">
        <f t="shared" si="64"/>
        <v>#N/A</v>
      </c>
      <c r="P575">
        <f>'Nom du personnage'!$U$51</f>
        <v>0</v>
      </c>
    </row>
    <row r="576" spans="8:16" hidden="1">
      <c r="H576" s="2" t="s">
        <v>231</v>
      </c>
      <c r="I576" s="2">
        <v>6</v>
      </c>
      <c r="J576" s="2" t="s">
        <v>107</v>
      </c>
      <c r="K576" s="2">
        <f t="shared" si="62"/>
        <v>5</v>
      </c>
      <c r="M576">
        <f t="shared" si="61"/>
        <v>0</v>
      </c>
      <c r="N576" t="e">
        <f t="shared" si="63"/>
        <v>#N/A</v>
      </c>
      <c r="O576" t="e">
        <f t="shared" si="64"/>
        <v>#N/A</v>
      </c>
      <c r="P576">
        <f>'Nom du personnage'!$U$51</f>
        <v>0</v>
      </c>
    </row>
    <row r="577" spans="8:16" hidden="1">
      <c r="H577" s="2" t="s">
        <v>211</v>
      </c>
      <c r="I577" s="2">
        <v>4</v>
      </c>
      <c r="J577" s="2" t="s">
        <v>107</v>
      </c>
      <c r="K577" s="2">
        <f t="shared" si="62"/>
        <v>1</v>
      </c>
      <c r="M577">
        <f t="shared" si="61"/>
        <v>0</v>
      </c>
      <c r="N577" t="e">
        <f t="shared" si="63"/>
        <v>#N/A</v>
      </c>
      <c r="O577" t="e">
        <f t="shared" si="64"/>
        <v>#N/A</v>
      </c>
      <c r="P577">
        <f>'Nom du personnage'!$U$51</f>
        <v>0</v>
      </c>
    </row>
    <row r="578" spans="8:16" hidden="1">
      <c r="H578" s="2" t="s">
        <v>210</v>
      </c>
      <c r="I578" s="2">
        <v>6</v>
      </c>
      <c r="J578" s="2" t="s">
        <v>107</v>
      </c>
      <c r="K578" s="2">
        <f t="shared" si="62"/>
        <v>1</v>
      </c>
      <c r="M578">
        <f t="shared" si="61"/>
        <v>0</v>
      </c>
      <c r="N578" t="e">
        <f t="shared" si="63"/>
        <v>#N/A</v>
      </c>
      <c r="O578" t="e">
        <f t="shared" si="64"/>
        <v>#N/A</v>
      </c>
      <c r="P578">
        <f>'Nom du personnage'!$U$51</f>
        <v>0</v>
      </c>
    </row>
    <row r="579" spans="8:16" hidden="1">
      <c r="H579" s="2" t="s">
        <v>213</v>
      </c>
      <c r="I579" s="2">
        <v>6</v>
      </c>
      <c r="J579" s="2" t="s">
        <v>107</v>
      </c>
      <c r="K579" s="2">
        <f t="shared" si="62"/>
        <v>1</v>
      </c>
      <c r="M579">
        <f t="shared" si="61"/>
        <v>0</v>
      </c>
      <c r="N579" t="e">
        <f t="shared" si="63"/>
        <v>#N/A</v>
      </c>
      <c r="O579" t="e">
        <f t="shared" si="64"/>
        <v>#N/A</v>
      </c>
      <c r="P579">
        <f>'Nom du personnage'!$U$51</f>
        <v>0</v>
      </c>
    </row>
    <row r="580" spans="8:16" hidden="1">
      <c r="H580" s="2" t="s">
        <v>232</v>
      </c>
      <c r="I580" s="2">
        <v>5</v>
      </c>
      <c r="J580" s="2" t="s">
        <v>107</v>
      </c>
      <c r="K580" s="2">
        <f t="shared" si="62"/>
        <v>5</v>
      </c>
      <c r="M580">
        <f>IF(AND('Nom du personnage'!$U$51=Compétences!J580,Religion!$D$29=TRUE),Compétences!H580,0)</f>
        <v>0</v>
      </c>
      <c r="N580" t="e">
        <f t="shared" si="63"/>
        <v>#N/A</v>
      </c>
      <c r="O580" t="e">
        <f t="shared" si="64"/>
        <v>#N/A</v>
      </c>
      <c r="P580">
        <f>'Nom du personnage'!$U$51</f>
        <v>0</v>
      </c>
    </row>
    <row r="581" spans="8:16" hidden="1">
      <c r="H581" s="2" t="s">
        <v>233</v>
      </c>
      <c r="I581" s="2">
        <v>6</v>
      </c>
      <c r="J581" s="2" t="s">
        <v>107</v>
      </c>
      <c r="K581" s="2">
        <f t="shared" si="62"/>
        <v>5</v>
      </c>
      <c r="M581">
        <f t="shared" si="61"/>
        <v>0</v>
      </c>
      <c r="N581" t="e">
        <f t="shared" si="63"/>
        <v>#N/A</v>
      </c>
      <c r="O581" t="e">
        <f t="shared" si="64"/>
        <v>#N/A</v>
      </c>
      <c r="P581">
        <f>'Nom du personnage'!$U$51</f>
        <v>0</v>
      </c>
    </row>
    <row r="582" spans="8:16" hidden="1">
      <c r="H582" s="2" t="s">
        <v>234</v>
      </c>
      <c r="I582" s="2">
        <v>6</v>
      </c>
      <c r="J582" s="2" t="s">
        <v>107</v>
      </c>
      <c r="K582" s="2">
        <f t="shared" si="62"/>
        <v>5</v>
      </c>
      <c r="M582">
        <f t="shared" si="61"/>
        <v>0</v>
      </c>
      <c r="N582" t="e">
        <f t="shared" si="63"/>
        <v>#N/A</v>
      </c>
      <c r="O582" t="e">
        <f t="shared" si="64"/>
        <v>#N/A</v>
      </c>
      <c r="P582">
        <f>'Nom du personnage'!$U$51</f>
        <v>0</v>
      </c>
    </row>
    <row r="583" spans="8:16" hidden="1">
      <c r="H583" s="2" t="s">
        <v>235</v>
      </c>
      <c r="I583" s="2">
        <v>6</v>
      </c>
      <c r="J583" s="2" t="s">
        <v>107</v>
      </c>
      <c r="K583" s="2">
        <f t="shared" si="62"/>
        <v>5</v>
      </c>
      <c r="M583">
        <f>IF(AND('Nom du personnage'!$U$51=Compétences!J583,Religion!$D$29),Compétences!H583,0)</f>
        <v>0</v>
      </c>
      <c r="N583" t="e">
        <f t="shared" si="63"/>
        <v>#N/A</v>
      </c>
      <c r="O583" t="e">
        <f t="shared" si="64"/>
        <v>#N/A</v>
      </c>
      <c r="P583">
        <f>'Nom du personnage'!$U$51</f>
        <v>0</v>
      </c>
    </row>
    <row r="584" spans="8:16" hidden="1">
      <c r="H584" s="2" t="s">
        <v>236</v>
      </c>
      <c r="I584" s="2">
        <v>3</v>
      </c>
      <c r="J584" s="2" t="s">
        <v>107</v>
      </c>
      <c r="K584" s="2">
        <f t="shared" si="62"/>
        <v>1</v>
      </c>
      <c r="M584">
        <f t="shared" si="61"/>
        <v>0</v>
      </c>
      <c r="N584" t="e">
        <f t="shared" si="63"/>
        <v>#N/A</v>
      </c>
      <c r="O584" t="e">
        <f t="shared" si="64"/>
        <v>#N/A</v>
      </c>
      <c r="P584">
        <f>'Nom du personnage'!$U$51</f>
        <v>0</v>
      </c>
    </row>
    <row r="585" spans="8:16" hidden="1">
      <c r="H585" s="2" t="s">
        <v>237</v>
      </c>
      <c r="I585" s="2">
        <v>5</v>
      </c>
      <c r="J585" s="2" t="s">
        <v>107</v>
      </c>
      <c r="K585" s="2">
        <f t="shared" si="62"/>
        <v>1</v>
      </c>
      <c r="M585">
        <f t="shared" si="61"/>
        <v>0</v>
      </c>
      <c r="N585" t="e">
        <f t="shared" si="63"/>
        <v>#N/A</v>
      </c>
      <c r="O585" t="e">
        <f t="shared" si="64"/>
        <v>#N/A</v>
      </c>
      <c r="P585">
        <f>'Nom du personnage'!$U$51</f>
        <v>0</v>
      </c>
    </row>
    <row r="586" spans="8:16" hidden="1">
      <c r="H586" s="2" t="s">
        <v>209</v>
      </c>
      <c r="I586" s="2">
        <v>4</v>
      </c>
      <c r="J586" s="2" t="s">
        <v>107</v>
      </c>
      <c r="K586" s="2">
        <f t="shared" si="62"/>
        <v>1</v>
      </c>
      <c r="M586">
        <f t="shared" si="61"/>
        <v>0</v>
      </c>
      <c r="N586" t="e">
        <f t="shared" si="63"/>
        <v>#N/A</v>
      </c>
      <c r="O586" t="e">
        <f t="shared" si="64"/>
        <v>#N/A</v>
      </c>
      <c r="P586">
        <f>'Nom du personnage'!$U$51</f>
        <v>0</v>
      </c>
    </row>
    <row r="587" spans="8:16" hidden="1">
      <c r="H587" s="2" t="s">
        <v>238</v>
      </c>
      <c r="I587" s="2">
        <v>3</v>
      </c>
      <c r="J587" s="2" t="s">
        <v>107</v>
      </c>
      <c r="K587" s="2">
        <f t="shared" si="62"/>
        <v>1</v>
      </c>
      <c r="M587">
        <f t="shared" si="61"/>
        <v>0</v>
      </c>
      <c r="N587" t="e">
        <f t="shared" si="63"/>
        <v>#N/A</v>
      </c>
      <c r="O587" t="e">
        <f t="shared" si="64"/>
        <v>#N/A</v>
      </c>
      <c r="P587">
        <f>'Nom du personnage'!$U$51</f>
        <v>0</v>
      </c>
    </row>
    <row r="588" spans="8:16" hidden="1">
      <c r="H588" s="2" t="s">
        <v>239</v>
      </c>
      <c r="I588" s="2">
        <v>5</v>
      </c>
      <c r="J588" s="2" t="s">
        <v>107</v>
      </c>
      <c r="K588" s="2">
        <f t="shared" si="62"/>
        <v>1</v>
      </c>
      <c r="M588">
        <f t="shared" si="61"/>
        <v>0</v>
      </c>
      <c r="N588" t="e">
        <f t="shared" si="63"/>
        <v>#N/A</v>
      </c>
      <c r="O588" t="e">
        <f t="shared" si="64"/>
        <v>#N/A</v>
      </c>
      <c r="P588">
        <f>'Nom du personnage'!$U$51</f>
        <v>0</v>
      </c>
    </row>
    <row r="589" spans="8:16" hidden="1">
      <c r="H589" s="2" t="s">
        <v>212</v>
      </c>
      <c r="I589" s="2">
        <v>6</v>
      </c>
      <c r="J589" s="2" t="s">
        <v>107</v>
      </c>
      <c r="K589" s="2">
        <f t="shared" si="62"/>
        <v>1</v>
      </c>
      <c r="M589">
        <f t="shared" si="61"/>
        <v>0</v>
      </c>
      <c r="N589" t="e">
        <f t="shared" si="63"/>
        <v>#N/A</v>
      </c>
      <c r="O589" t="e">
        <f t="shared" si="64"/>
        <v>#N/A</v>
      </c>
      <c r="P589">
        <f>'Nom du personnage'!$U$51</f>
        <v>0</v>
      </c>
    </row>
    <row r="590" spans="8:16" hidden="1">
      <c r="H590" s="2" t="s">
        <v>240</v>
      </c>
      <c r="I590" s="2">
        <v>6</v>
      </c>
      <c r="J590" s="2" t="s">
        <v>107</v>
      </c>
      <c r="K590" s="2">
        <f t="shared" si="62"/>
        <v>1</v>
      </c>
      <c r="M590">
        <f t="shared" si="61"/>
        <v>0</v>
      </c>
      <c r="N590" t="e">
        <f t="shared" si="63"/>
        <v>#N/A</v>
      </c>
      <c r="O590" t="e">
        <f t="shared" si="64"/>
        <v>#N/A</v>
      </c>
      <c r="P590">
        <f>'Nom du personnage'!$U$51</f>
        <v>0</v>
      </c>
    </row>
    <row r="591" spans="8:16" hidden="1">
      <c r="H591" s="2" t="s">
        <v>241</v>
      </c>
      <c r="I591" s="2">
        <v>6</v>
      </c>
      <c r="J591" s="2" t="s">
        <v>107</v>
      </c>
      <c r="K591" s="2">
        <f t="shared" si="62"/>
        <v>1</v>
      </c>
      <c r="M591">
        <f t="shared" si="61"/>
        <v>0</v>
      </c>
      <c r="N591" t="e">
        <f t="shared" si="63"/>
        <v>#N/A</v>
      </c>
      <c r="O591" t="e">
        <f t="shared" si="64"/>
        <v>#N/A</v>
      </c>
      <c r="P591">
        <f>'Nom du personnage'!$U$51</f>
        <v>0</v>
      </c>
    </row>
    <row r="592" spans="8:16" hidden="1">
      <c r="H592" s="2" t="s">
        <v>242</v>
      </c>
      <c r="I592" s="2">
        <v>6</v>
      </c>
      <c r="J592" s="2" t="s">
        <v>107</v>
      </c>
      <c r="K592" s="2">
        <f t="shared" si="62"/>
        <v>5</v>
      </c>
      <c r="M592">
        <f t="shared" si="61"/>
        <v>0</v>
      </c>
      <c r="N592" t="e">
        <f t="shared" si="63"/>
        <v>#N/A</v>
      </c>
      <c r="O592" t="e">
        <f t="shared" si="64"/>
        <v>#N/A</v>
      </c>
      <c r="P592">
        <f>'Nom du personnage'!$U$51</f>
        <v>0</v>
      </c>
    </row>
    <row r="593" spans="8:16" hidden="1">
      <c r="H593" s="2" t="s">
        <v>243</v>
      </c>
      <c r="I593" s="2">
        <v>5</v>
      </c>
      <c r="J593" s="2" t="s">
        <v>107</v>
      </c>
      <c r="K593" s="2">
        <f t="shared" si="62"/>
        <v>1</v>
      </c>
      <c r="M593">
        <f t="shared" si="61"/>
        <v>0</v>
      </c>
      <c r="N593" t="e">
        <f t="shared" si="63"/>
        <v>#N/A</v>
      </c>
      <c r="O593" t="e">
        <f t="shared" si="64"/>
        <v>#N/A</v>
      </c>
      <c r="P593">
        <f>'Nom du personnage'!$U$51</f>
        <v>0</v>
      </c>
    </row>
    <row r="594" spans="8:16" hidden="1">
      <c r="H594" s="2" t="s">
        <v>244</v>
      </c>
      <c r="I594" s="2">
        <v>5</v>
      </c>
      <c r="J594" s="2" t="s">
        <v>107</v>
      </c>
      <c r="K594" s="2">
        <f t="shared" si="62"/>
        <v>5</v>
      </c>
      <c r="M594" s="2" cm="1">
        <f t="array" ref="M594">IF(AND('Nom du personnage'!$U$51=Compétences!J594,OR('Nom du personnage'!$C$65:$L$85=Compétences!$H$89,'Nom du personnage'!$Q$65:$Z$85=Compétences!$H$89)),H594,0)</f>
        <v>0</v>
      </c>
      <c r="N594" t="e">
        <f t="shared" si="63"/>
        <v>#N/A</v>
      </c>
      <c r="O594" t="e">
        <f t="shared" si="64"/>
        <v>#N/A</v>
      </c>
      <c r="P594">
        <f>'Nom du personnage'!$U$51</f>
        <v>0</v>
      </c>
    </row>
    <row r="595" spans="8:16" hidden="1">
      <c r="H595" s="2" t="s">
        <v>245</v>
      </c>
      <c r="I595" s="2">
        <v>2</v>
      </c>
      <c r="J595" s="2" t="s">
        <v>107</v>
      </c>
      <c r="K595" s="2">
        <f t="shared" si="62"/>
        <v>5</v>
      </c>
      <c r="M595">
        <f t="shared" si="61"/>
        <v>0</v>
      </c>
      <c r="N595" t="e">
        <f t="shared" si="63"/>
        <v>#N/A</v>
      </c>
      <c r="O595" t="e">
        <f t="shared" si="64"/>
        <v>#N/A</v>
      </c>
      <c r="P595">
        <f>'Nom du personnage'!$U$51</f>
        <v>0</v>
      </c>
    </row>
    <row r="596" spans="8:16" hidden="1">
      <c r="H596" s="2" t="s">
        <v>232</v>
      </c>
      <c r="I596" s="2">
        <v>5</v>
      </c>
      <c r="J596" s="2" t="s">
        <v>110</v>
      </c>
      <c r="K596" s="2">
        <f t="shared" si="62"/>
        <v>5</v>
      </c>
      <c r="M596">
        <f>IF(AND('Nom du personnage'!$U$51=Compétences!J596,Religion!$D$29=TRUE),Compétences!H596,0)</f>
        <v>0</v>
      </c>
      <c r="N596" t="e">
        <f t="shared" si="63"/>
        <v>#N/A</v>
      </c>
      <c r="O596" t="e">
        <f>VLOOKUP(M596,H596:J653,2,FALSE)</f>
        <v>#N/A</v>
      </c>
      <c r="P596">
        <f>'Nom du personnage'!$U$51</f>
        <v>0</v>
      </c>
    </row>
    <row r="597" spans="8:16" hidden="1">
      <c r="H597" s="2" t="s">
        <v>233</v>
      </c>
      <c r="I597" s="2">
        <v>6</v>
      </c>
      <c r="J597" s="2" t="s">
        <v>110</v>
      </c>
      <c r="K597" s="2">
        <f t="shared" si="62"/>
        <v>5</v>
      </c>
      <c r="M597">
        <f t="shared" si="61"/>
        <v>0</v>
      </c>
      <c r="N597" t="e">
        <f t="shared" si="63"/>
        <v>#N/A</v>
      </c>
      <c r="O597" t="e">
        <f>VLOOKUP(M597,H597:J654,2,FALSE)</f>
        <v>#N/A</v>
      </c>
      <c r="P597">
        <f>'Nom du personnage'!$U$51</f>
        <v>0</v>
      </c>
    </row>
    <row r="598" spans="8:16" hidden="1">
      <c r="H598" s="2" t="s">
        <v>234</v>
      </c>
      <c r="I598" s="2">
        <v>6</v>
      </c>
      <c r="J598" s="2" t="s">
        <v>110</v>
      </c>
      <c r="K598" s="2">
        <f t="shared" si="62"/>
        <v>5</v>
      </c>
      <c r="M598">
        <f t="shared" si="61"/>
        <v>0</v>
      </c>
      <c r="N598" t="e">
        <f t="shared" si="63"/>
        <v>#N/A</v>
      </c>
      <c r="O598" t="e">
        <f>VLOOKUP(M598,H598:J655,2,FALSE)+1</f>
        <v>#N/A</v>
      </c>
      <c r="P598">
        <f>'Nom du personnage'!$U$51</f>
        <v>0</v>
      </c>
    </row>
    <row r="599" spans="8:16" hidden="1">
      <c r="H599" s="2" t="s">
        <v>235</v>
      </c>
      <c r="I599" s="2">
        <v>6</v>
      </c>
      <c r="J599" s="2" t="s">
        <v>110</v>
      </c>
      <c r="K599" s="2">
        <f t="shared" si="62"/>
        <v>5</v>
      </c>
      <c r="M599">
        <f>IF(AND('Nom du personnage'!$U$51=Compétences!J599,Religion!$D$29),Compétences!H599,0)</f>
        <v>0</v>
      </c>
      <c r="N599" t="e">
        <f t="shared" ref="N599:N630" si="65">VLOOKUP(M599,H599:J656,2,FALSE)</f>
        <v>#N/A</v>
      </c>
      <c r="O599" t="e">
        <f>VLOOKUP(M599,H599:J656,2,FALSE)</f>
        <v>#N/A</v>
      </c>
      <c r="P599">
        <f>'Nom du personnage'!$U$51</f>
        <v>0</v>
      </c>
    </row>
    <row r="600" spans="8:16" hidden="1">
      <c r="H600" s="2" t="s">
        <v>236</v>
      </c>
      <c r="I600" s="2">
        <v>3</v>
      </c>
      <c r="J600" s="2" t="s">
        <v>110</v>
      </c>
      <c r="K600" s="2">
        <f t="shared" si="62"/>
        <v>1</v>
      </c>
      <c r="M600">
        <f t="shared" si="61"/>
        <v>0</v>
      </c>
      <c r="N600" t="e">
        <f t="shared" si="65"/>
        <v>#N/A</v>
      </c>
      <c r="O600" t="e">
        <f>VLOOKUP(M600,H600:J657,2,FALSE)</f>
        <v>#N/A</v>
      </c>
      <c r="P600">
        <f>'Nom du personnage'!$U$51</f>
        <v>0</v>
      </c>
    </row>
    <row r="601" spans="8:16" hidden="1">
      <c r="H601" s="2" t="s">
        <v>237</v>
      </c>
      <c r="I601" s="2">
        <v>5</v>
      </c>
      <c r="J601" s="2" t="s">
        <v>110</v>
      </c>
      <c r="K601" s="2">
        <f t="shared" si="62"/>
        <v>1</v>
      </c>
      <c r="M601">
        <f t="shared" si="61"/>
        <v>0</v>
      </c>
      <c r="N601" t="e">
        <f t="shared" si="65"/>
        <v>#N/A</v>
      </c>
      <c r="O601" t="e">
        <f>VLOOKUP(M601,H601:J658,2,FALSE)</f>
        <v>#N/A</v>
      </c>
      <c r="P601">
        <f>'Nom du personnage'!$U$51</f>
        <v>0</v>
      </c>
    </row>
    <row r="602" spans="8:16" hidden="1">
      <c r="H602" s="2" t="s">
        <v>238</v>
      </c>
      <c r="I602" s="2">
        <v>3</v>
      </c>
      <c r="J602" s="2" t="s">
        <v>110</v>
      </c>
      <c r="K602" s="2">
        <f t="shared" si="62"/>
        <v>1</v>
      </c>
      <c r="M602">
        <f t="shared" si="61"/>
        <v>0</v>
      </c>
      <c r="N602" t="e">
        <f t="shared" si="65"/>
        <v>#N/A</v>
      </c>
      <c r="O602" t="e">
        <f>VLOOKUP(M602,H602:J659,2,FALSE)</f>
        <v>#N/A</v>
      </c>
      <c r="P602">
        <f>'Nom du personnage'!$U$51</f>
        <v>0</v>
      </c>
    </row>
    <row r="603" spans="8:16" hidden="1">
      <c r="H603" s="2" t="s">
        <v>246</v>
      </c>
      <c r="I603" s="2">
        <v>6</v>
      </c>
      <c r="J603" s="2" t="s">
        <v>110</v>
      </c>
      <c r="K603" s="2">
        <f t="shared" si="62"/>
        <v>5</v>
      </c>
      <c r="M603" s="2" cm="1">
        <f t="array" ref="M603">IF(AND('Nom du personnage'!$U$51=Compétences!J603,OR('Nom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personnage'!$Q$65:$Z$85=Compétences!$H$1052)),H603,0)</f>
        <v>0</v>
      </c>
      <c r="N603" t="e">
        <f t="shared" si="65"/>
        <v>#N/A</v>
      </c>
      <c r="O603" t="e">
        <f>VLOOKUP(M603,H603:J660,2,FALSE)+1</f>
        <v>#N/A</v>
      </c>
      <c r="P603">
        <f>'Nom du personnage'!$U$51</f>
        <v>0</v>
      </c>
    </row>
    <row r="604" spans="8:16" hidden="1">
      <c r="H604" s="2" t="s">
        <v>239</v>
      </c>
      <c r="I604" s="2">
        <v>5</v>
      </c>
      <c r="J604" s="2" t="s">
        <v>110</v>
      </c>
      <c r="K604" s="2">
        <f t="shared" si="62"/>
        <v>1</v>
      </c>
      <c r="M604">
        <f t="shared" si="61"/>
        <v>0</v>
      </c>
      <c r="N604" t="e">
        <f t="shared" si="65"/>
        <v>#N/A</v>
      </c>
      <c r="O604" t="e">
        <f>VLOOKUP(M604,H604:J661,2,FALSE)+1</f>
        <v>#N/A</v>
      </c>
      <c r="P604">
        <f>'Nom du personnage'!$U$51</f>
        <v>0</v>
      </c>
    </row>
    <row r="605" spans="8:16" hidden="1">
      <c r="H605" s="2" t="s">
        <v>240</v>
      </c>
      <c r="I605" s="2">
        <v>6</v>
      </c>
      <c r="J605" s="2" t="s">
        <v>110</v>
      </c>
      <c r="K605" s="2">
        <f t="shared" si="62"/>
        <v>1</v>
      </c>
      <c r="M605">
        <f t="shared" si="61"/>
        <v>0</v>
      </c>
      <c r="N605" t="e">
        <f t="shared" si="65"/>
        <v>#N/A</v>
      </c>
      <c r="O605" t="e">
        <f t="shared" ref="O605:O610" si="66">VLOOKUP(M605,H605:J662,2,FALSE)</f>
        <v>#N/A</v>
      </c>
      <c r="P605">
        <f>'Nom du personnage'!$U$51</f>
        <v>0</v>
      </c>
    </row>
    <row r="606" spans="8:16" hidden="1">
      <c r="H606" s="2" t="s">
        <v>241</v>
      </c>
      <c r="I606" s="2">
        <v>6</v>
      </c>
      <c r="J606" s="2" t="s">
        <v>110</v>
      </c>
      <c r="K606" s="2">
        <f t="shared" si="62"/>
        <v>1</v>
      </c>
      <c r="M606">
        <f t="shared" si="61"/>
        <v>0</v>
      </c>
      <c r="N606" t="e">
        <f t="shared" si="65"/>
        <v>#N/A</v>
      </c>
      <c r="O606" t="e">
        <f t="shared" si="66"/>
        <v>#N/A</v>
      </c>
      <c r="P606">
        <f>'Nom du personnage'!$U$51</f>
        <v>0</v>
      </c>
    </row>
    <row r="607" spans="8:16" hidden="1">
      <c r="H607" s="2" t="s">
        <v>242</v>
      </c>
      <c r="I607" s="2">
        <v>6</v>
      </c>
      <c r="J607" s="2" t="s">
        <v>110</v>
      </c>
      <c r="K607" s="2">
        <f t="shared" si="62"/>
        <v>5</v>
      </c>
      <c r="M607">
        <f t="shared" si="61"/>
        <v>0</v>
      </c>
      <c r="N607" t="e">
        <f t="shared" si="65"/>
        <v>#N/A</v>
      </c>
      <c r="O607" t="e">
        <f t="shared" si="66"/>
        <v>#N/A</v>
      </c>
      <c r="P607">
        <f>'Nom du personnage'!$U$51</f>
        <v>0</v>
      </c>
    </row>
    <row r="608" spans="8:16" hidden="1">
      <c r="H608" s="2" t="s">
        <v>243</v>
      </c>
      <c r="I608" s="2">
        <v>5</v>
      </c>
      <c r="J608" s="2" t="s">
        <v>110</v>
      </c>
      <c r="K608" s="2">
        <f t="shared" si="62"/>
        <v>1</v>
      </c>
      <c r="M608">
        <f t="shared" si="61"/>
        <v>0</v>
      </c>
      <c r="N608" t="e">
        <f t="shared" si="65"/>
        <v>#N/A</v>
      </c>
      <c r="O608" t="e">
        <f t="shared" si="66"/>
        <v>#N/A</v>
      </c>
      <c r="P608">
        <f>'Nom du personnage'!$U$51</f>
        <v>0</v>
      </c>
    </row>
    <row r="609" spans="8:16" hidden="1">
      <c r="H609" s="2" t="s">
        <v>244</v>
      </c>
      <c r="I609" s="2">
        <v>5</v>
      </c>
      <c r="J609" s="2" t="s">
        <v>110</v>
      </c>
      <c r="K609" s="2">
        <f t="shared" si="62"/>
        <v>5</v>
      </c>
      <c r="M609" s="2" cm="1">
        <f t="array" ref="M609">IF(AND('Nom du personnage'!$U$51=Compétences!J609,OR('Nom du personnage'!$C$65:$L$85=Compétences!$H$89,'Nom du personnage'!$Q$65:$Z$85=Compétences!$H$89)),H609,0)</f>
        <v>0</v>
      </c>
      <c r="N609" t="e">
        <f t="shared" si="65"/>
        <v>#N/A</v>
      </c>
      <c r="O609" t="e">
        <f t="shared" si="66"/>
        <v>#N/A</v>
      </c>
      <c r="P609">
        <f>'Nom du personnage'!$U$51</f>
        <v>0</v>
      </c>
    </row>
    <row r="610" spans="8:16" hidden="1">
      <c r="H610" s="2" t="s">
        <v>245</v>
      </c>
      <c r="I610" s="2">
        <v>2</v>
      </c>
      <c r="J610" s="2" t="s">
        <v>110</v>
      </c>
      <c r="K610" s="2">
        <f t="shared" si="62"/>
        <v>5</v>
      </c>
      <c r="M610">
        <f t="shared" si="61"/>
        <v>0</v>
      </c>
      <c r="N610" t="e">
        <f t="shared" si="65"/>
        <v>#N/A</v>
      </c>
      <c r="O610" t="e">
        <f t="shared" si="66"/>
        <v>#N/A</v>
      </c>
      <c r="P610">
        <f>'Nom du personnage'!$U$51</f>
        <v>0</v>
      </c>
    </row>
    <row r="611" spans="8:16" hidden="1">
      <c r="H611" s="2" t="s">
        <v>260</v>
      </c>
      <c r="I611" s="2">
        <v>4</v>
      </c>
      <c r="J611" s="2" t="s">
        <v>110</v>
      </c>
      <c r="K611" s="2">
        <f t="shared" si="62"/>
        <v>1</v>
      </c>
      <c r="M611">
        <f t="shared" si="61"/>
        <v>0</v>
      </c>
      <c r="N611" t="e">
        <f t="shared" si="65"/>
        <v>#N/A</v>
      </c>
      <c r="O611" t="e">
        <f t="shared" ref="O611:O623" si="67">VLOOKUP(M611,H611:J668,2,FALSE)+1</f>
        <v>#N/A</v>
      </c>
      <c r="P611">
        <f>'Nom du personnage'!$U$51</f>
        <v>0</v>
      </c>
    </row>
    <row r="612" spans="8:16" hidden="1">
      <c r="H612" s="2" t="s">
        <v>261</v>
      </c>
      <c r="I612" s="2">
        <v>5</v>
      </c>
      <c r="J612" s="2" t="s">
        <v>110</v>
      </c>
      <c r="K612" s="2">
        <f t="shared" si="62"/>
        <v>1</v>
      </c>
      <c r="M612">
        <f>IF(AND(Religion!$D$29=TRUE,'Nom du personnage'!$F$60&lt;&gt;Données!$N$4,J612='Nom du personnage'!$U$51),Compétences!H612,0)</f>
        <v>0</v>
      </c>
      <c r="N612" t="e">
        <f t="shared" si="65"/>
        <v>#N/A</v>
      </c>
      <c r="O612" t="e">
        <f t="shared" si="67"/>
        <v>#N/A</v>
      </c>
      <c r="P612">
        <f>'Nom du personnage'!$U$51</f>
        <v>0</v>
      </c>
    </row>
    <row r="613" spans="8:16" hidden="1">
      <c r="H613" s="2" t="s">
        <v>262</v>
      </c>
      <c r="I613" s="2">
        <v>5</v>
      </c>
      <c r="J613" s="2" t="s">
        <v>110</v>
      </c>
      <c r="K613" s="2">
        <f t="shared" si="62"/>
        <v>1</v>
      </c>
      <c r="M613">
        <f t="shared" si="61"/>
        <v>0</v>
      </c>
      <c r="N613" t="e">
        <f t="shared" si="65"/>
        <v>#N/A</v>
      </c>
      <c r="O613" t="e">
        <f t="shared" si="67"/>
        <v>#N/A</v>
      </c>
      <c r="P613">
        <f>'Nom du personnage'!$U$51</f>
        <v>0</v>
      </c>
    </row>
    <row r="614" spans="8:16" hidden="1">
      <c r="H614" s="2" t="s">
        <v>232</v>
      </c>
      <c r="I614" s="2">
        <v>5</v>
      </c>
      <c r="J614" s="2" t="s">
        <v>113</v>
      </c>
      <c r="K614" s="2">
        <f t="shared" si="62"/>
        <v>5</v>
      </c>
      <c r="M614">
        <f>IF(AND('Nom du personnage'!$U$51=Compétences!J614,Religion!$D$29=TRUE),Compétences!H614,0)</f>
        <v>0</v>
      </c>
      <c r="N614" t="e">
        <f t="shared" si="65"/>
        <v>#N/A</v>
      </c>
      <c r="O614" t="e">
        <f t="shared" si="67"/>
        <v>#N/A</v>
      </c>
      <c r="P614">
        <f>'Nom du personnage'!$U$51</f>
        <v>0</v>
      </c>
    </row>
    <row r="615" spans="8:16" hidden="1">
      <c r="H615" s="2" t="s">
        <v>233</v>
      </c>
      <c r="I615" s="2">
        <v>6</v>
      </c>
      <c r="J615" s="2" t="s">
        <v>113</v>
      </c>
      <c r="K615" s="2">
        <f t="shared" si="62"/>
        <v>5</v>
      </c>
      <c r="M615">
        <f t="shared" ref="M615:M678" si="68">IF(P615=J615,H615,)</f>
        <v>0</v>
      </c>
      <c r="N615" t="e">
        <f t="shared" si="65"/>
        <v>#N/A</v>
      </c>
      <c r="O615" t="e">
        <f t="shared" si="67"/>
        <v>#N/A</v>
      </c>
      <c r="P615">
        <f>'Nom du personnage'!$U$51</f>
        <v>0</v>
      </c>
    </row>
    <row r="616" spans="8:16" hidden="1">
      <c r="H616" s="2" t="s">
        <v>234</v>
      </c>
      <c r="I616" s="2">
        <v>6</v>
      </c>
      <c r="J616" s="2" t="s">
        <v>113</v>
      </c>
      <c r="K616" s="2">
        <f t="shared" si="62"/>
        <v>5</v>
      </c>
      <c r="M616">
        <f t="shared" si="68"/>
        <v>0</v>
      </c>
      <c r="N616" t="e">
        <f t="shared" si="65"/>
        <v>#N/A</v>
      </c>
      <c r="O616" t="e">
        <f t="shared" si="67"/>
        <v>#N/A</v>
      </c>
      <c r="P616">
        <f>'Nom du personnage'!$U$51</f>
        <v>0</v>
      </c>
    </row>
    <row r="617" spans="8:16" hidden="1">
      <c r="H617" s="2" t="s">
        <v>235</v>
      </c>
      <c r="I617" s="2">
        <v>6</v>
      </c>
      <c r="J617" s="2" t="s">
        <v>113</v>
      </c>
      <c r="K617" s="2">
        <f t="shared" si="62"/>
        <v>5</v>
      </c>
      <c r="M617">
        <f>IF(AND('Nom du personnage'!$U$51=Compétences!J617,Religion!$D$29),Compétences!H617,0)</f>
        <v>0</v>
      </c>
      <c r="N617" t="e">
        <f t="shared" si="65"/>
        <v>#N/A</v>
      </c>
      <c r="O617" t="e">
        <f t="shared" si="67"/>
        <v>#N/A</v>
      </c>
      <c r="P617">
        <f>'Nom du personnage'!$U$51</f>
        <v>0</v>
      </c>
    </row>
    <row r="618" spans="8:16" hidden="1">
      <c r="H618" s="2" t="s">
        <v>236</v>
      </c>
      <c r="I618" s="2">
        <v>3</v>
      </c>
      <c r="J618" s="2" t="s">
        <v>113</v>
      </c>
      <c r="K618" s="2">
        <f t="shared" si="62"/>
        <v>1</v>
      </c>
      <c r="M618">
        <f t="shared" si="68"/>
        <v>0</v>
      </c>
      <c r="N618" t="e">
        <f t="shared" si="65"/>
        <v>#N/A</v>
      </c>
      <c r="O618" t="e">
        <f t="shared" si="67"/>
        <v>#N/A</v>
      </c>
      <c r="P618">
        <f>'Nom du personnage'!$U$51</f>
        <v>0</v>
      </c>
    </row>
    <row r="619" spans="8:16" hidden="1">
      <c r="H619" s="2" t="s">
        <v>237</v>
      </c>
      <c r="I619" s="2">
        <v>5</v>
      </c>
      <c r="J619" s="2" t="s">
        <v>113</v>
      </c>
      <c r="K619" s="2">
        <f t="shared" si="62"/>
        <v>1</v>
      </c>
      <c r="M619">
        <f t="shared" si="68"/>
        <v>0</v>
      </c>
      <c r="N619" t="e">
        <f t="shared" si="65"/>
        <v>#N/A</v>
      </c>
      <c r="O619" t="e">
        <f t="shared" si="67"/>
        <v>#N/A</v>
      </c>
      <c r="P619">
        <f>'Nom du personnage'!$U$51</f>
        <v>0</v>
      </c>
    </row>
    <row r="620" spans="8:16" hidden="1">
      <c r="H620" s="2" t="s">
        <v>238</v>
      </c>
      <c r="I620" s="2">
        <v>3</v>
      </c>
      <c r="J620" s="2" t="s">
        <v>113</v>
      </c>
      <c r="K620" s="2">
        <f t="shared" si="62"/>
        <v>1</v>
      </c>
      <c r="M620">
        <f t="shared" si="68"/>
        <v>0</v>
      </c>
      <c r="N620" t="e">
        <f t="shared" si="65"/>
        <v>#N/A</v>
      </c>
      <c r="O620" t="e">
        <f t="shared" si="67"/>
        <v>#N/A</v>
      </c>
      <c r="P620">
        <f>'Nom du personnage'!$U$51</f>
        <v>0</v>
      </c>
    </row>
    <row r="621" spans="8:16" hidden="1">
      <c r="H621" s="2" t="s">
        <v>246</v>
      </c>
      <c r="I621" s="2">
        <v>6</v>
      </c>
      <c r="J621" s="2" t="s">
        <v>113</v>
      </c>
      <c r="K621" s="2">
        <f t="shared" ref="K621:K684" si="69">VLOOKUP(H621,$B$3:$D$115,3,FALSE)</f>
        <v>5</v>
      </c>
      <c r="M621" s="2" cm="1">
        <f t="array" ref="M621">IF(AND('Nom du personnage'!$U$51=Compétences!J621,OR('Nom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personnage'!$Q$65:$Z$85=Compétences!$H$1052)),H621,0)</f>
        <v>0</v>
      </c>
      <c r="N621" t="e">
        <f t="shared" si="65"/>
        <v>#N/A</v>
      </c>
      <c r="O621" t="e">
        <f t="shared" si="67"/>
        <v>#N/A</v>
      </c>
      <c r="P621">
        <f>'Nom du personnage'!$U$51</f>
        <v>0</v>
      </c>
    </row>
    <row r="622" spans="8:16" hidden="1">
      <c r="H622" s="2" t="s">
        <v>239</v>
      </c>
      <c r="I622" s="2">
        <v>5</v>
      </c>
      <c r="J622" s="2" t="s">
        <v>113</v>
      </c>
      <c r="K622" s="2">
        <f t="shared" si="69"/>
        <v>1</v>
      </c>
      <c r="M622">
        <f t="shared" si="68"/>
        <v>0</v>
      </c>
      <c r="N622" t="e">
        <f t="shared" si="65"/>
        <v>#N/A</v>
      </c>
      <c r="O622" t="e">
        <f t="shared" si="67"/>
        <v>#N/A</v>
      </c>
      <c r="P622">
        <f>'Nom du personnage'!$U$51</f>
        <v>0</v>
      </c>
    </row>
    <row r="623" spans="8:16" hidden="1">
      <c r="H623" s="2" t="s">
        <v>240</v>
      </c>
      <c r="I623" s="2">
        <v>6</v>
      </c>
      <c r="J623" s="2" t="s">
        <v>113</v>
      </c>
      <c r="K623" s="2">
        <f t="shared" si="69"/>
        <v>1</v>
      </c>
      <c r="M623">
        <f t="shared" si="68"/>
        <v>0</v>
      </c>
      <c r="N623" t="e">
        <f t="shared" si="65"/>
        <v>#N/A</v>
      </c>
      <c r="O623" t="e">
        <f t="shared" si="67"/>
        <v>#N/A</v>
      </c>
      <c r="P623">
        <f>'Nom du personnage'!$U$51</f>
        <v>0</v>
      </c>
    </row>
    <row r="624" spans="8:16" hidden="1">
      <c r="H624" s="2" t="s">
        <v>241</v>
      </c>
      <c r="I624" s="2">
        <v>6</v>
      </c>
      <c r="J624" s="2" t="s">
        <v>113</v>
      </c>
      <c r="K624" s="2">
        <f t="shared" si="69"/>
        <v>1</v>
      </c>
      <c r="M624">
        <f t="shared" si="68"/>
        <v>0</v>
      </c>
      <c r="N624" t="e">
        <f t="shared" si="65"/>
        <v>#N/A</v>
      </c>
      <c r="O624" t="e">
        <f>VLOOKUP(M624,H624:J681,2,FALSE)</f>
        <v>#N/A</v>
      </c>
      <c r="P624">
        <f>'Nom du personnage'!$U$51</f>
        <v>0</v>
      </c>
    </row>
    <row r="625" spans="8:16" hidden="1">
      <c r="H625" s="2" t="s">
        <v>242</v>
      </c>
      <c r="I625" s="2">
        <v>6</v>
      </c>
      <c r="J625" s="2" t="s">
        <v>113</v>
      </c>
      <c r="K625" s="2">
        <f t="shared" si="69"/>
        <v>5</v>
      </c>
      <c r="M625">
        <f t="shared" si="68"/>
        <v>0</v>
      </c>
      <c r="N625" t="e">
        <f t="shared" si="65"/>
        <v>#N/A</v>
      </c>
      <c r="O625" t="e">
        <f t="shared" ref="O625:O637" si="70">VLOOKUP(M625,H625:J682,2,FALSE)+1</f>
        <v>#N/A</v>
      </c>
      <c r="P625">
        <f>'Nom du personnage'!$U$51</f>
        <v>0</v>
      </c>
    </row>
    <row r="626" spans="8:16" hidden="1">
      <c r="H626" s="2" t="s">
        <v>243</v>
      </c>
      <c r="I626" s="2">
        <v>5</v>
      </c>
      <c r="J626" s="2" t="s">
        <v>113</v>
      </c>
      <c r="K626" s="2">
        <f t="shared" si="69"/>
        <v>1</v>
      </c>
      <c r="M626">
        <f t="shared" si="68"/>
        <v>0</v>
      </c>
      <c r="N626" t="e">
        <f t="shared" si="65"/>
        <v>#N/A</v>
      </c>
      <c r="O626" t="e">
        <f t="shared" si="70"/>
        <v>#N/A</v>
      </c>
      <c r="P626">
        <f>'Nom du personnage'!$U$51</f>
        <v>0</v>
      </c>
    </row>
    <row r="627" spans="8:16" hidden="1">
      <c r="H627" s="2" t="s">
        <v>244</v>
      </c>
      <c r="I627" s="2">
        <v>5</v>
      </c>
      <c r="J627" s="2" t="s">
        <v>113</v>
      </c>
      <c r="K627" s="2">
        <f t="shared" si="69"/>
        <v>5</v>
      </c>
      <c r="M627" s="2" cm="1">
        <f t="array" ref="M627">IF(AND('Nom du personnage'!$U$51=Compétences!J627,OR('Nom du personnage'!$C$65:$L$85=Compétences!$H$89,'Nom du personnage'!$Q$65:$Z$85=Compétences!$H$89)),H627,0)</f>
        <v>0</v>
      </c>
      <c r="N627" t="e">
        <f t="shared" si="65"/>
        <v>#N/A</v>
      </c>
      <c r="O627" t="e">
        <f t="shared" si="70"/>
        <v>#N/A</v>
      </c>
      <c r="P627">
        <f>'Nom du personnage'!$U$51</f>
        <v>0</v>
      </c>
    </row>
    <row r="628" spans="8:16" hidden="1">
      <c r="H628" s="2" t="s">
        <v>245</v>
      </c>
      <c r="I628" s="2">
        <v>2</v>
      </c>
      <c r="J628" s="2" t="s">
        <v>113</v>
      </c>
      <c r="K628" s="2">
        <f t="shared" si="69"/>
        <v>5</v>
      </c>
      <c r="M628">
        <f t="shared" si="68"/>
        <v>0</v>
      </c>
      <c r="N628" t="e">
        <f t="shared" si="65"/>
        <v>#N/A</v>
      </c>
      <c r="O628" t="e">
        <f t="shared" si="70"/>
        <v>#N/A</v>
      </c>
      <c r="P628">
        <f>'Nom du personnage'!$U$51</f>
        <v>0</v>
      </c>
    </row>
    <row r="629" spans="8:16" hidden="1">
      <c r="H629" s="2" t="s">
        <v>247</v>
      </c>
      <c r="I629" s="2">
        <v>5</v>
      </c>
      <c r="J629" s="2" t="s">
        <v>113</v>
      </c>
      <c r="K629" s="2">
        <f t="shared" si="69"/>
        <v>5</v>
      </c>
      <c r="M629">
        <f>IF('Nom du personnage'!$U$51=Compétences!J629,'Contact marchand'!F3,0)</f>
        <v>0</v>
      </c>
      <c r="N629" t="e">
        <f t="shared" si="65"/>
        <v>#N/A</v>
      </c>
      <c r="O629" t="e">
        <f t="shared" si="70"/>
        <v>#N/A</v>
      </c>
      <c r="P629">
        <f>'Nom du personnage'!$U$51</f>
        <v>0</v>
      </c>
    </row>
    <row r="630" spans="8:16" hidden="1">
      <c r="H630" s="2" t="s">
        <v>248</v>
      </c>
      <c r="I630" s="2">
        <v>5</v>
      </c>
      <c r="J630" s="2" t="s">
        <v>113</v>
      </c>
      <c r="K630" s="2">
        <f t="shared" si="69"/>
        <v>5</v>
      </c>
      <c r="M630">
        <f>IF('Nom du personnage'!$U$51=Compétences!J630,'Contact marchand'!F4,0)</f>
        <v>0</v>
      </c>
      <c r="N630" t="e">
        <f t="shared" si="65"/>
        <v>#N/A</v>
      </c>
      <c r="O630" t="e">
        <f t="shared" si="70"/>
        <v>#N/A</v>
      </c>
      <c r="P630">
        <f>'Nom du personnage'!$U$51</f>
        <v>0</v>
      </c>
    </row>
    <row r="631" spans="8:16" hidden="1">
      <c r="H631" s="2" t="s">
        <v>249</v>
      </c>
      <c r="I631" s="2">
        <v>5</v>
      </c>
      <c r="J631" s="2" t="s">
        <v>113</v>
      </c>
      <c r="K631" s="2">
        <f t="shared" si="69"/>
        <v>5</v>
      </c>
      <c r="M631">
        <f>IF('Nom du personnage'!$U$51=Compétences!J631,'Contact marchand'!F5,0)</f>
        <v>0</v>
      </c>
      <c r="N631" t="e">
        <f t="shared" ref="N631:N637" si="71">VLOOKUP(M631,H631:J688,2,FALSE)</f>
        <v>#N/A</v>
      </c>
      <c r="O631" t="e">
        <f t="shared" si="70"/>
        <v>#N/A</v>
      </c>
      <c r="P631">
        <f>'Nom du personnage'!$U$51</f>
        <v>0</v>
      </c>
    </row>
    <row r="632" spans="8:16" hidden="1">
      <c r="H632" s="2" t="s">
        <v>250</v>
      </c>
      <c r="I632" s="2">
        <v>5</v>
      </c>
      <c r="J632" s="2" t="s">
        <v>113</v>
      </c>
      <c r="K632" s="2">
        <f t="shared" si="69"/>
        <v>5</v>
      </c>
      <c r="M632">
        <f>IF('Nom du personnage'!$U$51=Compétences!J632,'Contact marchand'!F6,0)</f>
        <v>0</v>
      </c>
      <c r="N632" t="e">
        <f t="shared" si="71"/>
        <v>#N/A</v>
      </c>
      <c r="O632" t="e">
        <f t="shared" si="70"/>
        <v>#N/A</v>
      </c>
      <c r="P632">
        <f>'Nom du personnage'!$U$51</f>
        <v>0</v>
      </c>
    </row>
    <row r="633" spans="8:16" hidden="1">
      <c r="H633" s="2" t="s">
        <v>251</v>
      </c>
      <c r="I633" s="2">
        <v>6</v>
      </c>
      <c r="J633" s="2" t="s">
        <v>113</v>
      </c>
      <c r="K633" s="2">
        <f t="shared" si="69"/>
        <v>5</v>
      </c>
      <c r="M633">
        <f>IF('Nom du personnage'!$U$51=Compétences!J633,'Contact marchand'!F7,0)</f>
        <v>0</v>
      </c>
      <c r="N633" t="e">
        <f t="shared" si="71"/>
        <v>#N/A</v>
      </c>
      <c r="O633" t="e">
        <f t="shared" si="70"/>
        <v>#N/A</v>
      </c>
      <c r="P633">
        <f>'Nom du personnage'!$U$51</f>
        <v>0</v>
      </c>
    </row>
    <row r="634" spans="8:16" hidden="1">
      <c r="H634" s="2" t="s">
        <v>252</v>
      </c>
      <c r="I634" s="2">
        <v>10</v>
      </c>
      <c r="J634" s="2" t="s">
        <v>113</v>
      </c>
      <c r="K634" s="2">
        <f t="shared" si="69"/>
        <v>5</v>
      </c>
      <c r="M634">
        <f>IF('Nom du personnage'!$U$51=Compétences!J634,'Contact marchand'!F8,0)</f>
        <v>0</v>
      </c>
      <c r="N634" t="e">
        <f t="shared" si="71"/>
        <v>#N/A</v>
      </c>
      <c r="O634" t="e">
        <f t="shared" si="70"/>
        <v>#N/A</v>
      </c>
      <c r="P634">
        <f>'Nom du personnage'!$U$51</f>
        <v>0</v>
      </c>
    </row>
    <row r="635" spans="8:16" hidden="1">
      <c r="H635" s="2" t="s">
        <v>253</v>
      </c>
      <c r="I635" s="2">
        <v>10</v>
      </c>
      <c r="J635" s="2" t="s">
        <v>113</v>
      </c>
      <c r="K635" s="2">
        <f t="shared" si="69"/>
        <v>5</v>
      </c>
      <c r="M635">
        <f>IF('Nom du personnage'!$U$51=Compétences!J635,'Contact marchand'!F9,0)</f>
        <v>0</v>
      </c>
      <c r="N635" t="e">
        <f t="shared" si="71"/>
        <v>#N/A</v>
      </c>
      <c r="O635" t="e">
        <f t="shared" si="70"/>
        <v>#N/A</v>
      </c>
      <c r="P635">
        <f>'Nom du personnage'!$U$51</f>
        <v>0</v>
      </c>
    </row>
    <row r="636" spans="8:16" hidden="1">
      <c r="H636" s="2" t="s">
        <v>254</v>
      </c>
      <c r="I636" s="2">
        <v>6</v>
      </c>
      <c r="J636" s="2" t="s">
        <v>113</v>
      </c>
      <c r="K636" s="2">
        <f t="shared" si="69"/>
        <v>5</v>
      </c>
      <c r="M636">
        <f t="shared" si="68"/>
        <v>0</v>
      </c>
      <c r="N636" t="e">
        <f t="shared" si="71"/>
        <v>#N/A</v>
      </c>
      <c r="O636" t="e">
        <f t="shared" si="70"/>
        <v>#N/A</v>
      </c>
      <c r="P636">
        <f>'Nom du personnage'!$U$51</f>
        <v>0</v>
      </c>
    </row>
    <row r="637" spans="8:16" hidden="1">
      <c r="H637" s="2" t="s">
        <v>255</v>
      </c>
      <c r="I637" s="2">
        <v>5</v>
      </c>
      <c r="J637" s="2" t="s">
        <v>113</v>
      </c>
      <c r="K637" s="2">
        <f t="shared" si="69"/>
        <v>1</v>
      </c>
      <c r="M637">
        <f>IF(AND(J637='Nom du personnage'!$U$51,Concoction!$F$45=TRUE),Compétences!H637,0)</f>
        <v>0</v>
      </c>
      <c r="N637" t="e">
        <f t="shared" si="71"/>
        <v>#N/A</v>
      </c>
      <c r="O637" t="e">
        <f t="shared" si="70"/>
        <v>#N/A</v>
      </c>
      <c r="P637">
        <f>'Nom du personnage'!$U$51</f>
        <v>0</v>
      </c>
    </row>
    <row r="638" spans="8:16" hidden="1">
      <c r="H638" s="2" t="s">
        <v>256</v>
      </c>
      <c r="I638" s="2">
        <v>6</v>
      </c>
      <c r="J638" s="2" t="s">
        <v>113</v>
      </c>
      <c r="K638" s="2">
        <f t="shared" si="69"/>
        <v>5</v>
      </c>
      <c r="M638">
        <f>IF(AND(J638='Nom du personnage'!$U$51,'Lecture et écriture'!$G$99=TRUE),Compétences!H638,0)</f>
        <v>0</v>
      </c>
      <c r="N638" t="e">
        <f>VLOOKUP(M638,H638:J694,2,FALSE)</f>
        <v>#N/A</v>
      </c>
      <c r="O638" t="e">
        <f>VLOOKUP(M638,H638:J694,2,FALSE)+1</f>
        <v>#N/A</v>
      </c>
      <c r="P638">
        <f>'Nom du personnage'!$U$51</f>
        <v>0</v>
      </c>
    </row>
    <row r="639" spans="8:16" hidden="1">
      <c r="H639" s="2" t="s">
        <v>257</v>
      </c>
      <c r="I639" s="2">
        <v>6</v>
      </c>
      <c r="J639" s="2" t="s">
        <v>113</v>
      </c>
      <c r="K639" s="2">
        <f t="shared" si="69"/>
        <v>1</v>
      </c>
      <c r="M639" s="2" cm="1">
        <f t="array" ref="M639">IF(AND(J639='Nom du personnage'!$U$51,OR('Nom du personnage'!$C$65:$L$85=Compétences!$H$19,'Nom du personnage'!$Q$65:$Z$85=Compétences!$H$19)),H639,0)</f>
        <v>0</v>
      </c>
      <c r="N639" t="e">
        <f>VLOOKUP(M639,H639:J695,2,FALSE)</f>
        <v>#N/A</v>
      </c>
      <c r="O639" t="e">
        <f>VLOOKUP(M639,H639:J695,2,FALSE)+1</f>
        <v>#N/A</v>
      </c>
      <c r="P639">
        <f>'Nom du personnage'!$U$51</f>
        <v>0</v>
      </c>
    </row>
    <row r="640" spans="8:16" hidden="1">
      <c r="H640" s="2" t="s">
        <v>1005</v>
      </c>
      <c r="I640" s="2">
        <v>2</v>
      </c>
      <c r="J640" s="2" t="s">
        <v>113</v>
      </c>
      <c r="K640" s="2">
        <f t="shared" si="69"/>
        <v>5</v>
      </c>
      <c r="M640" s="2" cm="1">
        <f t="array" ref="M640">IF(AND('Nom du personnage'!$U$51=Compétences!J640,OR('Nom du personnage'!$C$65:$L$85=Compétences!$M$3,'Nom du personnage'!$Q$65:$Z$85=Compétences!$M$3)),H640,0)</f>
        <v>0</v>
      </c>
      <c r="N640" t="e">
        <f t="shared" ref="N640:N647" si="72">VLOOKUP(M640,H640:J695,2,FALSE)</f>
        <v>#N/A</v>
      </c>
      <c r="O640" t="e">
        <f>VLOOKUP(M640,H640:J695,2,FALSE)+1</f>
        <v>#N/A</v>
      </c>
      <c r="P640">
        <f>'Nom du personnage'!$U$51</f>
        <v>0</v>
      </c>
    </row>
    <row r="641" spans="8:16" hidden="1">
      <c r="H641" s="2" t="s">
        <v>212</v>
      </c>
      <c r="I641" s="2">
        <v>6</v>
      </c>
      <c r="J641" s="2" t="s">
        <v>113</v>
      </c>
      <c r="K641" s="2">
        <f t="shared" si="69"/>
        <v>1</v>
      </c>
      <c r="M641">
        <f t="shared" si="68"/>
        <v>0</v>
      </c>
      <c r="N641" t="e">
        <f t="shared" si="72"/>
        <v>#N/A</v>
      </c>
      <c r="O641" t="e">
        <f>VLOOKUP(M641,H641:J696,2,FALSE)+1</f>
        <v>#N/A</v>
      </c>
      <c r="P641">
        <f>'Nom du personnage'!$U$51</f>
        <v>0</v>
      </c>
    </row>
    <row r="642" spans="8:16" hidden="1">
      <c r="H642" s="2" t="s">
        <v>258</v>
      </c>
      <c r="I642" s="2">
        <v>5</v>
      </c>
      <c r="J642" s="2" t="s">
        <v>113</v>
      </c>
      <c r="K642" s="2">
        <f t="shared" si="69"/>
        <v>5</v>
      </c>
      <c r="M642" s="2" cm="1">
        <f t="array" ref="M642">IF(AND(J642='Nom du personnage'!$U$51,OR('Nom du personnage'!$C$65:$L$85=Compétences!$H$19,'Nom du personnage'!$Q$65:$Z$85=Compétences!$H$19)),H642,0)</f>
        <v>0</v>
      </c>
      <c r="N642" t="e">
        <f t="shared" si="72"/>
        <v>#N/A</v>
      </c>
      <c r="O642" t="e">
        <f>VLOOKUP(M642,H642:J697,2,FALSE)+1</f>
        <v>#N/A</v>
      </c>
      <c r="P642">
        <f>'Nom du personnage'!$U$51</f>
        <v>0</v>
      </c>
    </row>
    <row r="643" spans="8:16" hidden="1">
      <c r="H643" s="2" t="s">
        <v>259</v>
      </c>
      <c r="I643" s="2">
        <v>4</v>
      </c>
      <c r="J643" s="2" t="s">
        <v>113</v>
      </c>
      <c r="K643" s="2">
        <f t="shared" si="69"/>
        <v>5</v>
      </c>
      <c r="M643">
        <f t="shared" si="68"/>
        <v>0</v>
      </c>
      <c r="N643" t="e">
        <f t="shared" si="72"/>
        <v>#N/A</v>
      </c>
      <c r="O643" t="e">
        <f>VLOOKUP(M643,H643:J698,2,FALSE)+1</f>
        <v>#N/A</v>
      </c>
      <c r="P643">
        <f>'Nom du personnage'!$U$51</f>
        <v>0</v>
      </c>
    </row>
    <row r="644" spans="8:16" hidden="1">
      <c r="H644" s="2" t="s">
        <v>185</v>
      </c>
      <c r="I644">
        <v>6</v>
      </c>
      <c r="J644" s="2" t="s">
        <v>158</v>
      </c>
      <c r="K644" s="2">
        <f t="shared" si="69"/>
        <v>1</v>
      </c>
      <c r="M644">
        <f t="shared" si="68"/>
        <v>0</v>
      </c>
      <c r="N644" t="e">
        <f t="shared" si="72"/>
        <v>#N/A</v>
      </c>
      <c r="O644" t="e">
        <f>VLOOKUP(M644,H644:J699,2,FALSE)+1</f>
        <v>#N/A</v>
      </c>
      <c r="P644">
        <f>'Nom du personnage'!$U$51</f>
        <v>0</v>
      </c>
    </row>
    <row r="645" spans="8:16" hidden="1">
      <c r="H645" s="2" t="s">
        <v>199</v>
      </c>
      <c r="I645">
        <v>6</v>
      </c>
      <c r="J645" s="2" t="s">
        <v>158</v>
      </c>
      <c r="K645" s="2">
        <f t="shared" si="69"/>
        <v>1</v>
      </c>
      <c r="M645" s="2" cm="1">
        <f t="array" ref="M645">IF(AND('Nom du personnage'!U651=Compétences!J645,OR('Nom du personnage'!$C$65:$L$85=Compétences!$M$13,'Nom du personnage'!$Q$65:$Z$85=Compétences!$M$13)),H645,0)</f>
        <v>0</v>
      </c>
      <c r="N645" t="e">
        <f t="shared" si="72"/>
        <v>#N/A</v>
      </c>
      <c r="O645" t="e">
        <f>VLOOKUP(M645,H645:J700,2,FALSE)</f>
        <v>#N/A</v>
      </c>
      <c r="P645">
        <f>'Nom du personnage'!$U$51</f>
        <v>0</v>
      </c>
    </row>
    <row r="646" spans="8:16" hidden="1">
      <c r="H646" s="2" t="s">
        <v>200</v>
      </c>
      <c r="I646">
        <v>6</v>
      </c>
      <c r="J646" s="2" t="s">
        <v>158</v>
      </c>
      <c r="K646" s="2">
        <f t="shared" si="69"/>
        <v>1</v>
      </c>
      <c r="M646">
        <f t="shared" si="68"/>
        <v>0</v>
      </c>
      <c r="N646" t="e">
        <f t="shared" si="72"/>
        <v>#N/A</v>
      </c>
      <c r="O646" t="e">
        <f>VLOOKUP(M646,H646:J701,2,FALSE)</f>
        <v>#N/A</v>
      </c>
      <c r="P646">
        <f>'Nom du personnage'!$U$51</f>
        <v>0</v>
      </c>
    </row>
    <row r="647" spans="8:16" hidden="1">
      <c r="H647" s="2" t="s">
        <v>201</v>
      </c>
      <c r="I647">
        <v>6</v>
      </c>
      <c r="J647" s="2" t="s">
        <v>158</v>
      </c>
      <c r="K647" s="2">
        <f t="shared" si="69"/>
        <v>1</v>
      </c>
      <c r="M647">
        <f t="shared" si="68"/>
        <v>0</v>
      </c>
      <c r="N647" t="e">
        <f t="shared" si="72"/>
        <v>#N/A</v>
      </c>
      <c r="O647" t="e">
        <f>VLOOKUP(M647,H647:J702,2,FALSE)+1</f>
        <v>#N/A</v>
      </c>
      <c r="P647">
        <f>'Nom du personnage'!$U$51</f>
        <v>0</v>
      </c>
    </row>
    <row r="648" spans="8:16" hidden="1">
      <c r="H648" s="2" t="s">
        <v>202</v>
      </c>
      <c r="I648">
        <v>5</v>
      </c>
      <c r="J648" s="2" t="s">
        <v>158</v>
      </c>
      <c r="K648" s="2">
        <f t="shared" si="69"/>
        <v>5</v>
      </c>
      <c r="M648">
        <f t="shared" si="68"/>
        <v>0</v>
      </c>
      <c r="N648">
        <v>0</v>
      </c>
      <c r="O648">
        <v>0</v>
      </c>
      <c r="P648">
        <f>'Nom du personnage'!$U$51</f>
        <v>0</v>
      </c>
    </row>
    <row r="649" spans="8:16" hidden="1">
      <c r="H649" s="2" t="s">
        <v>203</v>
      </c>
      <c r="I649">
        <v>6</v>
      </c>
      <c r="J649" s="2" t="s">
        <v>158</v>
      </c>
      <c r="K649" s="2">
        <f t="shared" si="69"/>
        <v>5</v>
      </c>
      <c r="M649" s="2" cm="1">
        <f t="array" ref="M649">IF(AND('Nom du personnage'!U521=Compétences!J649,OR('Nom du personnage'!$C$65:$L$85=Compétences!$H$48,'Nom du personnage'!$Q$65:$Z$85=Compétences!$H$48)),H649,0)</f>
        <v>0</v>
      </c>
      <c r="N649" t="e">
        <f t="shared" ref="N649:N670" si="73">VLOOKUP(M649,H649:J704,2,FALSE)</f>
        <v>#N/A</v>
      </c>
      <c r="O649" t="e">
        <f>VLOOKUP(M649,H649:J704,2,FALSE)</f>
        <v>#N/A</v>
      </c>
      <c r="P649">
        <f>'Nom du personnage'!$U$51</f>
        <v>0</v>
      </c>
    </row>
    <row r="650" spans="8:16" hidden="1">
      <c r="H650" s="2" t="s">
        <v>204</v>
      </c>
      <c r="I650">
        <v>4</v>
      </c>
      <c r="J650" s="2" t="s">
        <v>158</v>
      </c>
      <c r="K650" s="2">
        <f t="shared" si="69"/>
        <v>1</v>
      </c>
      <c r="M650">
        <f t="shared" si="68"/>
        <v>0</v>
      </c>
      <c r="N650" t="e">
        <f t="shared" si="73"/>
        <v>#N/A</v>
      </c>
      <c r="O650" t="e">
        <f>VLOOKUP(M650,H650:J705,2,FALSE)</f>
        <v>#N/A</v>
      </c>
      <c r="P650">
        <f>'Nom du personnage'!$U$51</f>
        <v>0</v>
      </c>
    </row>
    <row r="651" spans="8:16" hidden="1">
      <c r="H651" s="2" t="s">
        <v>205</v>
      </c>
      <c r="I651">
        <v>5</v>
      </c>
      <c r="J651" s="2" t="s">
        <v>158</v>
      </c>
      <c r="K651" s="2">
        <f t="shared" si="69"/>
        <v>5</v>
      </c>
      <c r="M651" s="2" cm="1">
        <f t="array" ref="M651">IF(AND('Nom du personnage'!U651=Compétences!J651,OR('Nom du personnage'!$C$65:$L$85=Compétences!$H$50,'Nom du personnage'!$Q$65:$Z$85=Compétences!$H$50)),H651,0)</f>
        <v>0</v>
      </c>
      <c r="N651" t="e">
        <f t="shared" si="73"/>
        <v>#N/A</v>
      </c>
      <c r="O651" t="e">
        <f>VLOOKUP(M651,H651:J706,2,FALSE)</f>
        <v>#N/A</v>
      </c>
      <c r="P651">
        <f>'Nom du personnage'!$U$51</f>
        <v>0</v>
      </c>
    </row>
    <row r="652" spans="8:16">
      <c r="H652" s="2" t="s">
        <v>206</v>
      </c>
      <c r="I652">
        <v>3</v>
      </c>
      <c r="J652" s="2" t="s">
        <v>158</v>
      </c>
      <c r="K652" s="2">
        <f t="shared" si="69"/>
        <v>5</v>
      </c>
      <c r="M652" s="2" cm="1">
        <f t="array" ref="M652">IF(AND('Nom du personnage'!U651=Compétences!J652,OR('Nom du personnage'!$C$65:$L$85=Compétences!$M$18,'Nom du personnage'!$Q$65:$Z$85=Compétences!$M$18)),H652,0)</f>
        <v>0</v>
      </c>
      <c r="N652" t="e">
        <f t="shared" si="73"/>
        <v>#N/A</v>
      </c>
      <c r="O652" t="e">
        <f>VLOOKUP(M652,H652:J707,2,FALSE)</f>
        <v>#N/A</v>
      </c>
      <c r="P652">
        <f>'Nom du personnage'!$U$51</f>
        <v>0</v>
      </c>
    </row>
    <row r="653" spans="8:16" hidden="1">
      <c r="H653" s="2" t="s">
        <v>1005</v>
      </c>
      <c r="I653" s="2">
        <v>2</v>
      </c>
      <c r="J653" s="2" t="s">
        <v>158</v>
      </c>
      <c r="K653" s="2">
        <f t="shared" si="69"/>
        <v>5</v>
      </c>
      <c r="M653" s="2" cm="1">
        <f t="array" ref="M653">IF(AND('Nom du personnage'!$U$51=Compétences!J653,OR('Nom du personnage'!$C$65:$L$85=Compétences!$M$3,'Nom du personnage'!$Q$65:$Z$85=Compétences!$M$3)),H653,0)</f>
        <v>0</v>
      </c>
      <c r="N653" t="e">
        <f t="shared" si="73"/>
        <v>#N/A</v>
      </c>
      <c r="O653" t="e">
        <f>VLOOKUP(M653,H653:J708,2,FALSE)</f>
        <v>#N/A</v>
      </c>
      <c r="P653">
        <f>'Nom du personnage'!$U$51</f>
        <v>0</v>
      </c>
    </row>
    <row r="654" spans="8:16" hidden="1">
      <c r="H654" s="2" t="s">
        <v>208</v>
      </c>
      <c r="I654" s="2">
        <v>6</v>
      </c>
      <c r="J654" s="2" t="s">
        <v>158</v>
      </c>
      <c r="K654" s="2">
        <f t="shared" si="69"/>
        <v>1</v>
      </c>
      <c r="M654">
        <f t="shared" si="68"/>
        <v>0</v>
      </c>
      <c r="N654" t="e">
        <f t="shared" si="73"/>
        <v>#N/A</v>
      </c>
      <c r="O654" t="e">
        <f>VLOOKUP(M654,H654:J709,2,FALSE)+1</f>
        <v>#N/A</v>
      </c>
      <c r="P654">
        <f>'Nom du personnage'!$U$51</f>
        <v>0</v>
      </c>
    </row>
    <row r="655" spans="8:16" hidden="1">
      <c r="H655" s="2" t="s">
        <v>209</v>
      </c>
      <c r="I655" s="2">
        <v>4</v>
      </c>
      <c r="J655" s="2" t="s">
        <v>158</v>
      </c>
      <c r="K655" s="2">
        <f t="shared" si="69"/>
        <v>1</v>
      </c>
      <c r="M655">
        <f t="shared" si="68"/>
        <v>0</v>
      </c>
      <c r="N655" t="e">
        <f t="shared" si="73"/>
        <v>#N/A</v>
      </c>
      <c r="O655" t="e">
        <f>VLOOKUP(M655,H655:J710,2,FALSE)+1</f>
        <v>#N/A</v>
      </c>
      <c r="P655">
        <f>'Nom du personnage'!$U$51</f>
        <v>0</v>
      </c>
    </row>
    <row r="656" spans="8:16" hidden="1">
      <c r="H656" s="2" t="s">
        <v>211</v>
      </c>
      <c r="I656" s="2">
        <v>4</v>
      </c>
      <c r="J656" s="2" t="s">
        <v>158</v>
      </c>
      <c r="K656" s="2">
        <f t="shared" si="69"/>
        <v>1</v>
      </c>
      <c r="M656">
        <f t="shared" si="68"/>
        <v>0</v>
      </c>
      <c r="N656" t="e">
        <f t="shared" si="73"/>
        <v>#N/A</v>
      </c>
      <c r="O656" t="e">
        <f>VLOOKUP(M656,H656:J711,2,FALSE)</f>
        <v>#N/A</v>
      </c>
      <c r="P656">
        <f>'Nom du personnage'!$U$51</f>
        <v>0</v>
      </c>
    </row>
    <row r="657" spans="8:16" hidden="1">
      <c r="H657" s="2" t="s">
        <v>210</v>
      </c>
      <c r="I657" s="2">
        <v>6</v>
      </c>
      <c r="J657" s="2" t="s">
        <v>158</v>
      </c>
      <c r="K657" s="2">
        <f t="shared" si="69"/>
        <v>1</v>
      </c>
      <c r="M657">
        <f t="shared" si="68"/>
        <v>0</v>
      </c>
      <c r="N657" t="e">
        <f t="shared" si="73"/>
        <v>#N/A</v>
      </c>
      <c r="O657" t="e">
        <f>VLOOKUP(M657,H657:J712,2,FALSE)</f>
        <v>#N/A</v>
      </c>
      <c r="P657">
        <f>'Nom du personnage'!$U$51</f>
        <v>0</v>
      </c>
    </row>
    <row r="658" spans="8:16" hidden="1">
      <c r="H658" s="2" t="s">
        <v>212</v>
      </c>
      <c r="I658" s="2">
        <v>6</v>
      </c>
      <c r="J658" s="2" t="s">
        <v>158</v>
      </c>
      <c r="K658" s="2">
        <f t="shared" si="69"/>
        <v>1</v>
      </c>
      <c r="M658">
        <f t="shared" si="68"/>
        <v>0</v>
      </c>
      <c r="N658" t="e">
        <f t="shared" si="73"/>
        <v>#N/A</v>
      </c>
      <c r="O658" t="e">
        <f>VLOOKUP(M658,H658:J713,2,FALSE)+1</f>
        <v>#N/A</v>
      </c>
      <c r="P658">
        <f>'Nom du personnage'!$U$51</f>
        <v>0</v>
      </c>
    </row>
    <row r="659" spans="8:16" hidden="1">
      <c r="H659" s="2" t="s">
        <v>213</v>
      </c>
      <c r="I659" s="2">
        <v>6</v>
      </c>
      <c r="J659" s="2" t="s">
        <v>158</v>
      </c>
      <c r="K659" s="2">
        <f t="shared" si="69"/>
        <v>1</v>
      </c>
      <c r="M659">
        <f t="shared" si="68"/>
        <v>0</v>
      </c>
      <c r="N659" t="e">
        <f t="shared" si="73"/>
        <v>#N/A</v>
      </c>
      <c r="O659" t="e">
        <f>VLOOKUP(M659,H659:J714,2,FALSE)</f>
        <v>#N/A</v>
      </c>
      <c r="P659">
        <f>'Nom du personnage'!$U$51</f>
        <v>0</v>
      </c>
    </row>
    <row r="660" spans="8:16" hidden="1">
      <c r="H660" s="2" t="s">
        <v>227</v>
      </c>
      <c r="I660" s="2">
        <v>3</v>
      </c>
      <c r="J660" s="2" t="s">
        <v>158</v>
      </c>
      <c r="K660" s="2">
        <f t="shared" si="69"/>
        <v>5</v>
      </c>
      <c r="M660" s="2" cm="1">
        <f t="array" ref="M660">IF(AND('Nom du personnage'!$U$51=Compétences!J660,OR('Nom du personnage'!$C$65:$L$85=Compétences!$M$12,'Nom du personnage'!$Q$65:$Z$85=Compétences!$M$12)),H660,0)</f>
        <v>0</v>
      </c>
      <c r="N660" t="e">
        <f t="shared" si="73"/>
        <v>#N/A</v>
      </c>
      <c r="O660" t="e">
        <f t="shared" ref="O660:O670" si="74">VLOOKUP(M660,H660:J715,2,FALSE)+1</f>
        <v>#N/A</v>
      </c>
      <c r="P660">
        <f>'Nom du personnage'!$U$51</f>
        <v>0</v>
      </c>
    </row>
    <row r="661" spans="8:16" hidden="1">
      <c r="H661" s="2" t="s">
        <v>228</v>
      </c>
      <c r="I661" s="2">
        <v>4</v>
      </c>
      <c r="J661" s="2" t="s">
        <v>158</v>
      </c>
      <c r="K661" s="2">
        <f t="shared" si="69"/>
        <v>5</v>
      </c>
      <c r="M661">
        <f t="shared" si="68"/>
        <v>0</v>
      </c>
      <c r="N661" t="e">
        <f t="shared" si="73"/>
        <v>#N/A</v>
      </c>
      <c r="O661" t="e">
        <f t="shared" si="74"/>
        <v>#N/A</v>
      </c>
      <c r="P661">
        <f>'Nom du personnage'!$U$51</f>
        <v>0</v>
      </c>
    </row>
    <row r="662" spans="8:16" hidden="1">
      <c r="H662" s="2" t="s">
        <v>229</v>
      </c>
      <c r="I662" s="2">
        <v>6</v>
      </c>
      <c r="J662" s="2" t="s">
        <v>158</v>
      </c>
      <c r="K662" s="2">
        <f t="shared" si="69"/>
        <v>5</v>
      </c>
      <c r="M662">
        <f t="shared" si="68"/>
        <v>0</v>
      </c>
      <c r="N662" t="e">
        <f t="shared" si="73"/>
        <v>#N/A</v>
      </c>
      <c r="O662" t="e">
        <f t="shared" si="74"/>
        <v>#N/A</v>
      </c>
      <c r="P662">
        <f>'Nom du personnage'!$U$51</f>
        <v>0</v>
      </c>
    </row>
    <row r="663" spans="8:16" hidden="1">
      <c r="H663" s="2" t="s">
        <v>230</v>
      </c>
      <c r="I663" s="2">
        <v>7</v>
      </c>
      <c r="J663" s="2" t="s">
        <v>158</v>
      </c>
      <c r="K663" s="2">
        <f t="shared" si="69"/>
        <v>5</v>
      </c>
      <c r="M663">
        <f t="shared" si="68"/>
        <v>0</v>
      </c>
      <c r="N663" t="e">
        <f t="shared" si="73"/>
        <v>#N/A</v>
      </c>
      <c r="O663" t="e">
        <f t="shared" si="74"/>
        <v>#N/A</v>
      </c>
      <c r="P663">
        <f>'Nom du personnage'!$U$51</f>
        <v>0</v>
      </c>
    </row>
    <row r="664" spans="8:16" hidden="1">
      <c r="H664" s="2" t="s">
        <v>231</v>
      </c>
      <c r="I664" s="2">
        <v>6</v>
      </c>
      <c r="J664" s="2" t="s">
        <v>158</v>
      </c>
      <c r="K664" s="2">
        <f t="shared" si="69"/>
        <v>5</v>
      </c>
      <c r="M664">
        <f t="shared" si="68"/>
        <v>0</v>
      </c>
      <c r="N664" t="e">
        <f t="shared" si="73"/>
        <v>#N/A</v>
      </c>
      <c r="O664" t="e">
        <f t="shared" si="74"/>
        <v>#N/A</v>
      </c>
      <c r="P664">
        <f>'Nom du personnage'!$U$51</f>
        <v>0</v>
      </c>
    </row>
    <row r="665" spans="8:16" hidden="1">
      <c r="H665" s="2" t="s">
        <v>232</v>
      </c>
      <c r="I665" s="2">
        <v>5</v>
      </c>
      <c r="J665" s="2" t="s">
        <v>159</v>
      </c>
      <c r="K665" s="2">
        <f t="shared" si="69"/>
        <v>5</v>
      </c>
      <c r="M665">
        <f>IF(AND('Nom du personnage'!$U$51=Compétences!J665,Religion!$D$29=TRUE),Compétences!H665,0)</f>
        <v>0</v>
      </c>
      <c r="N665" t="e">
        <f t="shared" si="73"/>
        <v>#N/A</v>
      </c>
      <c r="O665" t="e">
        <f t="shared" si="74"/>
        <v>#N/A</v>
      </c>
      <c r="P665">
        <f>'Nom du personnage'!$U$51</f>
        <v>0</v>
      </c>
    </row>
    <row r="666" spans="8:16" hidden="1">
      <c r="H666" s="2" t="s">
        <v>233</v>
      </c>
      <c r="I666" s="2">
        <v>6</v>
      </c>
      <c r="J666" s="2" t="s">
        <v>159</v>
      </c>
      <c r="K666" s="2">
        <f t="shared" si="69"/>
        <v>5</v>
      </c>
      <c r="M666">
        <f t="shared" si="68"/>
        <v>0</v>
      </c>
      <c r="N666" t="e">
        <f t="shared" si="73"/>
        <v>#N/A</v>
      </c>
      <c r="O666" t="e">
        <f t="shared" si="74"/>
        <v>#N/A</v>
      </c>
      <c r="P666">
        <f>'Nom du personnage'!$U$51</f>
        <v>0</v>
      </c>
    </row>
    <row r="667" spans="8:16" hidden="1">
      <c r="H667" s="2" t="s">
        <v>234</v>
      </c>
      <c r="I667" s="2">
        <v>6</v>
      </c>
      <c r="J667" s="2" t="s">
        <v>159</v>
      </c>
      <c r="K667" s="2">
        <f t="shared" si="69"/>
        <v>5</v>
      </c>
      <c r="M667">
        <f t="shared" si="68"/>
        <v>0</v>
      </c>
      <c r="N667" t="e">
        <f t="shared" si="73"/>
        <v>#N/A</v>
      </c>
      <c r="O667" t="e">
        <f t="shared" si="74"/>
        <v>#N/A</v>
      </c>
      <c r="P667">
        <f>'Nom du personnage'!$U$51</f>
        <v>0</v>
      </c>
    </row>
    <row r="668" spans="8:16" hidden="1">
      <c r="H668" s="2" t="s">
        <v>235</v>
      </c>
      <c r="I668" s="2">
        <v>6</v>
      </c>
      <c r="J668" s="2" t="s">
        <v>159</v>
      </c>
      <c r="K668" s="2">
        <f t="shared" si="69"/>
        <v>5</v>
      </c>
      <c r="M668">
        <f>IF(AND('Nom du personnage'!$U$51=Compétences!J668,Religion!$D$29),Compétences!H668,0)</f>
        <v>0</v>
      </c>
      <c r="N668" t="e">
        <f t="shared" si="73"/>
        <v>#N/A</v>
      </c>
      <c r="O668" t="e">
        <f t="shared" si="74"/>
        <v>#N/A</v>
      </c>
      <c r="P668">
        <f>'Nom du personnage'!$U$51</f>
        <v>0</v>
      </c>
    </row>
    <row r="669" spans="8:16" hidden="1">
      <c r="H669" s="2" t="s">
        <v>236</v>
      </c>
      <c r="I669" s="2">
        <v>3</v>
      </c>
      <c r="J669" s="2" t="s">
        <v>159</v>
      </c>
      <c r="K669" s="2">
        <f t="shared" si="69"/>
        <v>1</v>
      </c>
      <c r="M669">
        <f t="shared" si="68"/>
        <v>0</v>
      </c>
      <c r="N669" t="e">
        <f t="shared" si="73"/>
        <v>#N/A</v>
      </c>
      <c r="O669" t="e">
        <f t="shared" si="74"/>
        <v>#N/A</v>
      </c>
      <c r="P669">
        <f>'Nom du personnage'!$U$51</f>
        <v>0</v>
      </c>
    </row>
    <row r="670" spans="8:16" hidden="1">
      <c r="H670" s="2" t="s">
        <v>237</v>
      </c>
      <c r="I670" s="2">
        <v>5</v>
      </c>
      <c r="J670" s="2" t="s">
        <v>159</v>
      </c>
      <c r="K670" s="2">
        <f t="shared" si="69"/>
        <v>1</v>
      </c>
      <c r="M670">
        <f t="shared" si="68"/>
        <v>0</v>
      </c>
      <c r="N670" t="e">
        <f t="shared" si="73"/>
        <v>#N/A</v>
      </c>
      <c r="O670" t="e">
        <f t="shared" si="74"/>
        <v>#N/A</v>
      </c>
      <c r="P670">
        <f>'Nom du personnage'!$U$51</f>
        <v>0</v>
      </c>
    </row>
    <row r="671" spans="8:16" hidden="1">
      <c r="H671" s="2" t="s">
        <v>209</v>
      </c>
      <c r="I671" s="2">
        <v>4</v>
      </c>
      <c r="J671" s="2" t="s">
        <v>159</v>
      </c>
      <c r="K671" s="2">
        <f t="shared" si="69"/>
        <v>1</v>
      </c>
      <c r="M671">
        <f t="shared" si="68"/>
        <v>0</v>
      </c>
      <c r="N671" t="e">
        <f t="shared" ref="N671:N694" si="75">VLOOKUP(M671,H671:J725,2,FALSE)</f>
        <v>#N/A</v>
      </c>
      <c r="O671" t="e">
        <f>VLOOKUP(M671,H671:J725,2,FALSE)+1</f>
        <v>#N/A</v>
      </c>
      <c r="P671">
        <f>'Nom du personnage'!$U$51</f>
        <v>0</v>
      </c>
    </row>
    <row r="672" spans="8:16" hidden="1">
      <c r="H672" s="2" t="s">
        <v>238</v>
      </c>
      <c r="I672" s="2">
        <v>3</v>
      </c>
      <c r="J672" s="2" t="s">
        <v>159</v>
      </c>
      <c r="K672" s="2">
        <f t="shared" si="69"/>
        <v>1</v>
      </c>
      <c r="M672">
        <f t="shared" si="68"/>
        <v>0</v>
      </c>
      <c r="N672" t="e">
        <f t="shared" si="75"/>
        <v>#N/A</v>
      </c>
      <c r="O672" t="e">
        <f>VLOOKUP(M672,H672:J726,2,FALSE)+1</f>
        <v>#N/A</v>
      </c>
      <c r="P672">
        <f>'Nom du personnage'!$U$51</f>
        <v>0</v>
      </c>
    </row>
    <row r="673" spans="8:16" hidden="1">
      <c r="H673" s="2" t="s">
        <v>239</v>
      </c>
      <c r="I673" s="2">
        <v>5</v>
      </c>
      <c r="J673" s="2" t="s">
        <v>159</v>
      </c>
      <c r="K673" s="2">
        <f t="shared" si="69"/>
        <v>1</v>
      </c>
      <c r="M673">
        <f t="shared" si="68"/>
        <v>0</v>
      </c>
      <c r="N673" t="e">
        <f t="shared" si="75"/>
        <v>#N/A</v>
      </c>
      <c r="O673" t="e">
        <f>VLOOKUP(M673,H673:J727,2,FALSE)+1</f>
        <v>#N/A</v>
      </c>
      <c r="P673">
        <f>'Nom du personnage'!$U$51</f>
        <v>0</v>
      </c>
    </row>
    <row r="674" spans="8:16" hidden="1">
      <c r="H674" s="2" t="s">
        <v>212</v>
      </c>
      <c r="I674" s="2">
        <v>6</v>
      </c>
      <c r="J674" s="2" t="s">
        <v>159</v>
      </c>
      <c r="K674" s="2">
        <f t="shared" si="69"/>
        <v>1</v>
      </c>
      <c r="M674">
        <f t="shared" si="68"/>
        <v>0</v>
      </c>
      <c r="N674" t="e">
        <f t="shared" si="75"/>
        <v>#N/A</v>
      </c>
      <c r="O674" t="e">
        <f>VLOOKUP(M674,H674:J728,2,FALSE)</f>
        <v>#N/A</v>
      </c>
      <c r="P674">
        <f>'Nom du personnage'!$U$51</f>
        <v>0</v>
      </c>
    </row>
    <row r="675" spans="8:16" hidden="1">
      <c r="H675" s="2" t="s">
        <v>240</v>
      </c>
      <c r="I675" s="2">
        <v>6</v>
      </c>
      <c r="J675" s="2" t="s">
        <v>159</v>
      </c>
      <c r="K675" s="2">
        <f t="shared" si="69"/>
        <v>1</v>
      </c>
      <c r="M675">
        <f t="shared" si="68"/>
        <v>0</v>
      </c>
      <c r="N675" t="e">
        <f t="shared" si="75"/>
        <v>#N/A</v>
      </c>
      <c r="O675" t="e">
        <f t="shared" ref="O675:O694" si="76">VLOOKUP(M675,H675:J729,2,FALSE)+1</f>
        <v>#N/A</v>
      </c>
      <c r="P675">
        <f>'Nom du personnage'!$U$51</f>
        <v>0</v>
      </c>
    </row>
    <row r="676" spans="8:16" hidden="1">
      <c r="H676" s="2" t="s">
        <v>241</v>
      </c>
      <c r="I676" s="2">
        <v>6</v>
      </c>
      <c r="J676" s="2" t="s">
        <v>159</v>
      </c>
      <c r="K676" s="2">
        <f t="shared" si="69"/>
        <v>1</v>
      </c>
      <c r="M676">
        <f t="shared" si="68"/>
        <v>0</v>
      </c>
      <c r="N676" t="e">
        <f t="shared" si="75"/>
        <v>#N/A</v>
      </c>
      <c r="O676" t="e">
        <f t="shared" si="76"/>
        <v>#N/A</v>
      </c>
      <c r="P676">
        <f>'Nom du personnage'!$U$51</f>
        <v>0</v>
      </c>
    </row>
    <row r="677" spans="8:16" hidden="1">
      <c r="H677" s="2" t="s">
        <v>242</v>
      </c>
      <c r="I677" s="2">
        <v>6</v>
      </c>
      <c r="J677" s="2" t="s">
        <v>159</v>
      </c>
      <c r="K677" s="2">
        <f t="shared" si="69"/>
        <v>5</v>
      </c>
      <c r="M677">
        <f t="shared" si="68"/>
        <v>0</v>
      </c>
      <c r="N677" t="e">
        <f t="shared" si="75"/>
        <v>#N/A</v>
      </c>
      <c r="O677" t="e">
        <f t="shared" si="76"/>
        <v>#N/A</v>
      </c>
      <c r="P677">
        <f>'Nom du personnage'!$U$51</f>
        <v>0</v>
      </c>
    </row>
    <row r="678" spans="8:16" hidden="1">
      <c r="H678" s="2" t="s">
        <v>243</v>
      </c>
      <c r="I678" s="2">
        <v>5</v>
      </c>
      <c r="J678" s="2" t="s">
        <v>159</v>
      </c>
      <c r="K678" s="2">
        <f t="shared" si="69"/>
        <v>1</v>
      </c>
      <c r="M678">
        <f t="shared" si="68"/>
        <v>0</v>
      </c>
      <c r="N678" t="e">
        <f t="shared" si="75"/>
        <v>#N/A</v>
      </c>
      <c r="O678" t="e">
        <f t="shared" si="76"/>
        <v>#N/A</v>
      </c>
      <c r="P678">
        <f>'Nom du personnage'!$U$51</f>
        <v>0</v>
      </c>
    </row>
    <row r="679" spans="8:16" hidden="1">
      <c r="H679" s="2" t="s">
        <v>244</v>
      </c>
      <c r="I679" s="2">
        <v>5</v>
      </c>
      <c r="J679" s="2" t="s">
        <v>159</v>
      </c>
      <c r="K679" s="2">
        <f t="shared" si="69"/>
        <v>5</v>
      </c>
      <c r="M679" s="2" cm="1">
        <f t="array" ref="M679">IF(AND('Nom du personnage'!$U$51=Compétences!J679,OR('Nom du personnage'!$C$65:$L$85=Compétences!$H$89,'Nom du personnage'!$Q$65:$Z$85=Compétences!$H$89)),H679,0)</f>
        <v>0</v>
      </c>
      <c r="N679" t="e">
        <f t="shared" si="75"/>
        <v>#N/A</v>
      </c>
      <c r="O679" t="e">
        <f t="shared" si="76"/>
        <v>#N/A</v>
      </c>
      <c r="P679">
        <f>'Nom du personnage'!$U$51</f>
        <v>0</v>
      </c>
    </row>
    <row r="680" spans="8:16" hidden="1">
      <c r="H680" s="2" t="s">
        <v>245</v>
      </c>
      <c r="I680" s="2">
        <v>2</v>
      </c>
      <c r="J680" s="2" t="s">
        <v>159</v>
      </c>
      <c r="K680" s="2">
        <f t="shared" si="69"/>
        <v>5</v>
      </c>
      <c r="M680">
        <f t="shared" ref="M680:M742" si="77">IF(P680=J680,H680,)</f>
        <v>0</v>
      </c>
      <c r="N680" t="e">
        <f t="shared" si="75"/>
        <v>#N/A</v>
      </c>
      <c r="O680" t="e">
        <f t="shared" si="76"/>
        <v>#N/A</v>
      </c>
      <c r="P680">
        <f>'Nom du personnage'!$U$51</f>
        <v>0</v>
      </c>
    </row>
    <row r="681" spans="8:16" hidden="1">
      <c r="H681" s="2" t="s">
        <v>263</v>
      </c>
      <c r="I681" s="2">
        <v>4</v>
      </c>
      <c r="J681" s="2" t="s">
        <v>159</v>
      </c>
      <c r="K681" s="2">
        <f t="shared" si="69"/>
        <v>5</v>
      </c>
      <c r="M681">
        <f t="shared" si="77"/>
        <v>0</v>
      </c>
      <c r="N681" t="e">
        <f t="shared" si="75"/>
        <v>#N/A</v>
      </c>
      <c r="O681" t="e">
        <f t="shared" si="76"/>
        <v>#N/A</v>
      </c>
      <c r="P681">
        <f>'Nom du personnage'!$U$51</f>
        <v>0</v>
      </c>
    </row>
    <row r="682" spans="8:16" hidden="1">
      <c r="H682" s="2" t="s">
        <v>264</v>
      </c>
      <c r="I682" s="2">
        <v>5</v>
      </c>
      <c r="J682" s="2" t="s">
        <v>159</v>
      </c>
      <c r="K682" s="2">
        <f t="shared" si="69"/>
        <v>5</v>
      </c>
      <c r="M682">
        <f t="shared" si="77"/>
        <v>0</v>
      </c>
      <c r="N682" t="e">
        <f t="shared" si="75"/>
        <v>#N/A</v>
      </c>
      <c r="O682" t="e">
        <f t="shared" si="76"/>
        <v>#N/A</v>
      </c>
      <c r="P682">
        <f>'Nom du personnage'!$U$51</f>
        <v>0</v>
      </c>
    </row>
    <row r="683" spans="8:16" hidden="1">
      <c r="H683" s="2" t="s">
        <v>265</v>
      </c>
      <c r="I683" s="2">
        <v>4</v>
      </c>
      <c r="J683" s="2" t="s">
        <v>159</v>
      </c>
      <c r="K683" s="2">
        <f t="shared" si="69"/>
        <v>5</v>
      </c>
      <c r="M683">
        <f t="shared" si="77"/>
        <v>0</v>
      </c>
      <c r="N683" t="e">
        <f t="shared" si="75"/>
        <v>#N/A</v>
      </c>
      <c r="O683" t="e">
        <f t="shared" si="76"/>
        <v>#N/A</v>
      </c>
      <c r="P683">
        <f>'Nom du personnage'!$U$51</f>
        <v>0</v>
      </c>
    </row>
    <row r="684" spans="8:16" hidden="1">
      <c r="H684" s="2" t="s">
        <v>254</v>
      </c>
      <c r="I684" s="2">
        <v>6</v>
      </c>
      <c r="J684" s="2" t="s">
        <v>159</v>
      </c>
      <c r="K684" s="2">
        <f t="shared" si="69"/>
        <v>5</v>
      </c>
      <c r="M684">
        <f t="shared" si="77"/>
        <v>0</v>
      </c>
      <c r="N684" t="e">
        <f t="shared" si="75"/>
        <v>#N/A</v>
      </c>
      <c r="O684" t="e">
        <f t="shared" si="76"/>
        <v>#N/A</v>
      </c>
      <c r="P684">
        <f>'Nom du personnage'!$U$51</f>
        <v>0</v>
      </c>
    </row>
    <row r="685" spans="8:16" hidden="1">
      <c r="H685" s="2" t="s">
        <v>266</v>
      </c>
      <c r="I685" s="2">
        <v>6</v>
      </c>
      <c r="J685" s="2" t="s">
        <v>159</v>
      </c>
      <c r="K685" s="2">
        <f t="shared" ref="K685:K727" si="78">VLOOKUP(H685,$B$3:$D$115,3,FALSE)</f>
        <v>1</v>
      </c>
      <c r="M685">
        <f t="shared" si="77"/>
        <v>0</v>
      </c>
      <c r="N685" t="e">
        <f t="shared" si="75"/>
        <v>#N/A</v>
      </c>
      <c r="O685" t="e">
        <f t="shared" si="76"/>
        <v>#N/A</v>
      </c>
      <c r="P685">
        <f>'Nom du personnage'!$U$51</f>
        <v>0</v>
      </c>
    </row>
    <row r="686" spans="8:16" hidden="1">
      <c r="H686" s="2" t="s">
        <v>267</v>
      </c>
      <c r="I686" s="2">
        <v>6</v>
      </c>
      <c r="J686" s="2" t="s">
        <v>159</v>
      </c>
      <c r="K686" s="2">
        <f t="shared" si="78"/>
        <v>1</v>
      </c>
      <c r="M686">
        <f t="shared" si="77"/>
        <v>0</v>
      </c>
      <c r="N686" t="e">
        <f t="shared" si="75"/>
        <v>#N/A</v>
      </c>
      <c r="O686" t="e">
        <f t="shared" si="76"/>
        <v>#N/A</v>
      </c>
      <c r="P686">
        <f>'Nom du personnage'!$U$51</f>
        <v>0</v>
      </c>
    </row>
    <row r="687" spans="8:16" hidden="1">
      <c r="H687" s="2" t="s">
        <v>256</v>
      </c>
      <c r="I687" s="2">
        <v>6</v>
      </c>
      <c r="J687" s="2" t="s">
        <v>159</v>
      </c>
      <c r="K687" s="2">
        <f t="shared" si="78"/>
        <v>5</v>
      </c>
      <c r="M687">
        <f>IF(AND(J687='Nom du personnage'!$U$51,'Lecture et écriture'!$G$99=TRUE),Compétences!H687,0)</f>
        <v>0</v>
      </c>
      <c r="N687" t="e">
        <f t="shared" si="75"/>
        <v>#N/A</v>
      </c>
      <c r="O687" t="e">
        <f t="shared" si="76"/>
        <v>#N/A</v>
      </c>
      <c r="P687">
        <f>'Nom du personnage'!$U$51</f>
        <v>0</v>
      </c>
    </row>
    <row r="688" spans="8:16" hidden="1">
      <c r="H688" s="2" t="s">
        <v>268</v>
      </c>
      <c r="I688" s="2">
        <v>4</v>
      </c>
      <c r="J688" s="2" t="s">
        <v>159</v>
      </c>
      <c r="K688" s="2">
        <f t="shared" si="78"/>
        <v>5</v>
      </c>
      <c r="M688">
        <f t="shared" si="77"/>
        <v>0</v>
      </c>
      <c r="N688" t="e">
        <f t="shared" si="75"/>
        <v>#N/A</v>
      </c>
      <c r="O688" t="e">
        <f t="shared" si="76"/>
        <v>#N/A</v>
      </c>
      <c r="P688">
        <f>'Nom du personnage'!$U$51</f>
        <v>0</v>
      </c>
    </row>
    <row r="689" spans="8:16" hidden="1">
      <c r="H689" s="2" t="s">
        <v>269</v>
      </c>
      <c r="I689" s="2">
        <v>4</v>
      </c>
      <c r="J689" s="2" t="s">
        <v>159</v>
      </c>
      <c r="K689" s="2">
        <f t="shared" si="78"/>
        <v>1</v>
      </c>
      <c r="M689">
        <f t="shared" si="77"/>
        <v>0</v>
      </c>
      <c r="N689" t="e">
        <f t="shared" si="75"/>
        <v>#N/A</v>
      </c>
      <c r="O689" t="e">
        <f t="shared" si="76"/>
        <v>#N/A</v>
      </c>
      <c r="P689">
        <f>'Nom du personnage'!$U$51</f>
        <v>0</v>
      </c>
    </row>
    <row r="690" spans="8:16" hidden="1">
      <c r="H690" s="2" t="s">
        <v>1005</v>
      </c>
      <c r="I690" s="2">
        <v>2</v>
      </c>
      <c r="J690" s="2" t="s">
        <v>159</v>
      </c>
      <c r="K690" s="2">
        <f t="shared" si="78"/>
        <v>5</v>
      </c>
      <c r="M690" s="2" cm="1">
        <f t="array" ref="M690">IF(AND('Nom du personnage'!$U$51=Compétences!J690,OR('Nom du personnage'!$C$65:$L$85=Compétences!$M$3,'Nom du personnage'!$Q$65:$Z$85=Compétences!$M$3)),H690,0)</f>
        <v>0</v>
      </c>
      <c r="N690" t="e">
        <f t="shared" si="75"/>
        <v>#N/A</v>
      </c>
      <c r="O690" t="e">
        <f t="shared" si="76"/>
        <v>#N/A</v>
      </c>
      <c r="P690">
        <f>'Nom du personnage'!$U$51</f>
        <v>0</v>
      </c>
    </row>
    <row r="691" spans="8:16" hidden="1">
      <c r="H691" s="2" t="s">
        <v>270</v>
      </c>
      <c r="I691" s="2">
        <v>6</v>
      </c>
      <c r="J691" s="2" t="s">
        <v>159</v>
      </c>
      <c r="K691" s="2">
        <f t="shared" si="78"/>
        <v>1</v>
      </c>
      <c r="M691">
        <f t="shared" si="77"/>
        <v>0</v>
      </c>
      <c r="N691" t="e">
        <f t="shared" si="75"/>
        <v>#N/A</v>
      </c>
      <c r="O691" t="e">
        <f t="shared" si="76"/>
        <v>#N/A</v>
      </c>
      <c r="P691">
        <f>'Nom du personnage'!$U$51</f>
        <v>0</v>
      </c>
    </row>
    <row r="692" spans="8:16" hidden="1">
      <c r="H692" s="2" t="s">
        <v>271</v>
      </c>
      <c r="I692" s="2">
        <v>5</v>
      </c>
      <c r="J692" s="2" t="s">
        <v>159</v>
      </c>
      <c r="K692" s="2">
        <f t="shared" si="78"/>
        <v>1</v>
      </c>
      <c r="M692">
        <f t="shared" si="77"/>
        <v>0</v>
      </c>
      <c r="N692" t="e">
        <f t="shared" si="75"/>
        <v>#N/A</v>
      </c>
      <c r="O692" t="e">
        <f t="shared" si="76"/>
        <v>#N/A</v>
      </c>
      <c r="P692">
        <f>'Nom du personnage'!$U$51</f>
        <v>0</v>
      </c>
    </row>
    <row r="693" spans="8:16" hidden="1">
      <c r="H693" s="2" t="s">
        <v>272</v>
      </c>
      <c r="I693" s="2">
        <v>3</v>
      </c>
      <c r="J693" s="2" t="s">
        <v>159</v>
      </c>
      <c r="K693" s="2">
        <f t="shared" si="78"/>
        <v>5</v>
      </c>
      <c r="M693">
        <f t="shared" si="77"/>
        <v>0</v>
      </c>
      <c r="N693" t="e">
        <f t="shared" si="75"/>
        <v>#N/A</v>
      </c>
      <c r="O693" t="e">
        <f t="shared" si="76"/>
        <v>#N/A</v>
      </c>
      <c r="P693">
        <f>'Nom du personnage'!$U$51</f>
        <v>0</v>
      </c>
    </row>
    <row r="694" spans="8:16" hidden="1">
      <c r="H694" s="2" t="s">
        <v>211</v>
      </c>
      <c r="I694" s="2">
        <v>4</v>
      </c>
      <c r="J694" s="2" t="s">
        <v>159</v>
      </c>
      <c r="K694" s="2">
        <f t="shared" si="78"/>
        <v>1</v>
      </c>
      <c r="M694">
        <f t="shared" si="77"/>
        <v>0</v>
      </c>
      <c r="N694" t="e">
        <f t="shared" si="75"/>
        <v>#N/A</v>
      </c>
      <c r="O694" t="e">
        <f t="shared" si="76"/>
        <v>#N/A</v>
      </c>
      <c r="P694">
        <f>'Nom du personnage'!$U$51</f>
        <v>0</v>
      </c>
    </row>
    <row r="695" spans="8:16" hidden="1">
      <c r="H695" s="2" t="s">
        <v>213</v>
      </c>
      <c r="I695" s="2">
        <v>6</v>
      </c>
      <c r="J695" s="2" t="s">
        <v>159</v>
      </c>
      <c r="K695" s="2">
        <f t="shared" si="78"/>
        <v>1</v>
      </c>
      <c r="M695">
        <f t="shared" si="77"/>
        <v>0</v>
      </c>
      <c r="N695" t="e">
        <f>VLOOKUP(M695,H695:J750,2,FALSE)</f>
        <v>#N/A</v>
      </c>
      <c r="O695" t="e">
        <f>VLOOKUP(M695,H695:J750,2,FALSE)+1</f>
        <v>#N/A</v>
      </c>
      <c r="P695">
        <f>'Nom du personnage'!$U$51</f>
        <v>0</v>
      </c>
    </row>
    <row r="696" spans="8:16" hidden="1">
      <c r="H696" s="2" t="s">
        <v>274</v>
      </c>
      <c r="I696" s="2">
        <v>4</v>
      </c>
      <c r="J696" s="2" t="s">
        <v>159</v>
      </c>
      <c r="K696" s="2">
        <f t="shared" si="78"/>
        <v>5</v>
      </c>
      <c r="M696">
        <f t="shared" si="77"/>
        <v>0</v>
      </c>
      <c r="N696" t="e">
        <f t="shared" ref="N696:N724" si="79">VLOOKUP(M696,H696:J752,2,FALSE)</f>
        <v>#N/A</v>
      </c>
      <c r="O696" t="e">
        <f t="shared" ref="O696:O706" si="80">VLOOKUP(M696,H696:J752,2,FALSE)+1</f>
        <v>#N/A</v>
      </c>
      <c r="P696">
        <f>'Nom du personnage'!$U$51</f>
        <v>0</v>
      </c>
    </row>
    <row r="697" spans="8:16" hidden="1">
      <c r="H697" s="2" t="s">
        <v>259</v>
      </c>
      <c r="I697" s="2">
        <v>4</v>
      </c>
      <c r="J697" s="2" t="s">
        <v>159</v>
      </c>
      <c r="K697" s="2">
        <f t="shared" si="78"/>
        <v>5</v>
      </c>
      <c r="M697">
        <f t="shared" si="77"/>
        <v>0</v>
      </c>
      <c r="N697" t="e">
        <f t="shared" si="79"/>
        <v>#N/A</v>
      </c>
      <c r="O697" t="e">
        <f t="shared" si="80"/>
        <v>#N/A</v>
      </c>
      <c r="P697">
        <f>'Nom du personnage'!$U$51</f>
        <v>0</v>
      </c>
    </row>
    <row r="698" spans="8:16" hidden="1">
      <c r="H698" s="2" t="s">
        <v>185</v>
      </c>
      <c r="I698">
        <v>6</v>
      </c>
      <c r="J698" s="2" t="s">
        <v>118</v>
      </c>
      <c r="K698" s="2">
        <f t="shared" si="78"/>
        <v>1</v>
      </c>
      <c r="M698">
        <f t="shared" si="77"/>
        <v>0</v>
      </c>
      <c r="N698" t="e">
        <f t="shared" si="79"/>
        <v>#N/A</v>
      </c>
      <c r="O698" t="e">
        <f t="shared" si="80"/>
        <v>#N/A</v>
      </c>
      <c r="P698">
        <f>'Nom du personnage'!$U$51</f>
        <v>0</v>
      </c>
    </row>
    <row r="699" spans="8:16" hidden="1">
      <c r="H699" s="2" t="s">
        <v>199</v>
      </c>
      <c r="I699">
        <v>6</v>
      </c>
      <c r="J699" s="2" t="s">
        <v>118</v>
      </c>
      <c r="K699" s="2">
        <f t="shared" si="78"/>
        <v>1</v>
      </c>
      <c r="M699" s="2" cm="1">
        <f t="array" ref="M699">IF(AND('Nom du personnage'!U705=Compétences!J699,OR('Nom du personnage'!$C$65:$L$85=Compétences!$M$13,'Nom du personnage'!$Q$65:$Z$85=Compétences!$M$13)),H699,0)</f>
        <v>0</v>
      </c>
      <c r="N699" t="e">
        <f t="shared" si="79"/>
        <v>#N/A</v>
      </c>
      <c r="O699" t="e">
        <f t="shared" si="80"/>
        <v>#N/A</v>
      </c>
      <c r="P699">
        <f>'Nom du personnage'!$U$51</f>
        <v>0</v>
      </c>
    </row>
    <row r="700" spans="8:16" hidden="1">
      <c r="H700" s="2" t="s">
        <v>200</v>
      </c>
      <c r="I700">
        <v>6</v>
      </c>
      <c r="J700" s="2" t="s">
        <v>118</v>
      </c>
      <c r="K700" s="2">
        <f t="shared" si="78"/>
        <v>1</v>
      </c>
      <c r="M700">
        <f t="shared" si="77"/>
        <v>0</v>
      </c>
      <c r="N700" t="e">
        <f t="shared" si="79"/>
        <v>#N/A</v>
      </c>
      <c r="O700" t="e">
        <f t="shared" si="80"/>
        <v>#N/A</v>
      </c>
      <c r="P700">
        <f>'Nom du personnage'!$U$51</f>
        <v>0</v>
      </c>
    </row>
    <row r="701" spans="8:16" hidden="1">
      <c r="H701" s="2" t="s">
        <v>201</v>
      </c>
      <c r="I701">
        <v>6</v>
      </c>
      <c r="J701" s="2" t="s">
        <v>118</v>
      </c>
      <c r="K701" s="2">
        <f t="shared" si="78"/>
        <v>1</v>
      </c>
      <c r="M701">
        <f t="shared" si="77"/>
        <v>0</v>
      </c>
      <c r="N701" t="e">
        <f t="shared" si="79"/>
        <v>#N/A</v>
      </c>
      <c r="O701" t="e">
        <f t="shared" si="80"/>
        <v>#N/A</v>
      </c>
      <c r="P701">
        <f>'Nom du personnage'!$U$51</f>
        <v>0</v>
      </c>
    </row>
    <row r="702" spans="8:16" hidden="1">
      <c r="H702" s="2" t="s">
        <v>202</v>
      </c>
      <c r="I702">
        <v>5</v>
      </c>
      <c r="J702" s="2" t="s">
        <v>118</v>
      </c>
      <c r="K702" s="2">
        <f t="shared" si="78"/>
        <v>5</v>
      </c>
      <c r="M702">
        <f t="shared" si="77"/>
        <v>0</v>
      </c>
      <c r="N702" t="e">
        <f t="shared" si="79"/>
        <v>#N/A</v>
      </c>
      <c r="O702" t="e">
        <f t="shared" si="80"/>
        <v>#N/A</v>
      </c>
      <c r="P702">
        <f>'Nom du personnage'!$U$51</f>
        <v>0</v>
      </c>
    </row>
    <row r="703" spans="8:16" hidden="1">
      <c r="H703" s="2" t="s">
        <v>203</v>
      </c>
      <c r="I703">
        <v>6</v>
      </c>
      <c r="J703" s="2" t="s">
        <v>118</v>
      </c>
      <c r="K703" s="2">
        <f t="shared" si="78"/>
        <v>5</v>
      </c>
      <c r="M703" s="2" cm="1">
        <f t="array" ref="M703">IF(AND('Nom du personnage'!U575=Compétences!J703,OR('Nom du personnage'!$C$65:$L$85=Compétences!$H$48,'Nom du personnage'!$Q$65:$Z$85=Compétences!$H$48)),H703,0)</f>
        <v>0</v>
      </c>
      <c r="N703" t="e">
        <f t="shared" si="79"/>
        <v>#N/A</v>
      </c>
      <c r="O703" t="e">
        <f t="shared" si="80"/>
        <v>#N/A</v>
      </c>
      <c r="P703">
        <f>'Nom du personnage'!$U$51</f>
        <v>0</v>
      </c>
    </row>
    <row r="704" spans="8:16" hidden="1">
      <c r="H704" s="2" t="s">
        <v>204</v>
      </c>
      <c r="I704">
        <v>4</v>
      </c>
      <c r="J704" s="2" t="s">
        <v>118</v>
      </c>
      <c r="K704" s="2">
        <f t="shared" si="78"/>
        <v>1</v>
      </c>
      <c r="M704">
        <f t="shared" si="77"/>
        <v>0</v>
      </c>
      <c r="N704" t="e">
        <f t="shared" si="79"/>
        <v>#N/A</v>
      </c>
      <c r="O704" t="e">
        <f t="shared" si="80"/>
        <v>#N/A</v>
      </c>
      <c r="P704">
        <f>'Nom du personnage'!$U$51</f>
        <v>0</v>
      </c>
    </row>
    <row r="705" spans="8:16" hidden="1">
      <c r="H705" s="2" t="s">
        <v>205</v>
      </c>
      <c r="I705">
        <v>5</v>
      </c>
      <c r="J705" s="2" t="s">
        <v>118</v>
      </c>
      <c r="K705" s="2">
        <f t="shared" si="78"/>
        <v>5</v>
      </c>
      <c r="M705" s="2" cm="1">
        <f t="array" ref="M705">IF(AND('Nom du personnage'!U705=Compétences!J705,OR('Nom du personnage'!$C$65:$L$85=Compétences!$H$50,'Nom du personnage'!$Q$65:$Z$85=Compétences!$H$50)),H705,0)</f>
        <v>0</v>
      </c>
      <c r="N705" t="e">
        <f t="shared" si="79"/>
        <v>#N/A</v>
      </c>
      <c r="O705" t="e">
        <f t="shared" si="80"/>
        <v>#N/A</v>
      </c>
      <c r="P705">
        <f>'Nom du personnage'!$U$51</f>
        <v>0</v>
      </c>
    </row>
    <row r="706" spans="8:16">
      <c r="H706" s="2" t="s">
        <v>206</v>
      </c>
      <c r="I706">
        <v>3</v>
      </c>
      <c r="J706" s="2" t="s">
        <v>118</v>
      </c>
      <c r="K706" s="2">
        <f t="shared" si="78"/>
        <v>5</v>
      </c>
      <c r="M706" s="2" cm="1">
        <f t="array" ref="M706">IF(AND('Nom du personnage'!U705=Compétences!J706,OR('Nom du personnage'!$C$65:$L$85=Compétences!$M$18,'Nom du personnage'!$Q$65:$Z$85=Compétences!$M$18)),H706,0)</f>
        <v>0</v>
      </c>
      <c r="N706" t="e">
        <f t="shared" si="79"/>
        <v>#N/A</v>
      </c>
      <c r="O706" t="e">
        <f t="shared" si="80"/>
        <v>#N/A</v>
      </c>
      <c r="P706">
        <f>'Nom du personnage'!$U$51</f>
        <v>0</v>
      </c>
    </row>
    <row r="707" spans="8:16" hidden="1">
      <c r="H707" s="2" t="s">
        <v>1005</v>
      </c>
      <c r="I707" s="2">
        <v>2</v>
      </c>
      <c r="J707" s="2" t="s">
        <v>118</v>
      </c>
      <c r="K707" s="2">
        <f t="shared" si="78"/>
        <v>5</v>
      </c>
      <c r="M707" s="2" cm="1">
        <f t="array" ref="M707">IF(AND('Nom du personnage'!$U$51=Compétences!J707,OR('Nom du personnage'!$C$65:$L$85=Compétences!$M$3,'Nom du personnage'!$Q$65:$Z$85=Compétences!$M$3)),H707,0)</f>
        <v>0</v>
      </c>
      <c r="N707" t="e">
        <f t="shared" si="79"/>
        <v>#N/A</v>
      </c>
      <c r="O707" t="e">
        <f>VLOOKUP(M707,H707:J763,2,FALSE)</f>
        <v>#N/A</v>
      </c>
      <c r="P707">
        <f>'Nom du personnage'!$U$51</f>
        <v>0</v>
      </c>
    </row>
    <row r="708" spans="8:16" hidden="1">
      <c r="H708" s="2" t="s">
        <v>208</v>
      </c>
      <c r="I708" s="2">
        <v>6</v>
      </c>
      <c r="J708" s="2" t="s">
        <v>118</v>
      </c>
      <c r="K708" s="2">
        <f t="shared" si="78"/>
        <v>1</v>
      </c>
      <c r="M708">
        <f t="shared" si="77"/>
        <v>0</v>
      </c>
      <c r="N708" t="e">
        <f t="shared" si="79"/>
        <v>#N/A</v>
      </c>
      <c r="O708" t="e">
        <f>VLOOKUP(M708,H708:J764,2,FALSE)+1</f>
        <v>#N/A</v>
      </c>
      <c r="P708">
        <f>'Nom du personnage'!$U$51</f>
        <v>0</v>
      </c>
    </row>
    <row r="709" spans="8:16" hidden="1">
      <c r="H709" s="2" t="s">
        <v>209</v>
      </c>
      <c r="I709" s="2">
        <v>4</v>
      </c>
      <c r="J709" s="2" t="s">
        <v>118</v>
      </c>
      <c r="K709" s="2">
        <f t="shared" si="78"/>
        <v>1</v>
      </c>
      <c r="M709">
        <f t="shared" si="77"/>
        <v>0</v>
      </c>
      <c r="N709" t="e">
        <f t="shared" si="79"/>
        <v>#N/A</v>
      </c>
      <c r="O709" t="e">
        <f>VLOOKUP(M709,H709:J765,2,FALSE)+1</f>
        <v>#N/A</v>
      </c>
      <c r="P709">
        <f>'Nom du personnage'!$U$51</f>
        <v>0</v>
      </c>
    </row>
    <row r="710" spans="8:16" hidden="1">
      <c r="H710" s="2" t="s">
        <v>211</v>
      </c>
      <c r="I710" s="2">
        <v>4</v>
      </c>
      <c r="J710" s="2" t="s">
        <v>118</v>
      </c>
      <c r="K710" s="2">
        <f t="shared" si="78"/>
        <v>1</v>
      </c>
      <c r="M710">
        <f t="shared" si="77"/>
        <v>0</v>
      </c>
      <c r="N710" t="e">
        <f t="shared" si="79"/>
        <v>#N/A</v>
      </c>
      <c r="O710" t="e">
        <f>VLOOKUP(M710,H710:J766,2,FALSE)</f>
        <v>#N/A</v>
      </c>
      <c r="P710">
        <f>'Nom du personnage'!$U$51</f>
        <v>0</v>
      </c>
    </row>
    <row r="711" spans="8:16" hidden="1">
      <c r="H711" s="2" t="s">
        <v>210</v>
      </c>
      <c r="I711" s="2">
        <v>6</v>
      </c>
      <c r="J711" s="2" t="s">
        <v>118</v>
      </c>
      <c r="K711" s="2">
        <f t="shared" si="78"/>
        <v>1</v>
      </c>
      <c r="M711">
        <f t="shared" si="77"/>
        <v>0</v>
      </c>
      <c r="N711" t="e">
        <f t="shared" si="79"/>
        <v>#N/A</v>
      </c>
      <c r="O711" t="e">
        <f>VLOOKUP(M711,H711:J767,2,FALSE)+1</f>
        <v>#N/A</v>
      </c>
      <c r="P711">
        <f>'Nom du personnage'!$U$51</f>
        <v>0</v>
      </c>
    </row>
    <row r="712" spans="8:16" hidden="1">
      <c r="H712" s="2" t="s">
        <v>212</v>
      </c>
      <c r="I712" s="2">
        <v>6</v>
      </c>
      <c r="J712" s="2" t="s">
        <v>118</v>
      </c>
      <c r="K712" s="2">
        <f t="shared" si="78"/>
        <v>1</v>
      </c>
      <c r="M712">
        <f t="shared" si="77"/>
        <v>0</v>
      </c>
      <c r="N712" t="e">
        <f t="shared" si="79"/>
        <v>#N/A</v>
      </c>
      <c r="O712" t="e">
        <f>VLOOKUP(M712,H712:J768,2,FALSE)</f>
        <v>#N/A</v>
      </c>
      <c r="P712">
        <f>'Nom du personnage'!$U$51</f>
        <v>0</v>
      </c>
    </row>
    <row r="713" spans="8:16" hidden="1">
      <c r="H713" s="2" t="s">
        <v>213</v>
      </c>
      <c r="I713" s="2">
        <v>6</v>
      </c>
      <c r="J713" s="2" t="s">
        <v>118</v>
      </c>
      <c r="K713" s="2">
        <f t="shared" si="78"/>
        <v>1</v>
      </c>
      <c r="M713">
        <f t="shared" si="77"/>
        <v>0</v>
      </c>
      <c r="N713" t="e">
        <f t="shared" si="79"/>
        <v>#N/A</v>
      </c>
      <c r="O713" t="e">
        <f>VLOOKUP(M713,H713:J769,2,FALSE)</f>
        <v>#N/A</v>
      </c>
      <c r="P713">
        <f>'Nom du personnage'!$U$51</f>
        <v>0</v>
      </c>
    </row>
    <row r="714" spans="8:16" hidden="1">
      <c r="H714" s="2" t="s">
        <v>263</v>
      </c>
      <c r="I714" s="2">
        <v>4</v>
      </c>
      <c r="J714" s="2" t="s">
        <v>118</v>
      </c>
      <c r="K714" s="2">
        <f t="shared" si="78"/>
        <v>5</v>
      </c>
      <c r="M714">
        <f t="shared" si="77"/>
        <v>0</v>
      </c>
      <c r="N714" t="e">
        <f t="shared" si="79"/>
        <v>#N/A</v>
      </c>
      <c r="O714" t="e">
        <f t="shared" ref="O714:O724" si="81">VLOOKUP(M714,H714:J770,2,FALSE)+1</f>
        <v>#N/A</v>
      </c>
      <c r="P714">
        <f>'Nom du personnage'!$U$51</f>
        <v>0</v>
      </c>
    </row>
    <row r="715" spans="8:16" hidden="1">
      <c r="H715" s="2" t="s">
        <v>264</v>
      </c>
      <c r="I715" s="2">
        <v>5</v>
      </c>
      <c r="J715" s="2" t="s">
        <v>118</v>
      </c>
      <c r="K715" s="2">
        <f t="shared" si="78"/>
        <v>5</v>
      </c>
      <c r="M715">
        <f t="shared" si="77"/>
        <v>0</v>
      </c>
      <c r="N715" t="e">
        <f t="shared" si="79"/>
        <v>#N/A</v>
      </c>
      <c r="O715" t="e">
        <f t="shared" si="81"/>
        <v>#N/A</v>
      </c>
      <c r="P715">
        <f>'Nom du personnage'!$U$51</f>
        <v>0</v>
      </c>
    </row>
    <row r="716" spans="8:16" hidden="1">
      <c r="H716" s="2" t="s">
        <v>265</v>
      </c>
      <c r="I716" s="2">
        <v>4</v>
      </c>
      <c r="J716" s="2" t="s">
        <v>118</v>
      </c>
      <c r="K716" s="2">
        <f t="shared" si="78"/>
        <v>5</v>
      </c>
      <c r="M716">
        <f t="shared" si="77"/>
        <v>0</v>
      </c>
      <c r="N716" t="e">
        <f t="shared" si="79"/>
        <v>#N/A</v>
      </c>
      <c r="O716" t="e">
        <f t="shared" si="81"/>
        <v>#N/A</v>
      </c>
      <c r="P716">
        <f>'Nom du personnage'!$U$51</f>
        <v>0</v>
      </c>
    </row>
    <row r="717" spans="8:16" hidden="1">
      <c r="H717" s="2" t="s">
        <v>254</v>
      </c>
      <c r="I717" s="2">
        <v>6</v>
      </c>
      <c r="J717" s="2" t="s">
        <v>118</v>
      </c>
      <c r="K717" s="2">
        <f t="shared" si="78"/>
        <v>5</v>
      </c>
      <c r="M717">
        <f t="shared" si="77"/>
        <v>0</v>
      </c>
      <c r="N717" t="e">
        <f t="shared" si="79"/>
        <v>#N/A</v>
      </c>
      <c r="O717" t="e">
        <f t="shared" si="81"/>
        <v>#N/A</v>
      </c>
      <c r="P717">
        <f>'Nom du personnage'!$U$51</f>
        <v>0</v>
      </c>
    </row>
    <row r="718" spans="8:16" hidden="1">
      <c r="H718" s="2" t="s">
        <v>266</v>
      </c>
      <c r="I718" s="2">
        <v>6</v>
      </c>
      <c r="J718" s="2" t="s">
        <v>118</v>
      </c>
      <c r="K718" s="2">
        <f t="shared" si="78"/>
        <v>1</v>
      </c>
      <c r="M718">
        <f t="shared" si="77"/>
        <v>0</v>
      </c>
      <c r="N718" t="e">
        <f t="shared" si="79"/>
        <v>#N/A</v>
      </c>
      <c r="O718" t="e">
        <f t="shared" si="81"/>
        <v>#N/A</v>
      </c>
      <c r="P718">
        <f>'Nom du personnage'!$U$51</f>
        <v>0</v>
      </c>
    </row>
    <row r="719" spans="8:16" hidden="1">
      <c r="H719" s="2" t="s">
        <v>267</v>
      </c>
      <c r="I719" s="2">
        <v>6</v>
      </c>
      <c r="J719" s="2" t="s">
        <v>118</v>
      </c>
      <c r="K719" s="2">
        <f t="shared" si="78"/>
        <v>1</v>
      </c>
      <c r="M719">
        <f t="shared" si="77"/>
        <v>0</v>
      </c>
      <c r="N719" t="e">
        <f t="shared" si="79"/>
        <v>#N/A</v>
      </c>
      <c r="O719" t="e">
        <f t="shared" si="81"/>
        <v>#N/A</v>
      </c>
      <c r="P719">
        <f>'Nom du personnage'!$U$51</f>
        <v>0</v>
      </c>
    </row>
    <row r="720" spans="8:16" hidden="1">
      <c r="H720" s="2" t="s">
        <v>256</v>
      </c>
      <c r="I720" s="2">
        <v>6</v>
      </c>
      <c r="J720" s="2" t="s">
        <v>118</v>
      </c>
      <c r="K720" s="2">
        <f t="shared" si="78"/>
        <v>5</v>
      </c>
      <c r="M720">
        <f>IF(AND(J720='Nom du personnage'!$U$51,'Lecture et écriture'!$G$99=TRUE),Compétences!H720,0)</f>
        <v>0</v>
      </c>
      <c r="N720" t="e">
        <f t="shared" si="79"/>
        <v>#N/A</v>
      </c>
      <c r="O720" t="e">
        <f t="shared" si="81"/>
        <v>#N/A</v>
      </c>
      <c r="P720">
        <f>'Nom du personnage'!$U$51</f>
        <v>0</v>
      </c>
    </row>
    <row r="721" spans="8:16" hidden="1">
      <c r="H721" s="2" t="s">
        <v>268</v>
      </c>
      <c r="I721" s="2">
        <v>4</v>
      </c>
      <c r="J721" s="2" t="s">
        <v>118</v>
      </c>
      <c r="K721" s="2">
        <f t="shared" si="78"/>
        <v>5</v>
      </c>
      <c r="M721">
        <f t="shared" si="77"/>
        <v>0</v>
      </c>
      <c r="N721" t="e">
        <f t="shared" si="79"/>
        <v>#N/A</v>
      </c>
      <c r="O721" t="e">
        <f t="shared" si="81"/>
        <v>#N/A</v>
      </c>
      <c r="P721">
        <f>'Nom du personnage'!$U$51</f>
        <v>0</v>
      </c>
    </row>
    <row r="722" spans="8:16" hidden="1">
      <c r="H722" s="2" t="s">
        <v>269</v>
      </c>
      <c r="I722" s="2">
        <v>4</v>
      </c>
      <c r="J722" s="2" t="s">
        <v>118</v>
      </c>
      <c r="K722" s="2">
        <f t="shared" si="78"/>
        <v>1</v>
      </c>
      <c r="M722">
        <f t="shared" si="77"/>
        <v>0</v>
      </c>
      <c r="N722" t="e">
        <f t="shared" si="79"/>
        <v>#N/A</v>
      </c>
      <c r="O722" t="e">
        <f t="shared" si="81"/>
        <v>#N/A</v>
      </c>
      <c r="P722">
        <f>'Nom du personnage'!$U$51</f>
        <v>0</v>
      </c>
    </row>
    <row r="723" spans="8:16" hidden="1">
      <c r="H723" s="2" t="s">
        <v>270</v>
      </c>
      <c r="I723" s="2">
        <v>6</v>
      </c>
      <c r="J723" s="2" t="s">
        <v>118</v>
      </c>
      <c r="K723" s="2">
        <f t="shared" si="78"/>
        <v>1</v>
      </c>
      <c r="M723">
        <f t="shared" si="77"/>
        <v>0</v>
      </c>
      <c r="N723" t="e">
        <f t="shared" si="79"/>
        <v>#N/A</v>
      </c>
      <c r="O723" t="e">
        <f t="shared" si="81"/>
        <v>#N/A</v>
      </c>
      <c r="P723">
        <f>'Nom du personnage'!$U$51</f>
        <v>0</v>
      </c>
    </row>
    <row r="724" spans="8:16" hidden="1">
      <c r="H724" s="2" t="s">
        <v>271</v>
      </c>
      <c r="I724" s="2">
        <v>5</v>
      </c>
      <c r="J724" s="2" t="s">
        <v>118</v>
      </c>
      <c r="K724" s="2">
        <f t="shared" si="78"/>
        <v>1</v>
      </c>
      <c r="M724">
        <f t="shared" si="77"/>
        <v>0</v>
      </c>
      <c r="N724" t="e">
        <f t="shared" si="79"/>
        <v>#N/A</v>
      </c>
      <c r="O724" t="e">
        <f t="shared" si="81"/>
        <v>#N/A</v>
      </c>
      <c r="P724">
        <f>'Nom du personnage'!$U$51</f>
        <v>0</v>
      </c>
    </row>
    <row r="725" spans="8:16" hidden="1">
      <c r="H725" s="2" t="s">
        <v>272</v>
      </c>
      <c r="I725" s="2">
        <v>3</v>
      </c>
      <c r="J725" s="2" t="s">
        <v>118</v>
      </c>
      <c r="K725" s="2">
        <f t="shared" si="78"/>
        <v>5</v>
      </c>
      <c r="M725">
        <f t="shared" si="77"/>
        <v>0</v>
      </c>
      <c r="N725" t="e">
        <f>VLOOKUP(M725,H725:J780,2,FALSE)</f>
        <v>#N/A</v>
      </c>
      <c r="O725" t="e">
        <f>VLOOKUP(M725,H725:J780,2,FALSE)+1</f>
        <v>#N/A</v>
      </c>
      <c r="P725">
        <f>'Nom du personnage'!$U$51</f>
        <v>0</v>
      </c>
    </row>
    <row r="726" spans="8:16" hidden="1">
      <c r="H726" s="2" t="s">
        <v>274</v>
      </c>
      <c r="I726" s="2">
        <v>4</v>
      </c>
      <c r="J726" s="2" t="s">
        <v>118</v>
      </c>
      <c r="K726" s="2">
        <f t="shared" si="78"/>
        <v>5</v>
      </c>
      <c r="M726">
        <f t="shared" si="77"/>
        <v>0</v>
      </c>
      <c r="N726" t="e">
        <f>VLOOKUP(M726,H726:J781,2,FALSE)</f>
        <v>#N/A</v>
      </c>
      <c r="O726" t="e">
        <f>VLOOKUP(M726,H726:J781,2,FALSE)+1</f>
        <v>#N/A</v>
      </c>
      <c r="P726">
        <f>'Nom du personnage'!$U$51</f>
        <v>0</v>
      </c>
    </row>
    <row r="727" spans="8:16" hidden="1">
      <c r="H727" s="2" t="s">
        <v>259</v>
      </c>
      <c r="I727" s="2">
        <v>4</v>
      </c>
      <c r="J727" s="2" t="s">
        <v>118</v>
      </c>
      <c r="K727" s="2">
        <f t="shared" si="78"/>
        <v>5</v>
      </c>
      <c r="M727">
        <f t="shared" si="77"/>
        <v>0</v>
      </c>
      <c r="N727" t="e">
        <f>VLOOKUP(M727,H727:J781,2,FALSE)</f>
        <v>#N/A</v>
      </c>
      <c r="O727" t="e">
        <f>VLOOKUP(M727,H727:J781,2,FALSE)+1</f>
        <v>#N/A</v>
      </c>
      <c r="P727">
        <f>'Nom du personnage'!$U$51</f>
        <v>0</v>
      </c>
    </row>
    <row r="728" spans="8:16" hidden="1">
      <c r="H728" s="2" t="s">
        <v>280</v>
      </c>
      <c r="I728" s="2">
        <v>6</v>
      </c>
      <c r="J728" s="2" t="s">
        <v>30</v>
      </c>
      <c r="K728" s="2">
        <v>5</v>
      </c>
      <c r="M728">
        <f t="shared" si="77"/>
        <v>0</v>
      </c>
      <c r="N728" t="e">
        <f>VLOOKUP(M728,H728:J781,2,FALSE)</f>
        <v>#N/A</v>
      </c>
      <c r="O728" t="e">
        <f>VLOOKUP(M728,H728:J781,2,FALSE)</f>
        <v>#N/A</v>
      </c>
      <c r="P728">
        <f>'Nom du personnage'!$U$51</f>
        <v>0</v>
      </c>
    </row>
    <row r="729" spans="8:16" hidden="1">
      <c r="H729" s="2" t="s">
        <v>281</v>
      </c>
      <c r="I729" s="2">
        <v>5</v>
      </c>
      <c r="J729" s="2" t="s">
        <v>156</v>
      </c>
      <c r="K729" s="2">
        <v>5</v>
      </c>
      <c r="M729">
        <f t="shared" si="77"/>
        <v>0</v>
      </c>
      <c r="N729" t="e">
        <f>VLOOKUP(M729,H729:J785,2,FALSE)</f>
        <v>#N/A</v>
      </c>
      <c r="O729" t="e">
        <f>VLOOKUP(M729,H729:J785,2,FALSE)</f>
        <v>#N/A</v>
      </c>
      <c r="P729">
        <f>'Nom du personnage'!$U$51</f>
        <v>0</v>
      </c>
    </row>
    <row r="730" spans="8:16" hidden="1">
      <c r="H730" s="2" t="s">
        <v>282</v>
      </c>
      <c r="I730" s="2">
        <v>5</v>
      </c>
      <c r="J730" s="2" t="s">
        <v>35</v>
      </c>
      <c r="K730" s="2">
        <v>1</v>
      </c>
      <c r="M730">
        <f t="shared" si="77"/>
        <v>0</v>
      </c>
      <c r="N730" t="e">
        <f>VLOOKUP(M730,H730:J787,2,FALSE)</f>
        <v>#N/A</v>
      </c>
      <c r="O730" t="e">
        <f>VLOOKUP(M730,H730:J787,2,FALSE)</f>
        <v>#N/A</v>
      </c>
      <c r="P730">
        <f>'Nom du personnage'!$U$51</f>
        <v>0</v>
      </c>
    </row>
    <row r="731" spans="8:16" hidden="1">
      <c r="H731" s="2" t="s">
        <v>283</v>
      </c>
      <c r="I731" s="2">
        <v>6</v>
      </c>
      <c r="J731" s="2" t="s">
        <v>39</v>
      </c>
      <c r="K731" s="2">
        <v>1</v>
      </c>
      <c r="M731" cm="1">
        <f t="array" ref="M731">IF(AND(J731='Nom du personnage'!$U$51,OR('Nom du personnage'!$C$65:$L$85=Compétences!H732,'Nom du personnage'!$Q$65:$Z$85=Compétences!H732,'Nom du personnage'!$C$65:$L$85=Compétences!H733,'Nom du personnage'!$Q$65:$Z$85=Compétences!H733)=FALSE),Compétences!H731,0)</f>
        <v>0</v>
      </c>
      <c r="N731" t="e">
        <f>VLOOKUP(M731,H731:J782,2,FALSE)</f>
        <v>#N/A</v>
      </c>
      <c r="O731" t="e">
        <f>VLOOKUP(M731,H731:J782,2,FALSE)</f>
        <v>#N/A</v>
      </c>
      <c r="P731">
        <f>'Nom du personnage'!$U$51</f>
        <v>0</v>
      </c>
    </row>
    <row r="732" spans="8:16" hidden="1">
      <c r="H732" s="2" t="s">
        <v>284</v>
      </c>
      <c r="I732" s="2">
        <v>5</v>
      </c>
      <c r="J732" s="2" t="s">
        <v>39</v>
      </c>
      <c r="K732" s="2">
        <v>5</v>
      </c>
      <c r="M732" cm="1">
        <f t="array" ref="M732">IF(AND(J732='Nom du personnage'!$U$51,OR('Nom du personnage'!$C$65:$L$85=Compétences!H731,'Nom du personnage'!$Q$65:$Z$85=Compétences!H731,'Nom du personnage'!$C$65:$L$85=Compétences!H733,'Nom du personnage'!$Q$65:$Z$85=Compétences!H733)=FALSE),Compétences!H732,0)</f>
        <v>0</v>
      </c>
      <c r="N732" t="e">
        <f>VLOOKUP(M732,H732:J783,2,FALSE)</f>
        <v>#N/A</v>
      </c>
      <c r="O732" t="e">
        <f>VLOOKUP(M732,H732:J783,2,FALSE)</f>
        <v>#N/A</v>
      </c>
      <c r="P732">
        <f>'Nom du personnage'!$U$51</f>
        <v>0</v>
      </c>
    </row>
    <row r="733" spans="8:16" hidden="1">
      <c r="H733" s="2" t="s">
        <v>285</v>
      </c>
      <c r="I733" s="2">
        <v>5</v>
      </c>
      <c r="J733" s="2" t="s">
        <v>39</v>
      </c>
      <c r="K733" s="2">
        <v>5</v>
      </c>
      <c r="M733" cm="1">
        <f t="array" ref="M733">IF(AND(J733='Nom du personnage'!$U$51,OR('Nom du personnage'!$C$65:$L$85=Compétences!H732,'Nom du personnage'!$Q$65:$Z$85=Compétences!H732,'Nom du personnage'!$C$65:$L$85=Compétences!H731,'Nom du personnage'!$Q$65:$Z$85=Compétences!H731)=FALSE),Compétences!H733,0)</f>
        <v>0</v>
      </c>
      <c r="N733" t="e">
        <f>VLOOKUP(M733,H733:J784,2,FALSE)</f>
        <v>#N/A</v>
      </c>
      <c r="O733" t="e">
        <f>VLOOKUP(M733,H733:J784,2,FALSE)</f>
        <v>#N/A</v>
      </c>
      <c r="P733">
        <f>'Nom du personnage'!$U$51</f>
        <v>0</v>
      </c>
    </row>
    <row r="734" spans="8:16" hidden="1">
      <c r="H734" s="2" t="s">
        <v>286</v>
      </c>
      <c r="I734" s="2">
        <v>5</v>
      </c>
      <c r="J734" s="2" t="s">
        <v>43</v>
      </c>
      <c r="K734" s="2">
        <v>5</v>
      </c>
      <c r="M734">
        <f t="shared" si="77"/>
        <v>0</v>
      </c>
      <c r="N734" t="e">
        <f>VLOOKUP(M734,H734:J787,2,FALSE)</f>
        <v>#N/A</v>
      </c>
      <c r="O734" t="e">
        <f>VLOOKUP(M734,H734:J787,2,FALSE)</f>
        <v>#N/A</v>
      </c>
      <c r="P734">
        <f>'Nom du personnage'!$U$51</f>
        <v>0</v>
      </c>
    </row>
    <row r="735" spans="8:16" hidden="1">
      <c r="H735" s="2" t="s">
        <v>287</v>
      </c>
      <c r="I735" s="2">
        <v>5</v>
      </c>
      <c r="J735" s="2" t="s">
        <v>47</v>
      </c>
      <c r="K735" s="2">
        <v>5</v>
      </c>
      <c r="M735">
        <f t="shared" si="77"/>
        <v>0</v>
      </c>
      <c r="N735" t="e">
        <f t="shared" ref="N735:N766" si="82">VLOOKUP(M735,H735:J792,2,FALSE)</f>
        <v>#N/A</v>
      </c>
      <c r="O735" t="e">
        <f t="shared" ref="O735:O761" si="83">VLOOKUP(M735,H735:J792,2,FALSE)</f>
        <v>#N/A</v>
      </c>
      <c r="P735">
        <f>'Nom du personnage'!$U$51</f>
        <v>0</v>
      </c>
    </row>
    <row r="736" spans="8:16" hidden="1">
      <c r="H736" s="2" t="s">
        <v>288</v>
      </c>
      <c r="I736" s="2">
        <v>6</v>
      </c>
      <c r="J736" s="2" t="s">
        <v>51</v>
      </c>
      <c r="K736" s="2">
        <v>1</v>
      </c>
      <c r="M736">
        <f t="shared" si="77"/>
        <v>0</v>
      </c>
      <c r="N736" t="e">
        <f t="shared" si="82"/>
        <v>#N/A</v>
      </c>
      <c r="O736" t="e">
        <f t="shared" si="83"/>
        <v>#N/A</v>
      </c>
      <c r="P736">
        <f>'Nom du personnage'!$U$51</f>
        <v>0</v>
      </c>
    </row>
    <row r="737" spans="8:16" hidden="1">
      <c r="H737" s="2" t="s">
        <v>289</v>
      </c>
      <c r="I737" s="2">
        <v>6</v>
      </c>
      <c r="J737" s="2" t="s">
        <v>55</v>
      </c>
      <c r="K737" s="2">
        <v>1</v>
      </c>
      <c r="M737">
        <f t="shared" si="77"/>
        <v>0</v>
      </c>
      <c r="N737" t="e">
        <f t="shared" si="82"/>
        <v>#N/A</v>
      </c>
      <c r="O737" t="e">
        <f t="shared" si="83"/>
        <v>#N/A</v>
      </c>
      <c r="P737">
        <f>'Nom du personnage'!$U$51</f>
        <v>0</v>
      </c>
    </row>
    <row r="738" spans="8:16" hidden="1">
      <c r="H738" s="2" t="s">
        <v>290</v>
      </c>
      <c r="I738" s="2">
        <v>4</v>
      </c>
      <c r="J738" s="2" t="s">
        <v>59</v>
      </c>
      <c r="K738" s="2">
        <v>1</v>
      </c>
      <c r="M738">
        <f t="shared" si="77"/>
        <v>0</v>
      </c>
      <c r="N738" t="e">
        <f t="shared" si="82"/>
        <v>#N/A</v>
      </c>
      <c r="O738" t="e">
        <f t="shared" si="83"/>
        <v>#N/A</v>
      </c>
      <c r="P738">
        <f>'Nom du personnage'!$U$51</f>
        <v>0</v>
      </c>
    </row>
    <row r="739" spans="8:16" hidden="1">
      <c r="H739" s="2" t="s">
        <v>291</v>
      </c>
      <c r="I739" s="2">
        <v>4</v>
      </c>
      <c r="J739" s="2" t="s">
        <v>63</v>
      </c>
      <c r="K739" s="2">
        <v>1</v>
      </c>
      <c r="M739">
        <f t="shared" si="77"/>
        <v>0</v>
      </c>
      <c r="N739" t="e">
        <f t="shared" si="82"/>
        <v>#N/A</v>
      </c>
      <c r="O739" t="e">
        <f t="shared" si="83"/>
        <v>#N/A</v>
      </c>
      <c r="P739">
        <f>'Nom du personnage'!$U$51</f>
        <v>0</v>
      </c>
    </row>
    <row r="740" spans="8:16" hidden="1">
      <c r="H740" s="2" t="s">
        <v>292</v>
      </c>
      <c r="I740" s="2">
        <v>4</v>
      </c>
      <c r="J740" s="2" t="s">
        <v>67</v>
      </c>
      <c r="K740" s="2">
        <v>5</v>
      </c>
      <c r="M740">
        <f t="shared" si="77"/>
        <v>0</v>
      </c>
      <c r="N740" t="e">
        <f t="shared" si="82"/>
        <v>#N/A</v>
      </c>
      <c r="O740" t="e">
        <f t="shared" si="83"/>
        <v>#N/A</v>
      </c>
      <c r="P740">
        <f>'Nom du personnage'!$U$51</f>
        <v>0</v>
      </c>
    </row>
    <row r="741" spans="8:16" hidden="1">
      <c r="H741" s="2" t="s">
        <v>293</v>
      </c>
      <c r="I741" s="2">
        <v>5</v>
      </c>
      <c r="J741" s="2" t="s">
        <v>70</v>
      </c>
      <c r="K741" s="2">
        <v>5</v>
      </c>
      <c r="M741">
        <f t="shared" si="77"/>
        <v>0</v>
      </c>
      <c r="N741" t="e">
        <f t="shared" si="82"/>
        <v>#N/A</v>
      </c>
      <c r="O741" t="e">
        <f t="shared" si="83"/>
        <v>#N/A</v>
      </c>
      <c r="P741">
        <f>'Nom du personnage'!$U$51</f>
        <v>0</v>
      </c>
    </row>
    <row r="742" spans="8:16" hidden="1">
      <c r="H742" s="2" t="s">
        <v>294</v>
      </c>
      <c r="I742">
        <v>4</v>
      </c>
      <c r="J742" s="2" t="s">
        <v>73</v>
      </c>
      <c r="K742" s="2">
        <v>1</v>
      </c>
      <c r="M742">
        <f t="shared" si="77"/>
        <v>0</v>
      </c>
      <c r="N742" t="e">
        <f t="shared" si="82"/>
        <v>#N/A</v>
      </c>
      <c r="O742" t="e">
        <f t="shared" si="83"/>
        <v>#N/A</v>
      </c>
      <c r="P742">
        <f>'Nom du personnage'!$U$51</f>
        <v>0</v>
      </c>
    </row>
    <row r="743" spans="8:16" hidden="1">
      <c r="H743" s="2" t="s">
        <v>295</v>
      </c>
      <c r="I743">
        <v>5</v>
      </c>
      <c r="J743" s="2" t="s">
        <v>76</v>
      </c>
      <c r="K743" s="2">
        <v>5</v>
      </c>
      <c r="M743">
        <f t="shared" ref="M743:M806" si="84">IF(P743=J743,H743,)</f>
        <v>0</v>
      </c>
      <c r="N743" t="e">
        <f t="shared" si="82"/>
        <v>#N/A</v>
      </c>
      <c r="O743" t="e">
        <f t="shared" si="83"/>
        <v>#N/A</v>
      </c>
      <c r="P743">
        <f>'Nom du personnage'!$U$51</f>
        <v>0</v>
      </c>
    </row>
    <row r="744" spans="8:16" hidden="1">
      <c r="H744" s="2" t="s">
        <v>296</v>
      </c>
      <c r="I744">
        <v>5</v>
      </c>
      <c r="J744" s="2" t="s">
        <v>79</v>
      </c>
      <c r="K744" s="2">
        <v>5</v>
      </c>
      <c r="M744">
        <f t="shared" si="84"/>
        <v>0</v>
      </c>
      <c r="N744" t="e">
        <f t="shared" si="82"/>
        <v>#N/A</v>
      </c>
      <c r="O744" t="e">
        <f t="shared" si="83"/>
        <v>#N/A</v>
      </c>
      <c r="P744">
        <f>'Nom du personnage'!$U$51</f>
        <v>0</v>
      </c>
    </row>
    <row r="745" spans="8:16" hidden="1">
      <c r="H745" s="2" t="s">
        <v>297</v>
      </c>
      <c r="I745">
        <v>4</v>
      </c>
      <c r="J745" s="2" t="s">
        <v>157</v>
      </c>
      <c r="K745" s="2">
        <v>1</v>
      </c>
      <c r="M745">
        <f t="shared" si="84"/>
        <v>0</v>
      </c>
      <c r="N745" t="e">
        <f t="shared" si="82"/>
        <v>#N/A</v>
      </c>
      <c r="O745" t="e">
        <f t="shared" si="83"/>
        <v>#N/A</v>
      </c>
      <c r="P745">
        <f>'Nom du personnage'!$U$51</f>
        <v>0</v>
      </c>
    </row>
    <row r="746" spans="8:16" hidden="1">
      <c r="H746" s="2" t="s">
        <v>298</v>
      </c>
      <c r="I746">
        <v>4</v>
      </c>
      <c r="J746" s="2" t="s">
        <v>85</v>
      </c>
      <c r="K746" s="2">
        <v>5</v>
      </c>
      <c r="M746">
        <f t="shared" si="84"/>
        <v>0</v>
      </c>
      <c r="N746" t="e">
        <f t="shared" si="82"/>
        <v>#N/A</v>
      </c>
      <c r="O746" t="e">
        <f t="shared" si="83"/>
        <v>#N/A</v>
      </c>
      <c r="P746">
        <f>'Nom du personnage'!$U$51</f>
        <v>0</v>
      </c>
    </row>
    <row r="747" spans="8:16" hidden="1">
      <c r="H747" s="2" t="s">
        <v>299</v>
      </c>
      <c r="I747">
        <v>4</v>
      </c>
      <c r="J747" s="2" t="s">
        <v>88</v>
      </c>
      <c r="K747" s="2">
        <v>5</v>
      </c>
      <c r="M747">
        <f t="shared" si="84"/>
        <v>0</v>
      </c>
      <c r="N747" t="e">
        <f t="shared" si="82"/>
        <v>#N/A</v>
      </c>
      <c r="O747" t="e">
        <f t="shared" si="83"/>
        <v>#N/A</v>
      </c>
      <c r="P747">
        <f>'Nom du personnage'!$U$51</f>
        <v>0</v>
      </c>
    </row>
    <row r="748" spans="8:16" hidden="1">
      <c r="H748" s="2" t="s">
        <v>300</v>
      </c>
      <c r="I748">
        <v>5</v>
      </c>
      <c r="J748" s="2" t="s">
        <v>91</v>
      </c>
      <c r="K748" s="2">
        <v>1</v>
      </c>
      <c r="M748">
        <f t="shared" si="84"/>
        <v>0</v>
      </c>
      <c r="N748" t="e">
        <f t="shared" si="82"/>
        <v>#N/A</v>
      </c>
      <c r="O748" t="e">
        <f t="shared" si="83"/>
        <v>#N/A</v>
      </c>
      <c r="P748">
        <f>'Nom du personnage'!$U$51</f>
        <v>0</v>
      </c>
    </row>
    <row r="749" spans="8:16" hidden="1">
      <c r="H749" s="2" t="s">
        <v>301</v>
      </c>
      <c r="I749">
        <v>6</v>
      </c>
      <c r="J749" s="2" t="s">
        <v>94</v>
      </c>
      <c r="K749" s="2">
        <v>1</v>
      </c>
      <c r="M749">
        <f t="shared" si="84"/>
        <v>0</v>
      </c>
      <c r="N749" t="e">
        <f t="shared" si="82"/>
        <v>#N/A</v>
      </c>
      <c r="O749" t="e">
        <f t="shared" si="83"/>
        <v>#N/A</v>
      </c>
      <c r="P749">
        <f>'Nom du personnage'!$U$51</f>
        <v>0</v>
      </c>
    </row>
    <row r="750" spans="8:16" hidden="1">
      <c r="H750" s="2" t="s">
        <v>302</v>
      </c>
      <c r="I750">
        <v>5</v>
      </c>
      <c r="J750" s="2" t="s">
        <v>98</v>
      </c>
      <c r="K750" s="2">
        <v>5</v>
      </c>
      <c r="M750">
        <f t="shared" si="84"/>
        <v>0</v>
      </c>
      <c r="N750" t="e">
        <f t="shared" si="82"/>
        <v>#N/A</v>
      </c>
      <c r="O750" t="e">
        <f t="shared" si="83"/>
        <v>#N/A</v>
      </c>
      <c r="P750">
        <f>'Nom du personnage'!$U$51</f>
        <v>0</v>
      </c>
    </row>
    <row r="751" spans="8:16" hidden="1">
      <c r="H751" s="2" t="s">
        <v>303</v>
      </c>
      <c r="I751">
        <v>6</v>
      </c>
      <c r="J751" s="2" t="s">
        <v>104</v>
      </c>
      <c r="K751" s="2">
        <v>5</v>
      </c>
      <c r="M751">
        <f t="shared" si="84"/>
        <v>0</v>
      </c>
      <c r="N751" t="e">
        <f t="shared" si="82"/>
        <v>#N/A</v>
      </c>
      <c r="O751" t="e">
        <f t="shared" si="83"/>
        <v>#N/A</v>
      </c>
      <c r="P751">
        <f>'Nom du personnage'!$U$51</f>
        <v>0</v>
      </c>
    </row>
    <row r="752" spans="8:16" hidden="1">
      <c r="H752" s="2" t="s">
        <v>304</v>
      </c>
      <c r="I752">
        <v>6</v>
      </c>
      <c r="J752" s="2" t="s">
        <v>107</v>
      </c>
      <c r="K752" s="2">
        <v>1</v>
      </c>
      <c r="M752">
        <f t="shared" si="84"/>
        <v>0</v>
      </c>
      <c r="N752" t="e">
        <f t="shared" si="82"/>
        <v>#N/A</v>
      </c>
      <c r="O752" t="e">
        <f t="shared" si="83"/>
        <v>#N/A</v>
      </c>
      <c r="P752">
        <f>'Nom du personnage'!$U$51</f>
        <v>0</v>
      </c>
    </row>
    <row r="753" spans="8:16" hidden="1">
      <c r="H753" s="2" t="s">
        <v>305</v>
      </c>
      <c r="I753">
        <v>4</v>
      </c>
      <c r="J753" s="2" t="s">
        <v>110</v>
      </c>
      <c r="K753" s="2">
        <v>1</v>
      </c>
      <c r="M753">
        <f t="shared" si="84"/>
        <v>0</v>
      </c>
      <c r="N753" t="e">
        <f t="shared" si="82"/>
        <v>#N/A</v>
      </c>
      <c r="O753" t="e">
        <f t="shared" si="83"/>
        <v>#N/A</v>
      </c>
      <c r="P753">
        <f>'Nom du personnage'!$U$51</f>
        <v>0</v>
      </c>
    </row>
    <row r="754" spans="8:16" hidden="1">
      <c r="H754" s="2" t="s">
        <v>306</v>
      </c>
      <c r="I754">
        <v>2</v>
      </c>
      <c r="J754" s="2" t="s">
        <v>113</v>
      </c>
      <c r="K754" s="2">
        <v>5</v>
      </c>
      <c r="M754">
        <f t="shared" si="84"/>
        <v>0</v>
      </c>
      <c r="N754" t="e">
        <f t="shared" si="82"/>
        <v>#N/A</v>
      </c>
      <c r="O754" t="e">
        <f t="shared" si="83"/>
        <v>#N/A</v>
      </c>
      <c r="P754">
        <f>'Nom du personnage'!$U$51</f>
        <v>0</v>
      </c>
    </row>
    <row r="755" spans="8:16" hidden="1">
      <c r="H755" s="2" t="s">
        <v>307</v>
      </c>
      <c r="I755">
        <v>4</v>
      </c>
      <c r="J755" s="2" t="s">
        <v>113</v>
      </c>
      <c r="K755" s="2">
        <v>5</v>
      </c>
      <c r="M755">
        <f t="shared" si="84"/>
        <v>0</v>
      </c>
      <c r="N755" t="e">
        <f t="shared" si="82"/>
        <v>#N/A</v>
      </c>
      <c r="O755" t="e">
        <f t="shared" si="83"/>
        <v>#N/A</v>
      </c>
      <c r="P755">
        <f>'Nom du personnage'!$U$51</f>
        <v>0</v>
      </c>
    </row>
    <row r="756" spans="8:16" hidden="1">
      <c r="H756" s="2" t="s">
        <v>308</v>
      </c>
      <c r="I756">
        <v>6</v>
      </c>
      <c r="J756" s="2" t="s">
        <v>113</v>
      </c>
      <c r="K756" s="2">
        <v>5</v>
      </c>
      <c r="M756">
        <f t="shared" si="84"/>
        <v>0</v>
      </c>
      <c r="N756" t="e">
        <f t="shared" si="82"/>
        <v>#N/A</v>
      </c>
      <c r="O756" t="e">
        <f t="shared" si="83"/>
        <v>#N/A</v>
      </c>
      <c r="P756">
        <f>'Nom du personnage'!$U$51</f>
        <v>0</v>
      </c>
    </row>
    <row r="757" spans="8:16" hidden="1">
      <c r="H757" s="2" t="s">
        <v>309</v>
      </c>
      <c r="I757">
        <v>8</v>
      </c>
      <c r="J757" s="2" t="s">
        <v>113</v>
      </c>
      <c r="K757" s="2">
        <v>5</v>
      </c>
      <c r="M757">
        <f t="shared" si="84"/>
        <v>0</v>
      </c>
      <c r="N757" t="e">
        <f t="shared" si="82"/>
        <v>#N/A</v>
      </c>
      <c r="O757" t="e">
        <f t="shared" si="83"/>
        <v>#N/A</v>
      </c>
      <c r="P757">
        <f>'Nom du personnage'!$U$51</f>
        <v>0</v>
      </c>
    </row>
    <row r="758" spans="8:16" hidden="1">
      <c r="H758" s="2" t="s">
        <v>310</v>
      </c>
      <c r="I758">
        <v>10</v>
      </c>
      <c r="J758" s="2" t="s">
        <v>113</v>
      </c>
      <c r="K758" s="2">
        <v>5</v>
      </c>
      <c r="M758">
        <f t="shared" si="84"/>
        <v>0</v>
      </c>
      <c r="N758" t="e">
        <f t="shared" si="82"/>
        <v>#N/A</v>
      </c>
      <c r="O758" t="e">
        <f t="shared" si="83"/>
        <v>#N/A</v>
      </c>
      <c r="P758">
        <f>'Nom du personnage'!$U$51</f>
        <v>0</v>
      </c>
    </row>
    <row r="759" spans="8:16" hidden="1">
      <c r="H759" s="2" t="s">
        <v>311</v>
      </c>
      <c r="I759">
        <v>6</v>
      </c>
      <c r="J759" s="2" t="s">
        <v>158</v>
      </c>
      <c r="K759" s="2">
        <v>5</v>
      </c>
      <c r="M759">
        <f t="shared" si="84"/>
        <v>0</v>
      </c>
      <c r="N759" t="e">
        <f t="shared" si="82"/>
        <v>#N/A</v>
      </c>
      <c r="O759" t="e">
        <f t="shared" si="83"/>
        <v>#N/A</v>
      </c>
      <c r="P759">
        <f>'Nom du personnage'!$U$51</f>
        <v>0</v>
      </c>
    </row>
    <row r="760" spans="8:16" hidden="1">
      <c r="H760" s="2" t="s">
        <v>312</v>
      </c>
      <c r="I760">
        <v>5</v>
      </c>
      <c r="J760" s="2" t="s">
        <v>159</v>
      </c>
      <c r="K760" s="2">
        <v>1</v>
      </c>
      <c r="M760">
        <f t="shared" si="84"/>
        <v>0</v>
      </c>
      <c r="N760" t="e">
        <f t="shared" si="82"/>
        <v>#N/A</v>
      </c>
      <c r="O760" t="e">
        <f t="shared" si="83"/>
        <v>#N/A</v>
      </c>
      <c r="P760">
        <f>'Nom du personnage'!$U$51</f>
        <v>0</v>
      </c>
    </row>
    <row r="761" spans="8:16" hidden="1">
      <c r="H761" s="2" t="s">
        <v>313</v>
      </c>
      <c r="I761">
        <v>6</v>
      </c>
      <c r="J761" s="2" t="s">
        <v>118</v>
      </c>
      <c r="K761" s="2">
        <v>5</v>
      </c>
      <c r="M761">
        <f t="shared" si="84"/>
        <v>0</v>
      </c>
      <c r="N761" t="e">
        <f t="shared" si="82"/>
        <v>#N/A</v>
      </c>
      <c r="O761" t="e">
        <f t="shared" si="83"/>
        <v>#N/A</v>
      </c>
      <c r="P761">
        <f>'Nom du personnage'!$U$51</f>
        <v>0</v>
      </c>
    </row>
    <row r="762" spans="8:16" hidden="1">
      <c r="H762" s="2" t="s">
        <v>185</v>
      </c>
      <c r="I762">
        <v>6</v>
      </c>
      <c r="J762" s="2" t="s">
        <v>67</v>
      </c>
      <c r="K762" s="2">
        <f t="shared" ref="K762:K785" si="85">VLOOKUP(H762,$B$3:$D$115,3,FALSE)</f>
        <v>1</v>
      </c>
      <c r="M762">
        <f t="shared" si="84"/>
        <v>0</v>
      </c>
      <c r="N762" t="e">
        <f t="shared" si="82"/>
        <v>#N/A</v>
      </c>
      <c r="O762" t="e">
        <f t="shared" ref="O762:O785" si="86">VLOOKUP(M762,H762:J819,2,FALSE)+1</f>
        <v>#N/A</v>
      </c>
      <c r="P762">
        <f>'Nom du personnage'!$U$51</f>
        <v>0</v>
      </c>
    </row>
    <row r="763" spans="8:16" hidden="1">
      <c r="H763" s="2" t="s">
        <v>199</v>
      </c>
      <c r="I763">
        <v>6</v>
      </c>
      <c r="J763" s="2" t="s">
        <v>67</v>
      </c>
      <c r="K763" s="2">
        <f t="shared" si="85"/>
        <v>1</v>
      </c>
      <c r="M763" s="2" cm="1">
        <f t="array" ref="M763">IF(AND('Nom du personnage'!U769=Compétences!J763,OR('Nom du personnage'!$C$65:$L$85=Compétences!$M$13,'Nom du personnage'!$Q$65:$Z$85=Compétences!$M$13)),H763,0)</f>
        <v>0</v>
      </c>
      <c r="N763" t="e">
        <f t="shared" si="82"/>
        <v>#N/A</v>
      </c>
      <c r="O763" t="e">
        <f t="shared" si="86"/>
        <v>#N/A</v>
      </c>
      <c r="P763">
        <f>'Nom du personnage'!$U$51</f>
        <v>0</v>
      </c>
    </row>
    <row r="764" spans="8:16" hidden="1">
      <c r="H764" s="2" t="s">
        <v>200</v>
      </c>
      <c r="I764">
        <v>6</v>
      </c>
      <c r="J764" s="2" t="s">
        <v>67</v>
      </c>
      <c r="K764" s="2">
        <f t="shared" si="85"/>
        <v>1</v>
      </c>
      <c r="M764">
        <f t="shared" si="84"/>
        <v>0</v>
      </c>
      <c r="N764" t="e">
        <f t="shared" si="82"/>
        <v>#N/A</v>
      </c>
      <c r="O764" t="e">
        <f t="shared" si="86"/>
        <v>#N/A</v>
      </c>
      <c r="P764">
        <f>'Nom du personnage'!$U$51</f>
        <v>0</v>
      </c>
    </row>
    <row r="765" spans="8:16" hidden="1">
      <c r="H765" s="2" t="s">
        <v>201</v>
      </c>
      <c r="I765">
        <v>6</v>
      </c>
      <c r="J765" s="2" t="s">
        <v>67</v>
      </c>
      <c r="K765" s="2">
        <f t="shared" si="85"/>
        <v>1</v>
      </c>
      <c r="M765">
        <f t="shared" si="84"/>
        <v>0</v>
      </c>
      <c r="N765" t="e">
        <f t="shared" si="82"/>
        <v>#N/A</v>
      </c>
      <c r="O765" t="e">
        <f t="shared" si="86"/>
        <v>#N/A</v>
      </c>
      <c r="P765">
        <f>'Nom du personnage'!$U$51</f>
        <v>0</v>
      </c>
    </row>
    <row r="766" spans="8:16" hidden="1">
      <c r="H766" s="2" t="s">
        <v>202</v>
      </c>
      <c r="I766">
        <v>5</v>
      </c>
      <c r="J766" s="2" t="s">
        <v>67</v>
      </c>
      <c r="K766" s="2">
        <f t="shared" si="85"/>
        <v>5</v>
      </c>
      <c r="M766">
        <f t="shared" si="84"/>
        <v>0</v>
      </c>
      <c r="N766" t="e">
        <f t="shared" si="82"/>
        <v>#N/A</v>
      </c>
      <c r="O766" t="e">
        <f t="shared" si="86"/>
        <v>#N/A</v>
      </c>
      <c r="P766">
        <f>'Nom du personnage'!$U$51</f>
        <v>0</v>
      </c>
    </row>
    <row r="767" spans="8:16" hidden="1">
      <c r="H767" s="2" t="s">
        <v>203</v>
      </c>
      <c r="I767">
        <v>6</v>
      </c>
      <c r="J767" s="2" t="s">
        <v>67</v>
      </c>
      <c r="K767" s="2">
        <f t="shared" si="85"/>
        <v>5</v>
      </c>
      <c r="M767" s="2" cm="1">
        <f t="array" ref="M767">IF(AND('Nom du personnage'!U639=Compétences!J767,OR('Nom du personnage'!$C$65:$L$85=Compétences!$H$48,'Nom du personnage'!$Q$65:$Z$85=Compétences!$H$48)),H767,0)</f>
        <v>0</v>
      </c>
      <c r="N767" t="e">
        <f t="shared" ref="N767:N798" si="87">VLOOKUP(M767,H767:J824,2,FALSE)</f>
        <v>#N/A</v>
      </c>
      <c r="O767" t="e">
        <f t="shared" si="86"/>
        <v>#N/A</v>
      </c>
      <c r="P767">
        <f>'Nom du personnage'!$U$51</f>
        <v>0</v>
      </c>
    </row>
    <row r="768" spans="8:16" hidden="1">
      <c r="H768" s="2" t="s">
        <v>204</v>
      </c>
      <c r="I768">
        <v>4</v>
      </c>
      <c r="J768" s="2" t="s">
        <v>67</v>
      </c>
      <c r="K768" s="2">
        <f t="shared" si="85"/>
        <v>1</v>
      </c>
      <c r="M768">
        <f t="shared" si="84"/>
        <v>0</v>
      </c>
      <c r="N768" t="e">
        <f t="shared" si="87"/>
        <v>#N/A</v>
      </c>
      <c r="O768" t="e">
        <f t="shared" si="86"/>
        <v>#N/A</v>
      </c>
      <c r="P768">
        <f>'Nom du personnage'!$U$51</f>
        <v>0</v>
      </c>
    </row>
    <row r="769" spans="8:16" hidden="1">
      <c r="H769" s="2" t="s">
        <v>205</v>
      </c>
      <c r="I769">
        <v>5</v>
      </c>
      <c r="J769" s="2" t="s">
        <v>67</v>
      </c>
      <c r="K769" s="2">
        <f t="shared" si="85"/>
        <v>5</v>
      </c>
      <c r="M769" s="2" cm="1">
        <f t="array" ref="M769">IF(AND('Nom du personnage'!U769=Compétences!J769,OR('Nom du personnage'!$C$65:$L$85=Compétences!$H$50,'Nom du personnage'!$Q$65:$Z$85=Compétences!$H$50)),H769,0)</f>
        <v>0</v>
      </c>
      <c r="N769" t="e">
        <f t="shared" si="87"/>
        <v>#N/A</v>
      </c>
      <c r="O769" t="e">
        <f t="shared" si="86"/>
        <v>#N/A</v>
      </c>
      <c r="P769">
        <f>'Nom du personnage'!$U$51</f>
        <v>0</v>
      </c>
    </row>
    <row r="770" spans="8:16">
      <c r="H770" s="2" t="s">
        <v>206</v>
      </c>
      <c r="I770">
        <v>3</v>
      </c>
      <c r="J770" s="2" t="s">
        <v>67</v>
      </c>
      <c r="K770" s="2">
        <f t="shared" si="85"/>
        <v>5</v>
      </c>
      <c r="M770" s="2" cm="1">
        <f t="array" ref="M770">IF(AND('Nom du personnage'!U769=Compétences!J770,OR('Nom du personnage'!$C$65:$L$85=Compétences!$M$18,'Nom du personnage'!$Q$65:$Z$85=Compétences!$M$18)),H770,0)</f>
        <v>0</v>
      </c>
      <c r="N770" t="e">
        <f t="shared" si="87"/>
        <v>#N/A</v>
      </c>
      <c r="O770" t="e">
        <f t="shared" si="86"/>
        <v>#N/A</v>
      </c>
      <c r="P770">
        <f>'Nom du personnage'!$U$51</f>
        <v>0</v>
      </c>
    </row>
    <row r="771" spans="8:16" hidden="1">
      <c r="H771" s="2" t="s">
        <v>1005</v>
      </c>
      <c r="I771" s="2">
        <v>2</v>
      </c>
      <c r="J771" s="2" t="s">
        <v>67</v>
      </c>
      <c r="K771" s="2">
        <f t="shared" si="85"/>
        <v>5</v>
      </c>
      <c r="M771" s="2" cm="1">
        <f t="array" ref="M771">IF(AND('Nom du personnage'!$U$51=Compétences!J771,OR('Nom du personnage'!$C$65:$L$85=Compétences!$M$3,'Nom du personnage'!$Q$65:$Z$85=Compétences!$M$3)),H771,0)</f>
        <v>0</v>
      </c>
      <c r="N771" t="e">
        <f t="shared" si="87"/>
        <v>#N/A</v>
      </c>
      <c r="O771" t="e">
        <f t="shared" si="86"/>
        <v>#N/A</v>
      </c>
      <c r="P771">
        <f>'Nom du personnage'!$U$51</f>
        <v>0</v>
      </c>
    </row>
    <row r="772" spans="8:16" hidden="1">
      <c r="H772" s="2" t="s">
        <v>208</v>
      </c>
      <c r="I772" s="2">
        <v>6</v>
      </c>
      <c r="J772" s="2" t="s">
        <v>67</v>
      </c>
      <c r="K772" s="2">
        <f t="shared" si="85"/>
        <v>1</v>
      </c>
      <c r="M772">
        <f t="shared" si="84"/>
        <v>0</v>
      </c>
      <c r="N772" t="e">
        <f t="shared" si="87"/>
        <v>#N/A</v>
      </c>
      <c r="O772" t="e">
        <f t="shared" si="86"/>
        <v>#N/A</v>
      </c>
      <c r="P772">
        <f>'Nom du personnage'!$U$51</f>
        <v>0</v>
      </c>
    </row>
    <row r="773" spans="8:16" hidden="1">
      <c r="H773" s="2" t="s">
        <v>209</v>
      </c>
      <c r="I773" s="2">
        <v>4</v>
      </c>
      <c r="J773" s="2" t="s">
        <v>67</v>
      </c>
      <c r="K773" s="2">
        <f t="shared" si="85"/>
        <v>1</v>
      </c>
      <c r="M773">
        <f t="shared" si="84"/>
        <v>0</v>
      </c>
      <c r="N773" t="e">
        <f t="shared" si="87"/>
        <v>#N/A</v>
      </c>
      <c r="O773" t="e">
        <f t="shared" si="86"/>
        <v>#N/A</v>
      </c>
      <c r="P773">
        <f>'Nom du personnage'!$U$51</f>
        <v>0</v>
      </c>
    </row>
    <row r="774" spans="8:16" hidden="1">
      <c r="H774" s="2" t="s">
        <v>211</v>
      </c>
      <c r="I774" s="2">
        <v>4</v>
      </c>
      <c r="J774" s="2" t="s">
        <v>67</v>
      </c>
      <c r="K774" s="2">
        <f t="shared" si="85"/>
        <v>1</v>
      </c>
      <c r="M774">
        <f t="shared" si="84"/>
        <v>0</v>
      </c>
      <c r="N774" t="e">
        <f t="shared" si="87"/>
        <v>#N/A</v>
      </c>
      <c r="O774" t="e">
        <f t="shared" si="86"/>
        <v>#N/A</v>
      </c>
      <c r="P774">
        <f>'Nom du personnage'!$U$51</f>
        <v>0</v>
      </c>
    </row>
    <row r="775" spans="8:16" hidden="1">
      <c r="H775" s="2" t="s">
        <v>210</v>
      </c>
      <c r="I775" s="2">
        <v>6</v>
      </c>
      <c r="J775" s="2" t="s">
        <v>67</v>
      </c>
      <c r="K775" s="2">
        <f t="shared" si="85"/>
        <v>1</v>
      </c>
      <c r="M775">
        <f t="shared" si="84"/>
        <v>0</v>
      </c>
      <c r="N775" t="e">
        <f t="shared" si="87"/>
        <v>#N/A</v>
      </c>
      <c r="O775" t="e">
        <f t="shared" si="86"/>
        <v>#N/A</v>
      </c>
      <c r="P775">
        <f>'Nom du personnage'!$U$51</f>
        <v>0</v>
      </c>
    </row>
    <row r="776" spans="8:16" hidden="1">
      <c r="H776" s="2" t="s">
        <v>212</v>
      </c>
      <c r="I776" s="2">
        <v>6</v>
      </c>
      <c r="J776" s="2" t="s">
        <v>67</v>
      </c>
      <c r="K776" s="2">
        <f t="shared" si="85"/>
        <v>1</v>
      </c>
      <c r="M776">
        <f t="shared" si="84"/>
        <v>0</v>
      </c>
      <c r="N776" t="e">
        <f t="shared" si="87"/>
        <v>#N/A</v>
      </c>
      <c r="O776" t="e">
        <f t="shared" si="86"/>
        <v>#N/A</v>
      </c>
      <c r="P776">
        <f>'Nom du personnage'!$U$51</f>
        <v>0</v>
      </c>
    </row>
    <row r="777" spans="8:16" hidden="1">
      <c r="H777" s="2" t="s">
        <v>213</v>
      </c>
      <c r="I777" s="2">
        <v>6</v>
      </c>
      <c r="J777" s="2" t="s">
        <v>67</v>
      </c>
      <c r="K777" s="2">
        <f t="shared" si="85"/>
        <v>1</v>
      </c>
      <c r="M777">
        <f t="shared" si="84"/>
        <v>0</v>
      </c>
      <c r="N777" t="e">
        <f t="shared" si="87"/>
        <v>#N/A</v>
      </c>
      <c r="O777" t="e">
        <f t="shared" si="86"/>
        <v>#N/A</v>
      </c>
      <c r="P777">
        <f>'Nom du personnage'!$U$51</f>
        <v>0</v>
      </c>
    </row>
    <row r="778" spans="8:16" hidden="1">
      <c r="H778" s="2" t="s">
        <v>260</v>
      </c>
      <c r="I778" s="2">
        <v>4</v>
      </c>
      <c r="J778" s="2" t="s">
        <v>67</v>
      </c>
      <c r="K778" s="2">
        <f t="shared" si="85"/>
        <v>1</v>
      </c>
      <c r="M778">
        <f t="shared" si="84"/>
        <v>0</v>
      </c>
      <c r="N778" t="e">
        <f t="shared" si="87"/>
        <v>#N/A</v>
      </c>
      <c r="O778" t="e">
        <f t="shared" si="86"/>
        <v>#N/A</v>
      </c>
      <c r="P778">
        <f>'Nom du personnage'!$U$51</f>
        <v>0</v>
      </c>
    </row>
    <row r="779" spans="8:16" hidden="1">
      <c r="H779" s="2" t="s">
        <v>261</v>
      </c>
      <c r="I779" s="2">
        <v>5</v>
      </c>
      <c r="J779" s="2" t="s">
        <v>67</v>
      </c>
      <c r="K779" s="2">
        <f t="shared" si="85"/>
        <v>1</v>
      </c>
      <c r="M779">
        <f>IF(AND(Religion!$D$29=TRUE,'Nom du personnage'!$F$60&lt;&gt;Données!$N$4,J779='Nom du personnage'!$U$51),Compétences!H779,0)</f>
        <v>0</v>
      </c>
      <c r="N779" t="e">
        <f t="shared" si="87"/>
        <v>#N/A</v>
      </c>
      <c r="O779" t="e">
        <f t="shared" si="86"/>
        <v>#N/A</v>
      </c>
      <c r="P779">
        <f>'Nom du personnage'!$U$51</f>
        <v>0</v>
      </c>
    </row>
    <row r="780" spans="8:16" hidden="1">
      <c r="H780" s="2" t="s">
        <v>232</v>
      </c>
      <c r="I780" s="2">
        <v>5</v>
      </c>
      <c r="J780" s="2" t="s">
        <v>67</v>
      </c>
      <c r="K780" s="2">
        <f t="shared" si="85"/>
        <v>5</v>
      </c>
      <c r="M780">
        <f>IF(AND('Nom du personnage'!$U$51=Compétences!J780,Religion!$D$29=TRUE),Compétences!H780,0)</f>
        <v>0</v>
      </c>
      <c r="N780" t="e">
        <f t="shared" si="87"/>
        <v>#N/A</v>
      </c>
      <c r="O780" t="e">
        <f t="shared" si="86"/>
        <v>#N/A</v>
      </c>
      <c r="P780">
        <f>'Nom du personnage'!$U$51</f>
        <v>0</v>
      </c>
    </row>
    <row r="781" spans="8:16" hidden="1">
      <c r="H781" s="2" t="s">
        <v>233</v>
      </c>
      <c r="I781" s="2">
        <v>6</v>
      </c>
      <c r="J781" s="2" t="s">
        <v>67</v>
      </c>
      <c r="K781" s="2">
        <f t="shared" si="85"/>
        <v>5</v>
      </c>
      <c r="M781">
        <f t="shared" si="84"/>
        <v>0</v>
      </c>
      <c r="N781" t="e">
        <f t="shared" si="87"/>
        <v>#N/A</v>
      </c>
      <c r="O781" t="e">
        <f t="shared" si="86"/>
        <v>#N/A</v>
      </c>
      <c r="P781">
        <f>'Nom du personnage'!$U$51</f>
        <v>0</v>
      </c>
    </row>
    <row r="782" spans="8:16" hidden="1">
      <c r="H782" s="2" t="s">
        <v>241</v>
      </c>
      <c r="I782" s="2">
        <v>6</v>
      </c>
      <c r="J782" s="2" t="s">
        <v>67</v>
      </c>
      <c r="K782" s="2">
        <f t="shared" si="85"/>
        <v>1</v>
      </c>
      <c r="M782">
        <f t="shared" si="84"/>
        <v>0</v>
      </c>
      <c r="N782" t="e">
        <f t="shared" si="87"/>
        <v>#N/A</v>
      </c>
      <c r="O782" t="e">
        <f t="shared" si="86"/>
        <v>#N/A</v>
      </c>
      <c r="P782">
        <f>'Nom du personnage'!$U$51</f>
        <v>0</v>
      </c>
    </row>
    <row r="783" spans="8:16" hidden="1">
      <c r="H783" s="2" t="s">
        <v>242</v>
      </c>
      <c r="I783" s="2">
        <v>6</v>
      </c>
      <c r="J783" s="2" t="s">
        <v>67</v>
      </c>
      <c r="K783" s="2">
        <f t="shared" si="85"/>
        <v>5</v>
      </c>
      <c r="M783">
        <f t="shared" si="84"/>
        <v>0</v>
      </c>
      <c r="N783" t="e">
        <f t="shared" si="87"/>
        <v>#N/A</v>
      </c>
      <c r="O783" t="e">
        <f t="shared" si="86"/>
        <v>#N/A</v>
      </c>
      <c r="P783">
        <f>'Nom du personnage'!$U$51</f>
        <v>0</v>
      </c>
    </row>
    <row r="784" spans="8:16" hidden="1">
      <c r="H784" s="2" t="s">
        <v>243</v>
      </c>
      <c r="I784" s="2">
        <v>5</v>
      </c>
      <c r="J784" s="2" t="s">
        <v>67</v>
      </c>
      <c r="K784" s="2">
        <f t="shared" si="85"/>
        <v>1</v>
      </c>
      <c r="M784">
        <f t="shared" si="84"/>
        <v>0</v>
      </c>
      <c r="N784" t="e">
        <f t="shared" si="87"/>
        <v>#N/A</v>
      </c>
      <c r="O784" t="e">
        <f t="shared" si="86"/>
        <v>#N/A</v>
      </c>
      <c r="P784">
        <f>'Nom du personnage'!$U$51</f>
        <v>0</v>
      </c>
    </row>
    <row r="785" spans="8:16" hidden="1">
      <c r="H785" s="2" t="s">
        <v>244</v>
      </c>
      <c r="I785" s="2">
        <v>5</v>
      </c>
      <c r="J785" s="2" t="s">
        <v>67</v>
      </c>
      <c r="K785" s="2">
        <f t="shared" si="85"/>
        <v>5</v>
      </c>
      <c r="M785" s="2" cm="1">
        <f t="array" ref="M785">IF(AND('Nom du personnage'!$U$51=Compétences!J785,OR('Nom du personnage'!$C$65:$L$85=Compétences!$H$89,'Nom du personnage'!$Q$65:$Z$85=Compétences!$H$89)),H785,0)</f>
        <v>0</v>
      </c>
      <c r="N785" t="e">
        <f t="shared" si="87"/>
        <v>#N/A</v>
      </c>
      <c r="O785" t="e">
        <f t="shared" si="86"/>
        <v>#N/A</v>
      </c>
      <c r="P785">
        <f>'Nom du personnage'!$U$51</f>
        <v>0</v>
      </c>
    </row>
    <row r="786" spans="8:16" hidden="1">
      <c r="H786" s="2" t="s">
        <v>599</v>
      </c>
      <c r="I786">
        <v>10</v>
      </c>
      <c r="J786" s="2" t="s">
        <v>51</v>
      </c>
      <c r="K786" s="2">
        <v>5</v>
      </c>
      <c r="M786">
        <f t="shared" si="84"/>
        <v>0</v>
      </c>
      <c r="N786" t="e">
        <f t="shared" si="87"/>
        <v>#N/A</v>
      </c>
      <c r="O786" t="e">
        <f t="shared" ref="O786:O830" si="88">VLOOKUP(M786,H786:J843,2,FALSE)</f>
        <v>#N/A</v>
      </c>
      <c r="P786">
        <f>'Nom du personnage'!$U$51</f>
        <v>0</v>
      </c>
    </row>
    <row r="787" spans="8:16" hidden="1">
      <c r="H787" t="s">
        <v>556</v>
      </c>
      <c r="I787">
        <v>12</v>
      </c>
      <c r="J787" s="2" t="s">
        <v>51</v>
      </c>
      <c r="K787" s="2">
        <v>5</v>
      </c>
      <c r="M787">
        <f t="shared" si="84"/>
        <v>0</v>
      </c>
      <c r="N787" t="e">
        <f t="shared" si="87"/>
        <v>#N/A</v>
      </c>
      <c r="O787" t="e">
        <f t="shared" si="88"/>
        <v>#N/A</v>
      </c>
      <c r="P787">
        <f>'Nom du personnage'!$U$51</f>
        <v>0</v>
      </c>
    </row>
    <row r="788" spans="8:16" hidden="1">
      <c r="H788" t="s">
        <v>600</v>
      </c>
      <c r="I788">
        <v>11</v>
      </c>
      <c r="J788" s="2" t="s">
        <v>51</v>
      </c>
      <c r="K788" s="2">
        <v>5</v>
      </c>
      <c r="M788">
        <f t="shared" si="84"/>
        <v>0</v>
      </c>
      <c r="N788" t="e">
        <f t="shared" si="87"/>
        <v>#N/A</v>
      </c>
      <c r="O788" t="e">
        <f t="shared" si="88"/>
        <v>#N/A</v>
      </c>
      <c r="P788">
        <f>'Nom du personnage'!$U$51</f>
        <v>0</v>
      </c>
    </row>
    <row r="789" spans="8:16" hidden="1">
      <c r="H789" t="s">
        <v>569</v>
      </c>
      <c r="I789">
        <v>9</v>
      </c>
      <c r="J789" s="2" t="s">
        <v>51</v>
      </c>
      <c r="K789" s="2">
        <v>5</v>
      </c>
      <c r="M789" s="2" cm="1">
        <f t="array" ref="M789">IF(AND('Nom du personnage'!$U$51=Compétences!J789,OR('Nom du personnage'!$C$65:$L$85=Compétences!$M$12,'Nom du personnage'!$Q$65:$Z$85=Compétences!$M$12)),H789,0)</f>
        <v>0</v>
      </c>
      <c r="N789" t="e">
        <f t="shared" si="87"/>
        <v>#N/A</v>
      </c>
      <c r="O789" t="e">
        <f t="shared" si="88"/>
        <v>#N/A</v>
      </c>
      <c r="P789">
        <f>'Nom du personnage'!$U$51</f>
        <v>0</v>
      </c>
    </row>
    <row r="790" spans="8:16" hidden="1">
      <c r="H790" t="s">
        <v>557</v>
      </c>
      <c r="I790">
        <v>12</v>
      </c>
      <c r="J790" s="2" t="s">
        <v>51</v>
      </c>
      <c r="K790" s="2">
        <v>5</v>
      </c>
      <c r="M790" s="2" cm="1">
        <f t="array" ref="M790">IF(AND('Nom du personnage'!U796=Compétences!J790,OR('Nom du personnage'!$C$65:$L$85=Compétences!$M$13,'Nom du personnage'!$Q$65:$Z$85=Compétences!$M$13)),H790,0)</f>
        <v>0</v>
      </c>
      <c r="N790" t="e">
        <f t="shared" si="87"/>
        <v>#N/A</v>
      </c>
      <c r="O790" t="e">
        <f t="shared" si="88"/>
        <v>#N/A</v>
      </c>
      <c r="P790">
        <f>'Nom du personnage'!$U$51</f>
        <v>0</v>
      </c>
    </row>
    <row r="791" spans="8:16" hidden="1">
      <c r="H791" t="s">
        <v>558</v>
      </c>
      <c r="I791">
        <v>12</v>
      </c>
      <c r="J791" s="2" t="s">
        <v>51</v>
      </c>
      <c r="K791" s="2">
        <v>5</v>
      </c>
      <c r="M791">
        <f t="shared" si="84"/>
        <v>0</v>
      </c>
      <c r="N791" t="e">
        <f t="shared" si="87"/>
        <v>#N/A</v>
      </c>
      <c r="O791" t="e">
        <f t="shared" si="88"/>
        <v>#N/A</v>
      </c>
      <c r="P791">
        <f>'Nom du personnage'!$U$51</f>
        <v>0</v>
      </c>
    </row>
    <row r="792" spans="8:16" hidden="1">
      <c r="H792" t="s">
        <v>560</v>
      </c>
      <c r="I792">
        <v>12</v>
      </c>
      <c r="J792" s="2" t="s">
        <v>51</v>
      </c>
      <c r="K792" s="2">
        <v>5</v>
      </c>
      <c r="M792">
        <f t="shared" si="84"/>
        <v>0</v>
      </c>
      <c r="N792" t="e">
        <f t="shared" si="87"/>
        <v>#N/A</v>
      </c>
      <c r="O792" t="e">
        <f t="shared" si="88"/>
        <v>#N/A</v>
      </c>
      <c r="P792">
        <f>'Nom du personnage'!$U$51</f>
        <v>0</v>
      </c>
    </row>
    <row r="793" spans="8:16" hidden="1">
      <c r="H793" t="s">
        <v>561</v>
      </c>
      <c r="I793">
        <v>11</v>
      </c>
      <c r="J793" s="2" t="s">
        <v>51</v>
      </c>
      <c r="K793" s="2">
        <v>5</v>
      </c>
      <c r="M793">
        <f t="shared" si="84"/>
        <v>0</v>
      </c>
      <c r="N793" t="e">
        <f t="shared" si="87"/>
        <v>#N/A</v>
      </c>
      <c r="O793" t="e">
        <f t="shared" si="88"/>
        <v>#N/A</v>
      </c>
      <c r="P793">
        <f>'Nom du personnage'!$U$51</f>
        <v>0</v>
      </c>
    </row>
    <row r="794" spans="8:16" hidden="1">
      <c r="H794" t="s">
        <v>562</v>
      </c>
      <c r="I794">
        <v>12</v>
      </c>
      <c r="J794" s="2" t="s">
        <v>51</v>
      </c>
      <c r="K794" s="2">
        <v>5</v>
      </c>
      <c r="M794" s="2" cm="1">
        <f t="array" ref="M794">IF(AND('Nom du personnage'!U666=Compétences!J794,OR('Nom du personnage'!$C$65:$L$85=Compétences!$H$48,'Nom du personnage'!$Q$65:$Z$85=Compétences!$H$48)),H794,0)</f>
        <v>0</v>
      </c>
      <c r="N794" t="e">
        <f t="shared" si="87"/>
        <v>#N/A</v>
      </c>
      <c r="O794" t="e">
        <f t="shared" si="88"/>
        <v>#N/A</v>
      </c>
      <c r="P794">
        <f>'Nom du personnage'!$U$51</f>
        <v>0</v>
      </c>
    </row>
    <row r="795" spans="8:16" hidden="1">
      <c r="H795" t="s">
        <v>574</v>
      </c>
      <c r="I795">
        <v>11</v>
      </c>
      <c r="J795" s="2" t="s">
        <v>51</v>
      </c>
      <c r="K795" s="2">
        <v>5</v>
      </c>
      <c r="M795">
        <f>IF(AND('Nom du personnage'!$U$51=Compétences!J795,Religion!$D$29=TRUE),Compétences!H795,0)</f>
        <v>0</v>
      </c>
      <c r="N795" t="e">
        <f t="shared" si="87"/>
        <v>#N/A</v>
      </c>
      <c r="O795" t="e">
        <f t="shared" si="88"/>
        <v>#N/A</v>
      </c>
      <c r="P795">
        <f>'Nom du personnage'!$U$51</f>
        <v>0</v>
      </c>
    </row>
    <row r="796" spans="8:16" hidden="1">
      <c r="H796" t="s">
        <v>591</v>
      </c>
      <c r="I796">
        <v>11</v>
      </c>
      <c r="J796" s="2" t="s">
        <v>51</v>
      </c>
      <c r="K796" s="2">
        <v>5</v>
      </c>
      <c r="M796">
        <f>IF('Nom du personnage'!$U$51=Compétences!J796,'Contact marchand'!G3,0)</f>
        <v>0</v>
      </c>
      <c r="N796" t="e">
        <f t="shared" si="87"/>
        <v>#N/A</v>
      </c>
      <c r="O796" t="e">
        <f t="shared" si="88"/>
        <v>#N/A</v>
      </c>
      <c r="P796">
        <f>'Nom du personnage'!$U$51</f>
        <v>0</v>
      </c>
    </row>
    <row r="797" spans="8:16" hidden="1">
      <c r="H797" t="s">
        <v>595</v>
      </c>
      <c r="I797">
        <v>16</v>
      </c>
      <c r="J797" s="2" t="s">
        <v>51</v>
      </c>
      <c r="K797" s="2">
        <v>5</v>
      </c>
      <c r="M797">
        <f>IF('Nom du personnage'!$U$51=Compétences!J797,'Contact marchand'!G4,0)</f>
        <v>0</v>
      </c>
      <c r="N797" t="e">
        <f t="shared" si="87"/>
        <v>#N/A</v>
      </c>
      <c r="O797" t="e">
        <f t="shared" si="88"/>
        <v>#N/A</v>
      </c>
      <c r="P797">
        <f>'Nom du personnage'!$U$51</f>
        <v>0</v>
      </c>
    </row>
    <row r="798" spans="8:16" hidden="1">
      <c r="H798" t="s">
        <v>590</v>
      </c>
      <c r="I798">
        <v>11</v>
      </c>
      <c r="J798" s="2" t="s">
        <v>51</v>
      </c>
      <c r="K798" s="2">
        <v>5</v>
      </c>
      <c r="M798">
        <f>IF('Nom du personnage'!$U$51=Compétences!J798,'Contact marchand'!G5,0)</f>
        <v>0</v>
      </c>
      <c r="N798" t="e">
        <f t="shared" si="87"/>
        <v>#N/A</v>
      </c>
      <c r="O798" t="e">
        <f t="shared" si="88"/>
        <v>#N/A</v>
      </c>
      <c r="P798">
        <f>'Nom du personnage'!$U$51</f>
        <v>0</v>
      </c>
    </row>
    <row r="799" spans="8:16" hidden="1">
      <c r="H799" t="s">
        <v>592</v>
      </c>
      <c r="I799">
        <v>11</v>
      </c>
      <c r="J799" s="2" t="s">
        <v>51</v>
      </c>
      <c r="K799" s="2">
        <v>5</v>
      </c>
      <c r="M799">
        <f>IF('Nom du personnage'!$U$51=Compétences!J799,'Contact marchand'!G6,0)</f>
        <v>0</v>
      </c>
      <c r="N799" t="e">
        <f t="shared" ref="N799:N830" si="89">VLOOKUP(M799,H799:J856,2,FALSE)</f>
        <v>#N/A</v>
      </c>
      <c r="O799" t="e">
        <f t="shared" si="88"/>
        <v>#N/A</v>
      </c>
      <c r="P799">
        <f>'Nom du personnage'!$U$51</f>
        <v>0</v>
      </c>
    </row>
    <row r="800" spans="8:16" hidden="1">
      <c r="H800" t="s">
        <v>589</v>
      </c>
      <c r="I800">
        <v>11</v>
      </c>
      <c r="J800" s="2" t="s">
        <v>51</v>
      </c>
      <c r="K800" s="2">
        <v>5</v>
      </c>
      <c r="M800">
        <f>IF('Nom du personnage'!$U$51=Compétences!J800,'Contact marchand'!G7,0)</f>
        <v>0</v>
      </c>
      <c r="N800" t="e">
        <f t="shared" si="89"/>
        <v>#N/A</v>
      </c>
      <c r="O800" t="e">
        <f t="shared" si="88"/>
        <v>#N/A</v>
      </c>
      <c r="P800">
        <f>'Nom du personnage'!$U$51</f>
        <v>0</v>
      </c>
    </row>
    <row r="801" spans="8:16" hidden="1">
      <c r="H801" t="s">
        <v>593</v>
      </c>
      <c r="I801">
        <v>12</v>
      </c>
      <c r="J801" s="2" t="s">
        <v>51</v>
      </c>
      <c r="K801" s="2">
        <v>5</v>
      </c>
      <c r="M801">
        <f>IF('Nom du personnage'!$U$51=Compétences!J801,'Contact marchand'!G8,0)</f>
        <v>0</v>
      </c>
      <c r="N801" t="e">
        <f t="shared" si="89"/>
        <v>#N/A</v>
      </c>
      <c r="O801" t="e">
        <f t="shared" si="88"/>
        <v>#N/A</v>
      </c>
      <c r="P801">
        <f>'Nom du personnage'!$U$51</f>
        <v>0</v>
      </c>
    </row>
    <row r="802" spans="8:16" hidden="1">
      <c r="H802" t="s">
        <v>594</v>
      </c>
      <c r="I802">
        <v>16</v>
      </c>
      <c r="J802" s="2" t="s">
        <v>51</v>
      </c>
      <c r="K802" s="2">
        <v>5</v>
      </c>
      <c r="M802">
        <f>IF('Nom du personnage'!$U$51=Compétences!J802,'Contact marchand'!G9,0)</f>
        <v>0</v>
      </c>
      <c r="N802" t="e">
        <f t="shared" si="89"/>
        <v>#N/A</v>
      </c>
      <c r="O802" t="e">
        <f t="shared" si="88"/>
        <v>#N/A</v>
      </c>
      <c r="P802">
        <f>'Nom du personnage'!$U$51</f>
        <v>0</v>
      </c>
    </row>
    <row r="803" spans="8:16" hidden="1">
      <c r="H803" t="s">
        <v>570</v>
      </c>
      <c r="I803">
        <v>10</v>
      </c>
      <c r="J803" s="2" t="s">
        <v>51</v>
      </c>
      <c r="K803" s="2">
        <v>5</v>
      </c>
      <c r="M803">
        <f t="shared" si="84"/>
        <v>0</v>
      </c>
      <c r="N803" t="e">
        <f t="shared" si="89"/>
        <v>#N/A</v>
      </c>
      <c r="O803" t="e">
        <f t="shared" si="88"/>
        <v>#N/A</v>
      </c>
      <c r="P803">
        <f>'Nom du personnage'!$U$51</f>
        <v>0</v>
      </c>
    </row>
    <row r="804" spans="8:16" hidden="1">
      <c r="H804" t="s">
        <v>563</v>
      </c>
      <c r="I804">
        <v>10</v>
      </c>
      <c r="J804" s="2" t="s">
        <v>51</v>
      </c>
      <c r="K804" s="2">
        <v>5</v>
      </c>
      <c r="M804">
        <f t="shared" si="84"/>
        <v>0</v>
      </c>
      <c r="N804" t="e">
        <f t="shared" si="89"/>
        <v>#N/A</v>
      </c>
      <c r="O804" t="e">
        <f t="shared" si="88"/>
        <v>#N/A</v>
      </c>
      <c r="P804">
        <f>'Nom du personnage'!$U$51</f>
        <v>0</v>
      </c>
    </row>
    <row r="805" spans="8:16" hidden="1">
      <c r="H805" t="s">
        <v>564</v>
      </c>
      <c r="I805">
        <v>11</v>
      </c>
      <c r="J805" s="2" t="s">
        <v>51</v>
      </c>
      <c r="K805" s="2">
        <v>5</v>
      </c>
      <c r="M805" s="2" cm="1">
        <f t="array" ref="M805">IF(AND('Nom du personnage'!U805=Compétences!J805,OR('Nom du personnage'!$C$65:$L$85=Compétences!$H$50,'Nom du personnage'!$Q$65:$Z$85=Compétences!$H$50)),H805,0)</f>
        <v>0</v>
      </c>
      <c r="N805" t="e">
        <f t="shared" si="89"/>
        <v>#N/A</v>
      </c>
      <c r="O805" t="e">
        <f t="shared" si="88"/>
        <v>#N/A</v>
      </c>
      <c r="P805">
        <f>'Nom du personnage'!$U$51</f>
        <v>0</v>
      </c>
    </row>
    <row r="806" spans="8:16" hidden="1">
      <c r="H806" t="s">
        <v>571</v>
      </c>
      <c r="I806">
        <v>12</v>
      </c>
      <c r="J806" s="2" t="s">
        <v>51</v>
      </c>
      <c r="K806" s="2">
        <v>5</v>
      </c>
      <c r="M806">
        <f t="shared" si="84"/>
        <v>0</v>
      </c>
      <c r="N806" t="e">
        <f t="shared" si="89"/>
        <v>#N/A</v>
      </c>
      <c r="O806" t="e">
        <f t="shared" si="88"/>
        <v>#N/A</v>
      </c>
      <c r="P806">
        <f>'Nom du personnage'!$U$51</f>
        <v>0</v>
      </c>
    </row>
    <row r="807" spans="8:16" hidden="1">
      <c r="H807" t="s">
        <v>601</v>
      </c>
      <c r="I807">
        <v>11</v>
      </c>
      <c r="J807" s="2" t="s">
        <v>51</v>
      </c>
      <c r="K807" s="2">
        <v>5</v>
      </c>
      <c r="M807">
        <f t="shared" ref="M807:M870" si="90">IF(P807=J807,H807,)</f>
        <v>0</v>
      </c>
      <c r="N807" t="e">
        <f t="shared" si="89"/>
        <v>#N/A</v>
      </c>
      <c r="O807" t="e">
        <f t="shared" si="88"/>
        <v>#N/A</v>
      </c>
      <c r="P807">
        <f>'Nom du personnage'!$U$51</f>
        <v>0</v>
      </c>
    </row>
    <row r="808" spans="8:16">
      <c r="H808" t="s">
        <v>565</v>
      </c>
      <c r="I808">
        <v>9</v>
      </c>
      <c r="J808" s="2" t="s">
        <v>51</v>
      </c>
      <c r="K808" s="2">
        <v>5</v>
      </c>
      <c r="M808" s="2" cm="1">
        <f t="array" ref="M808">IF(AND('Nom du personnage'!$U$51=Compétences!J808,OR('Nom du personnage'!$C$65:$L$85=Compétences!$M$18,'Nom du personnage'!$Q$65:$Z$85=Compétences!$M$18)),H808,0)</f>
        <v>0</v>
      </c>
      <c r="N808" t="e">
        <f t="shared" si="89"/>
        <v>#N/A</v>
      </c>
      <c r="O808" t="e">
        <f t="shared" si="88"/>
        <v>#N/A</v>
      </c>
      <c r="P808">
        <f>'Nom du personnage'!$U$51</f>
        <v>0</v>
      </c>
    </row>
    <row r="809" spans="8:16" hidden="1">
      <c r="H809" t="s">
        <v>575</v>
      </c>
      <c r="I809">
        <v>12</v>
      </c>
      <c r="J809" s="2" t="s">
        <v>51</v>
      </c>
      <c r="K809" s="2">
        <v>5</v>
      </c>
      <c r="M809">
        <f t="shared" si="90"/>
        <v>0</v>
      </c>
      <c r="N809" t="e">
        <f t="shared" si="89"/>
        <v>#N/A</v>
      </c>
      <c r="O809" t="e">
        <f t="shared" si="88"/>
        <v>#N/A</v>
      </c>
      <c r="P809">
        <f>'Nom du personnage'!$U$51</f>
        <v>0</v>
      </c>
    </row>
    <row r="810" spans="8:16" hidden="1">
      <c r="H810" t="s">
        <v>596</v>
      </c>
      <c r="I810">
        <v>11</v>
      </c>
      <c r="J810" s="2" t="s">
        <v>51</v>
      </c>
      <c r="K810" s="2">
        <v>5</v>
      </c>
      <c r="M810">
        <f>IF(AND(J810='Nom du personnage'!$U$51,Concoction!$F$45=TRUE),Compétences!H810,0)</f>
        <v>0</v>
      </c>
      <c r="N810" t="e">
        <f t="shared" si="89"/>
        <v>#N/A</v>
      </c>
      <c r="O810" t="e">
        <f t="shared" si="88"/>
        <v>#N/A</v>
      </c>
      <c r="P810">
        <f>'Nom du personnage'!$U$51</f>
        <v>0</v>
      </c>
    </row>
    <row r="811" spans="8:16" hidden="1">
      <c r="H811" t="s">
        <v>576</v>
      </c>
      <c r="I811">
        <v>12</v>
      </c>
      <c r="J811" s="2" t="s">
        <v>51</v>
      </c>
      <c r="K811" s="2">
        <v>5</v>
      </c>
      <c r="M811">
        <f t="shared" si="90"/>
        <v>0</v>
      </c>
      <c r="N811" t="e">
        <f t="shared" si="89"/>
        <v>#N/A</v>
      </c>
      <c r="O811" t="e">
        <f t="shared" si="88"/>
        <v>#N/A</v>
      </c>
      <c r="P811">
        <f>'Nom du personnage'!$U$51</f>
        <v>0</v>
      </c>
    </row>
    <row r="812" spans="8:16" hidden="1">
      <c r="H812" t="s">
        <v>577</v>
      </c>
      <c r="I812">
        <v>12</v>
      </c>
      <c r="J812" s="2" t="s">
        <v>51</v>
      </c>
      <c r="K812" s="2">
        <v>5</v>
      </c>
      <c r="M812">
        <f>IF(AND('Nom du personnage'!$U$51=Compétences!J812,Religion!$D$29),Compétences!H812,0)</f>
        <v>0</v>
      </c>
      <c r="N812" t="e">
        <f t="shared" si="89"/>
        <v>#N/A</v>
      </c>
      <c r="O812" t="e">
        <f t="shared" si="88"/>
        <v>#N/A</v>
      </c>
      <c r="P812">
        <f>'Nom du personnage'!$U$51</f>
        <v>0</v>
      </c>
    </row>
    <row r="813" spans="8:16" hidden="1">
      <c r="H813" t="s">
        <v>572</v>
      </c>
      <c r="I813">
        <v>13</v>
      </c>
      <c r="J813" s="2" t="s">
        <v>51</v>
      </c>
      <c r="K813" s="2">
        <v>5</v>
      </c>
      <c r="M813">
        <f t="shared" si="90"/>
        <v>0</v>
      </c>
      <c r="N813" t="e">
        <f t="shared" si="89"/>
        <v>#N/A</v>
      </c>
      <c r="O813" t="e">
        <f t="shared" si="88"/>
        <v>#N/A</v>
      </c>
      <c r="P813">
        <f>'Nom du personnage'!$U$51</f>
        <v>0</v>
      </c>
    </row>
    <row r="814" spans="8:16" hidden="1">
      <c r="H814" t="s">
        <v>597</v>
      </c>
      <c r="I814">
        <v>12</v>
      </c>
      <c r="J814" s="2" t="s">
        <v>51</v>
      </c>
      <c r="K814" s="2">
        <v>5</v>
      </c>
      <c r="M814" s="2" cm="1">
        <f t="array" ref="M814">IF(AND(J814='Nom du personnage'!$U$51,OR('Nom du personnage'!$C$65:$L$85=Compétences!$H$19,'Nom du personnage'!$Q$65:$Z$85=Compétences!$H$19)),H814,0)</f>
        <v>0</v>
      </c>
      <c r="N814" t="e">
        <f t="shared" si="89"/>
        <v>#N/A</v>
      </c>
      <c r="O814" t="e">
        <f t="shared" si="88"/>
        <v>#N/A</v>
      </c>
      <c r="P814">
        <f>'Nom du personnage'!$U$51</f>
        <v>0</v>
      </c>
    </row>
    <row r="815" spans="8:16" hidden="1">
      <c r="H815" t="s">
        <v>578</v>
      </c>
      <c r="I815">
        <v>9</v>
      </c>
      <c r="J815" s="2" t="s">
        <v>51</v>
      </c>
      <c r="K815" s="2">
        <v>5</v>
      </c>
      <c r="M815">
        <f t="shared" si="90"/>
        <v>0</v>
      </c>
      <c r="N815" t="e">
        <f t="shared" si="89"/>
        <v>#N/A</v>
      </c>
      <c r="O815" t="e">
        <f t="shared" si="88"/>
        <v>#N/A</v>
      </c>
      <c r="P815">
        <f>'Nom du personnage'!$U$51</f>
        <v>0</v>
      </c>
    </row>
    <row r="816" spans="8:16" hidden="1">
      <c r="H816" t="s">
        <v>579</v>
      </c>
      <c r="I816">
        <v>11</v>
      </c>
      <c r="J816" s="2" t="s">
        <v>51</v>
      </c>
      <c r="K816" s="2">
        <v>5</v>
      </c>
      <c r="M816">
        <f t="shared" si="90"/>
        <v>0</v>
      </c>
      <c r="N816" t="e">
        <f t="shared" si="89"/>
        <v>#N/A</v>
      </c>
      <c r="O816" t="e">
        <f t="shared" si="88"/>
        <v>#N/A</v>
      </c>
      <c r="P816">
        <f>'Nom du personnage'!$U$51</f>
        <v>0</v>
      </c>
    </row>
    <row r="817" spans="8:16" hidden="1">
      <c r="H817" t="s">
        <v>566</v>
      </c>
      <c r="I817">
        <v>12</v>
      </c>
      <c r="J817" s="2" t="s">
        <v>51</v>
      </c>
      <c r="K817" s="2">
        <v>5</v>
      </c>
      <c r="M817">
        <f t="shared" si="90"/>
        <v>0</v>
      </c>
      <c r="N817" t="e">
        <f t="shared" si="89"/>
        <v>#N/A</v>
      </c>
      <c r="O817" t="e">
        <f t="shared" si="88"/>
        <v>#N/A</v>
      </c>
      <c r="P817">
        <f>'Nom du personnage'!$U$51</f>
        <v>0</v>
      </c>
    </row>
    <row r="818" spans="8:16" hidden="1">
      <c r="H818" t="s">
        <v>567</v>
      </c>
      <c r="I818">
        <v>10</v>
      </c>
      <c r="J818" s="2" t="s">
        <v>51</v>
      </c>
      <c r="K818" s="2">
        <v>5</v>
      </c>
      <c r="M818">
        <f t="shared" si="90"/>
        <v>0</v>
      </c>
      <c r="N818" t="e">
        <f t="shared" si="89"/>
        <v>#N/A</v>
      </c>
      <c r="O818" t="e">
        <f t="shared" si="88"/>
        <v>#N/A</v>
      </c>
      <c r="P818">
        <f>'Nom du personnage'!$U$51</f>
        <v>0</v>
      </c>
    </row>
    <row r="819" spans="8:16" hidden="1">
      <c r="H819" t="s">
        <v>573</v>
      </c>
      <c r="I819">
        <v>12</v>
      </c>
      <c r="J819" s="2" t="s">
        <v>51</v>
      </c>
      <c r="K819" s="2">
        <v>5</v>
      </c>
      <c r="M819">
        <f t="shared" si="90"/>
        <v>0</v>
      </c>
      <c r="N819" t="e">
        <f t="shared" si="89"/>
        <v>#N/A</v>
      </c>
      <c r="O819" t="e">
        <f t="shared" si="88"/>
        <v>#N/A</v>
      </c>
      <c r="P819">
        <f>'Nom du personnage'!$U$51</f>
        <v>0</v>
      </c>
    </row>
    <row r="820" spans="8:16" hidden="1">
      <c r="H820" t="s">
        <v>580</v>
      </c>
      <c r="I820">
        <v>9</v>
      </c>
      <c r="J820" s="2" t="s">
        <v>51</v>
      </c>
      <c r="K820" s="2">
        <v>5</v>
      </c>
      <c r="M820">
        <f t="shared" si="90"/>
        <v>0</v>
      </c>
      <c r="N820" t="e">
        <f t="shared" si="89"/>
        <v>#N/A</v>
      </c>
      <c r="O820" t="e">
        <f t="shared" si="88"/>
        <v>#N/A</v>
      </c>
      <c r="P820">
        <f>'Nom du personnage'!$U$51</f>
        <v>0</v>
      </c>
    </row>
    <row r="821" spans="8:16" hidden="1">
      <c r="H821" t="s">
        <v>588</v>
      </c>
      <c r="I821">
        <v>12</v>
      </c>
      <c r="J821" s="2" t="s">
        <v>51</v>
      </c>
      <c r="K821" s="2">
        <v>5</v>
      </c>
      <c r="M821" s="2" cm="1">
        <f t="array" ref="M821">IF(AND('Nom du personnage'!$U$51=Compétences!J821,OR('Nom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personnage'!$Q$65:$Z$85=Compétences!$H$1052)),H821,0)</f>
        <v>0</v>
      </c>
      <c r="N821" t="e">
        <f t="shared" si="89"/>
        <v>#N/A</v>
      </c>
      <c r="O821" t="e">
        <f t="shared" si="88"/>
        <v>#N/A</v>
      </c>
      <c r="P821">
        <f>'Nom du personnage'!$U$51</f>
        <v>0</v>
      </c>
    </row>
    <row r="822" spans="8:16" hidden="1">
      <c r="H822" t="s">
        <v>581</v>
      </c>
      <c r="I822">
        <v>11</v>
      </c>
      <c r="J822" s="2" t="s">
        <v>51</v>
      </c>
      <c r="K822" s="2">
        <v>5</v>
      </c>
      <c r="M822">
        <f t="shared" si="90"/>
        <v>0</v>
      </c>
      <c r="N822" t="e">
        <f t="shared" si="89"/>
        <v>#N/A</v>
      </c>
      <c r="O822" t="e">
        <f t="shared" si="88"/>
        <v>#N/A</v>
      </c>
      <c r="P822">
        <f>'Nom du personnage'!$U$51</f>
        <v>0</v>
      </c>
    </row>
    <row r="823" spans="8:16" hidden="1">
      <c r="H823" t="s">
        <v>582</v>
      </c>
      <c r="I823">
        <v>12</v>
      </c>
      <c r="J823" s="2" t="s">
        <v>51</v>
      </c>
      <c r="K823" s="2">
        <v>5</v>
      </c>
      <c r="M823">
        <f t="shared" si="90"/>
        <v>0</v>
      </c>
      <c r="N823" t="e">
        <f t="shared" si="89"/>
        <v>#N/A</v>
      </c>
      <c r="O823" t="e">
        <f t="shared" si="88"/>
        <v>#N/A</v>
      </c>
      <c r="P823">
        <f>'Nom du personnage'!$U$51</f>
        <v>0</v>
      </c>
    </row>
    <row r="824" spans="8:16" hidden="1">
      <c r="H824" t="s">
        <v>583</v>
      </c>
      <c r="I824">
        <v>12</v>
      </c>
      <c r="J824" s="2" t="s">
        <v>51</v>
      </c>
      <c r="K824" s="2">
        <v>5</v>
      </c>
      <c r="M824">
        <f t="shared" si="90"/>
        <v>0</v>
      </c>
      <c r="N824" t="e">
        <f t="shared" si="89"/>
        <v>#N/A</v>
      </c>
      <c r="O824" t="e">
        <f t="shared" si="88"/>
        <v>#N/A</v>
      </c>
      <c r="P824">
        <f>'Nom du personnage'!$U$51</f>
        <v>0</v>
      </c>
    </row>
    <row r="825" spans="8:16" hidden="1">
      <c r="H825" t="s">
        <v>568</v>
      </c>
      <c r="I825">
        <v>12</v>
      </c>
      <c r="J825" s="2" t="s">
        <v>51</v>
      </c>
      <c r="K825" s="2">
        <v>5</v>
      </c>
      <c r="M825">
        <f t="shared" si="90"/>
        <v>0</v>
      </c>
      <c r="N825" t="e">
        <f t="shared" si="89"/>
        <v>#N/A</v>
      </c>
      <c r="O825" t="e">
        <f t="shared" si="88"/>
        <v>#N/A</v>
      </c>
      <c r="P825">
        <f>'Nom du personnage'!$U$51</f>
        <v>0</v>
      </c>
    </row>
    <row r="826" spans="8:16" hidden="1">
      <c r="H826" t="s">
        <v>584</v>
      </c>
      <c r="I826">
        <v>12</v>
      </c>
      <c r="J826" s="2" t="s">
        <v>51</v>
      </c>
      <c r="K826" s="2">
        <v>5</v>
      </c>
      <c r="M826">
        <f t="shared" si="90"/>
        <v>0</v>
      </c>
      <c r="N826" t="e">
        <f t="shared" si="89"/>
        <v>#N/A</v>
      </c>
      <c r="O826" t="e">
        <f t="shared" si="88"/>
        <v>#N/A</v>
      </c>
      <c r="P826">
        <f>'Nom du personnage'!$U$51</f>
        <v>0</v>
      </c>
    </row>
    <row r="827" spans="8:16" hidden="1">
      <c r="H827" t="s">
        <v>598</v>
      </c>
      <c r="I827">
        <v>11</v>
      </c>
      <c r="J827" s="2" t="s">
        <v>51</v>
      </c>
      <c r="K827" s="2">
        <v>5</v>
      </c>
      <c r="M827" s="2" cm="1">
        <f t="array" ref="M827">IF(AND(J827='Nom du personnage'!$U$51,OR('Nom du personnage'!$C$65:$L$85=Compétences!$H$19,'Nom du personnage'!$Q$65:$Z$85=Compétences!$H$19)),H827,0)</f>
        <v>0</v>
      </c>
      <c r="N827" t="e">
        <f t="shared" si="89"/>
        <v>#N/A</v>
      </c>
      <c r="O827" t="e">
        <f t="shared" si="88"/>
        <v>#N/A</v>
      </c>
      <c r="P827">
        <f>'Nom du personnage'!$U$51</f>
        <v>0</v>
      </c>
    </row>
    <row r="828" spans="8:16" hidden="1">
      <c r="H828" t="s">
        <v>585</v>
      </c>
      <c r="I828">
        <v>11</v>
      </c>
      <c r="J828" s="2" t="s">
        <v>51</v>
      </c>
      <c r="K828" s="2">
        <v>5</v>
      </c>
      <c r="M828">
        <f t="shared" si="90"/>
        <v>0</v>
      </c>
      <c r="N828" t="e">
        <f t="shared" si="89"/>
        <v>#N/A</v>
      </c>
      <c r="O828" t="e">
        <f t="shared" si="88"/>
        <v>#N/A</v>
      </c>
      <c r="P828">
        <f>'Nom du personnage'!$U$51</f>
        <v>0</v>
      </c>
    </row>
    <row r="829" spans="8:16" hidden="1">
      <c r="H829" t="s">
        <v>586</v>
      </c>
      <c r="I829">
        <v>11</v>
      </c>
      <c r="J829" s="2" t="s">
        <v>51</v>
      </c>
      <c r="K829" s="2">
        <v>5</v>
      </c>
      <c r="M829" s="2" cm="1">
        <f t="array" ref="M829">IF(AND('Nom du personnage'!$U$51=Compétences!J829,OR('Nom du personnage'!$C$65:$L$85=Compétences!$H$89,'Nom du personnage'!$Q$65:$Z$85=Compétences!$H$89)),H829,0)</f>
        <v>0</v>
      </c>
      <c r="N829" t="e">
        <f t="shared" si="89"/>
        <v>#N/A</v>
      </c>
      <c r="O829" t="e">
        <f t="shared" si="88"/>
        <v>#N/A</v>
      </c>
      <c r="P829">
        <f>'Nom du personnage'!$U$51</f>
        <v>0</v>
      </c>
    </row>
    <row r="830" spans="8:16" hidden="1">
      <c r="H830" t="s">
        <v>587</v>
      </c>
      <c r="I830">
        <v>8</v>
      </c>
      <c r="J830" s="2" t="s">
        <v>51</v>
      </c>
      <c r="K830" s="2">
        <v>5</v>
      </c>
      <c r="M830">
        <f t="shared" si="90"/>
        <v>0</v>
      </c>
      <c r="N830" t="e">
        <f t="shared" si="89"/>
        <v>#N/A</v>
      </c>
      <c r="O830" t="e">
        <f t="shared" si="88"/>
        <v>#N/A</v>
      </c>
      <c r="P830">
        <f>'Nom du personnage'!$U$51</f>
        <v>0</v>
      </c>
    </row>
    <row r="831" spans="8:16" hidden="1">
      <c r="H831" t="s">
        <v>599</v>
      </c>
      <c r="I831">
        <v>10</v>
      </c>
      <c r="J831" s="2" t="s">
        <v>59</v>
      </c>
      <c r="K831" s="2">
        <v>5</v>
      </c>
      <c r="M831">
        <f t="shared" si="90"/>
        <v>0</v>
      </c>
      <c r="N831" t="e">
        <f t="shared" ref="N831:N843" si="91">VLOOKUP(M831,H831:J888,2,FALSE)</f>
        <v>#N/A</v>
      </c>
      <c r="O831" t="e">
        <f t="shared" ref="O831:O843" si="92">VLOOKUP(M831,H831:J888,2,FALSE)+1</f>
        <v>#N/A</v>
      </c>
      <c r="P831">
        <f>'Nom du personnage'!$U$51</f>
        <v>0</v>
      </c>
    </row>
    <row r="832" spans="8:16" hidden="1">
      <c r="H832" t="s">
        <v>556</v>
      </c>
      <c r="I832">
        <v>12</v>
      </c>
      <c r="J832" s="2" t="s">
        <v>59</v>
      </c>
      <c r="K832" s="2">
        <v>5</v>
      </c>
      <c r="M832">
        <f t="shared" si="90"/>
        <v>0</v>
      </c>
      <c r="N832" t="e">
        <f t="shared" si="91"/>
        <v>#N/A</v>
      </c>
      <c r="O832" t="e">
        <f t="shared" si="92"/>
        <v>#N/A</v>
      </c>
      <c r="P832">
        <f>'Nom du personnage'!$U$51</f>
        <v>0</v>
      </c>
    </row>
    <row r="833" spans="8:16" hidden="1">
      <c r="H833" t="s">
        <v>600</v>
      </c>
      <c r="I833">
        <v>11</v>
      </c>
      <c r="J833" s="2" t="s">
        <v>59</v>
      </c>
      <c r="K833" s="2">
        <v>5</v>
      </c>
      <c r="M833">
        <f t="shared" si="90"/>
        <v>0</v>
      </c>
      <c r="N833" t="e">
        <f t="shared" si="91"/>
        <v>#N/A</v>
      </c>
      <c r="O833" t="e">
        <f t="shared" si="92"/>
        <v>#N/A</v>
      </c>
      <c r="P833">
        <f>'Nom du personnage'!$U$51</f>
        <v>0</v>
      </c>
    </row>
    <row r="834" spans="8:16" hidden="1">
      <c r="H834" t="s">
        <v>560</v>
      </c>
      <c r="I834">
        <v>12</v>
      </c>
      <c r="J834" s="2" t="s">
        <v>59</v>
      </c>
      <c r="K834" s="2">
        <v>5</v>
      </c>
      <c r="M834">
        <f t="shared" si="90"/>
        <v>0</v>
      </c>
      <c r="N834" t="e">
        <f t="shared" si="91"/>
        <v>#N/A</v>
      </c>
      <c r="O834" t="e">
        <f t="shared" si="92"/>
        <v>#N/A</v>
      </c>
      <c r="P834">
        <f>'Nom du personnage'!$U$51</f>
        <v>0</v>
      </c>
    </row>
    <row r="835" spans="8:16" hidden="1">
      <c r="H835" t="s">
        <v>574</v>
      </c>
      <c r="I835">
        <v>11</v>
      </c>
      <c r="J835" s="2" t="s">
        <v>59</v>
      </c>
      <c r="K835" s="2">
        <v>5</v>
      </c>
      <c r="M835">
        <f>IF(AND('Nom du personnage'!$U$51=Compétences!J835,Religion!$D$29=TRUE),Compétences!H835,0)</f>
        <v>0</v>
      </c>
      <c r="N835" t="e">
        <f t="shared" si="91"/>
        <v>#N/A</v>
      </c>
      <c r="O835" t="e">
        <f t="shared" si="92"/>
        <v>#N/A</v>
      </c>
      <c r="P835">
        <f>'Nom du personnage'!$U$51</f>
        <v>0</v>
      </c>
    </row>
    <row r="836" spans="8:16" hidden="1">
      <c r="H836" t="s">
        <v>591</v>
      </c>
      <c r="I836">
        <v>11</v>
      </c>
      <c r="J836" s="2" t="s">
        <v>59</v>
      </c>
      <c r="K836" s="2">
        <v>5</v>
      </c>
      <c r="M836">
        <f>IF('Nom du personnage'!$U$51=Compétences!J836,'Contact marchand'!G3,0)</f>
        <v>0</v>
      </c>
      <c r="N836" t="e">
        <f t="shared" si="91"/>
        <v>#N/A</v>
      </c>
      <c r="O836" t="e">
        <f t="shared" si="92"/>
        <v>#N/A</v>
      </c>
      <c r="P836">
        <f>'Nom du personnage'!$U$51</f>
        <v>0</v>
      </c>
    </row>
    <row r="837" spans="8:16" hidden="1">
      <c r="H837" t="s">
        <v>595</v>
      </c>
      <c r="I837">
        <v>16</v>
      </c>
      <c r="J837" s="2" t="s">
        <v>59</v>
      </c>
      <c r="K837" s="2">
        <v>5</v>
      </c>
      <c r="M837">
        <f>IF('Nom du personnage'!$U$51=Compétences!J837,'Contact marchand'!G4,0)</f>
        <v>0</v>
      </c>
      <c r="N837" t="e">
        <f t="shared" si="91"/>
        <v>#N/A</v>
      </c>
      <c r="O837" t="e">
        <f t="shared" si="92"/>
        <v>#N/A</v>
      </c>
      <c r="P837">
        <f>'Nom du personnage'!$U$51</f>
        <v>0</v>
      </c>
    </row>
    <row r="838" spans="8:16" hidden="1">
      <c r="H838" t="s">
        <v>590</v>
      </c>
      <c r="I838">
        <v>11</v>
      </c>
      <c r="J838" s="2" t="s">
        <v>59</v>
      </c>
      <c r="K838" s="2">
        <v>5</v>
      </c>
      <c r="M838">
        <f>IF('Nom du personnage'!$U$51=Compétences!J838,'Contact marchand'!G5,0)</f>
        <v>0</v>
      </c>
      <c r="N838" t="e">
        <f t="shared" si="91"/>
        <v>#N/A</v>
      </c>
      <c r="O838" t="e">
        <f t="shared" si="92"/>
        <v>#N/A</v>
      </c>
      <c r="P838">
        <f>'Nom du personnage'!$U$51</f>
        <v>0</v>
      </c>
    </row>
    <row r="839" spans="8:16" hidden="1">
      <c r="H839" t="s">
        <v>592</v>
      </c>
      <c r="I839">
        <v>11</v>
      </c>
      <c r="J839" s="2" t="s">
        <v>59</v>
      </c>
      <c r="K839" s="2">
        <v>5</v>
      </c>
      <c r="M839">
        <f>IF('Nom du personnage'!$U$51=Compétences!J839,'Contact marchand'!G6,0)</f>
        <v>0</v>
      </c>
      <c r="N839" t="e">
        <f t="shared" si="91"/>
        <v>#N/A</v>
      </c>
      <c r="O839" t="e">
        <f t="shared" si="92"/>
        <v>#N/A</v>
      </c>
      <c r="P839">
        <f>'Nom du personnage'!$U$51</f>
        <v>0</v>
      </c>
    </row>
    <row r="840" spans="8:16" hidden="1">
      <c r="H840" t="s">
        <v>589</v>
      </c>
      <c r="I840">
        <v>11</v>
      </c>
      <c r="J840" s="2" t="s">
        <v>59</v>
      </c>
      <c r="K840" s="2">
        <v>5</v>
      </c>
      <c r="M840">
        <f>IF('Nom du personnage'!$U$51=Compétences!J840,'Contact marchand'!G7,0)</f>
        <v>0</v>
      </c>
      <c r="N840" t="e">
        <f t="shared" si="91"/>
        <v>#N/A</v>
      </c>
      <c r="O840" t="e">
        <f t="shared" si="92"/>
        <v>#N/A</v>
      </c>
      <c r="P840">
        <f>'Nom du personnage'!$U$51</f>
        <v>0</v>
      </c>
    </row>
    <row r="841" spans="8:16" hidden="1">
      <c r="H841" t="s">
        <v>593</v>
      </c>
      <c r="I841">
        <v>12</v>
      </c>
      <c r="J841" s="2" t="s">
        <v>59</v>
      </c>
      <c r="K841" s="2">
        <v>5</v>
      </c>
      <c r="M841">
        <f>IF('Nom du personnage'!$U$51=Compétences!J841,'Contact marchand'!G8,0)</f>
        <v>0</v>
      </c>
      <c r="N841" t="e">
        <f t="shared" si="91"/>
        <v>#N/A</v>
      </c>
      <c r="O841" t="e">
        <f t="shared" si="92"/>
        <v>#N/A</v>
      </c>
      <c r="P841">
        <f>'Nom du personnage'!$U$51</f>
        <v>0</v>
      </c>
    </row>
    <row r="842" spans="8:16" hidden="1">
      <c r="H842" t="s">
        <v>594</v>
      </c>
      <c r="I842">
        <v>16</v>
      </c>
      <c r="J842" s="2" t="s">
        <v>59</v>
      </c>
      <c r="K842" s="2">
        <v>5</v>
      </c>
      <c r="M842">
        <f>IF('Nom du personnage'!$U$51=Compétences!J842,'Contact marchand'!G9,0)</f>
        <v>0</v>
      </c>
      <c r="N842" t="e">
        <f t="shared" si="91"/>
        <v>#N/A</v>
      </c>
      <c r="O842" t="e">
        <f t="shared" si="92"/>
        <v>#N/A</v>
      </c>
      <c r="P842">
        <f>'Nom du personnage'!$U$51</f>
        <v>0</v>
      </c>
    </row>
    <row r="843" spans="8:16" hidden="1">
      <c r="H843" t="s">
        <v>563</v>
      </c>
      <c r="I843">
        <v>10</v>
      </c>
      <c r="J843" s="2" t="s">
        <v>59</v>
      </c>
      <c r="K843" s="2">
        <v>5</v>
      </c>
      <c r="M843">
        <f t="shared" si="90"/>
        <v>0</v>
      </c>
      <c r="N843" t="e">
        <f t="shared" si="91"/>
        <v>#N/A</v>
      </c>
      <c r="O843" t="e">
        <f t="shared" si="92"/>
        <v>#N/A</v>
      </c>
      <c r="P843">
        <f>'Nom du personnage'!$U$51</f>
        <v>0</v>
      </c>
    </row>
    <row r="844" spans="8:16" hidden="1">
      <c r="H844" t="s">
        <v>564</v>
      </c>
      <c r="I844">
        <v>11</v>
      </c>
      <c r="J844" s="2" t="s">
        <v>59</v>
      </c>
      <c r="K844" s="2">
        <v>5</v>
      </c>
      <c r="M844" s="2" cm="1">
        <f t="array" ref="M844">IF(AND('Nom du personnage'!U844=Compétences!J844,OR('Nom du personnage'!$C$65:$L$85=Compétences!$H$50,'Nom du personnage'!$Q$65:$Z$85=Compétences!$H$50)),H844,0)</f>
        <v>0</v>
      </c>
      <c r="N844" t="e">
        <f t="shared" ref="N844:N875" si="93">VLOOKUP(M844,H844:J900,2,FALSE)</f>
        <v>#N/A</v>
      </c>
      <c r="O844" t="e">
        <f t="shared" ref="O844:O875" si="94">VLOOKUP(M844,H844:J900,2,FALSE)+1</f>
        <v>#N/A</v>
      </c>
      <c r="P844">
        <f>'Nom du personnage'!$U$51</f>
        <v>0</v>
      </c>
    </row>
    <row r="845" spans="8:16" hidden="1">
      <c r="H845" t="s">
        <v>571</v>
      </c>
      <c r="I845">
        <v>12</v>
      </c>
      <c r="J845" s="2" t="s">
        <v>59</v>
      </c>
      <c r="K845" s="2">
        <v>5</v>
      </c>
      <c r="M845">
        <f t="shared" si="90"/>
        <v>0</v>
      </c>
      <c r="N845" t="e">
        <f t="shared" si="93"/>
        <v>#N/A</v>
      </c>
      <c r="O845" t="e">
        <f t="shared" si="94"/>
        <v>#N/A</v>
      </c>
      <c r="P845">
        <f>'Nom du personnage'!$U$51</f>
        <v>0</v>
      </c>
    </row>
    <row r="846" spans="8:16" hidden="1">
      <c r="H846" t="s">
        <v>601</v>
      </c>
      <c r="I846">
        <v>11</v>
      </c>
      <c r="J846" s="2" t="s">
        <v>59</v>
      </c>
      <c r="K846" s="2">
        <v>5</v>
      </c>
      <c r="M846">
        <f t="shared" si="90"/>
        <v>0</v>
      </c>
      <c r="N846" t="e">
        <f t="shared" si="93"/>
        <v>#N/A</v>
      </c>
      <c r="O846" t="e">
        <f t="shared" si="94"/>
        <v>#N/A</v>
      </c>
      <c r="P846">
        <f>'Nom du personnage'!$U$51</f>
        <v>0</v>
      </c>
    </row>
    <row r="847" spans="8:16">
      <c r="H847" t="s">
        <v>565</v>
      </c>
      <c r="I847">
        <v>9</v>
      </c>
      <c r="J847" s="2" t="s">
        <v>59</v>
      </c>
      <c r="K847" s="2">
        <v>5</v>
      </c>
      <c r="M847" s="2" cm="1">
        <f t="array" ref="M847">IF(AND('Nom du personnage'!$U$51=Compétences!J847,OR('Nom du personnage'!$C$65:$L$85=Compétences!$M$18,'Nom du personnage'!$Q$65:$Z$85=Compétences!$M$18)),H847,0)</f>
        <v>0</v>
      </c>
      <c r="N847" t="e">
        <f t="shared" si="93"/>
        <v>#N/A</v>
      </c>
      <c r="O847" t="e">
        <f t="shared" si="94"/>
        <v>#N/A</v>
      </c>
      <c r="P847">
        <f>'Nom du personnage'!$U$51</f>
        <v>0</v>
      </c>
    </row>
    <row r="848" spans="8:16" hidden="1">
      <c r="H848" t="s">
        <v>575</v>
      </c>
      <c r="I848">
        <v>12</v>
      </c>
      <c r="J848" s="2" t="s">
        <v>59</v>
      </c>
      <c r="K848" s="2">
        <v>5</v>
      </c>
      <c r="M848">
        <f t="shared" si="90"/>
        <v>0</v>
      </c>
      <c r="N848" t="e">
        <f t="shared" si="93"/>
        <v>#N/A</v>
      </c>
      <c r="O848" t="e">
        <f t="shared" si="94"/>
        <v>#N/A</v>
      </c>
      <c r="P848">
        <f>'Nom du personnage'!$U$51</f>
        <v>0</v>
      </c>
    </row>
    <row r="849" spans="8:16" hidden="1">
      <c r="H849" t="s">
        <v>596</v>
      </c>
      <c r="I849">
        <v>11</v>
      </c>
      <c r="J849" s="2" t="s">
        <v>59</v>
      </c>
      <c r="K849" s="2">
        <v>5</v>
      </c>
      <c r="M849">
        <f>IF(AND(J849='Nom du personnage'!$U$51,Concoction!$F$45=TRUE),Compétences!H849,0)</f>
        <v>0</v>
      </c>
      <c r="N849" t="e">
        <f t="shared" si="93"/>
        <v>#N/A</v>
      </c>
      <c r="O849" t="e">
        <f t="shared" si="94"/>
        <v>#N/A</v>
      </c>
      <c r="P849">
        <f>'Nom du personnage'!$U$51</f>
        <v>0</v>
      </c>
    </row>
    <row r="850" spans="8:16" hidden="1">
      <c r="H850" t="s">
        <v>576</v>
      </c>
      <c r="I850">
        <v>12</v>
      </c>
      <c r="J850" s="2" t="s">
        <v>59</v>
      </c>
      <c r="K850" s="2">
        <v>5</v>
      </c>
      <c r="M850">
        <f t="shared" si="90"/>
        <v>0</v>
      </c>
      <c r="N850" t="e">
        <f t="shared" si="93"/>
        <v>#N/A</v>
      </c>
      <c r="O850" t="e">
        <f t="shared" si="94"/>
        <v>#N/A</v>
      </c>
      <c r="P850">
        <f>'Nom du personnage'!$U$51</f>
        <v>0</v>
      </c>
    </row>
    <row r="851" spans="8:16" hidden="1">
      <c r="H851" t="s">
        <v>577</v>
      </c>
      <c r="I851">
        <v>12</v>
      </c>
      <c r="J851" s="2" t="s">
        <v>59</v>
      </c>
      <c r="K851" s="2">
        <v>5</v>
      </c>
      <c r="M851">
        <f>IF(AND('Nom du personnage'!$U$51=Compétences!J851,Religion!$D$29),Compétences!H851,0)</f>
        <v>0</v>
      </c>
      <c r="N851" t="e">
        <f t="shared" si="93"/>
        <v>#N/A</v>
      </c>
      <c r="O851" t="e">
        <f t="shared" si="94"/>
        <v>#N/A</v>
      </c>
      <c r="P851">
        <f>'Nom du personnage'!$U$51</f>
        <v>0</v>
      </c>
    </row>
    <row r="852" spans="8:16" hidden="1">
      <c r="H852" t="s">
        <v>572</v>
      </c>
      <c r="I852">
        <v>13</v>
      </c>
      <c r="J852" s="2" t="s">
        <v>59</v>
      </c>
      <c r="K852" s="2">
        <v>5</v>
      </c>
      <c r="M852">
        <f t="shared" si="90"/>
        <v>0</v>
      </c>
      <c r="N852" t="e">
        <f t="shared" si="93"/>
        <v>#N/A</v>
      </c>
      <c r="O852" t="e">
        <f t="shared" si="94"/>
        <v>#N/A</v>
      </c>
      <c r="P852">
        <f>'Nom du personnage'!$U$51</f>
        <v>0</v>
      </c>
    </row>
    <row r="853" spans="8:16" hidden="1">
      <c r="H853" t="s">
        <v>597</v>
      </c>
      <c r="I853">
        <v>12</v>
      </c>
      <c r="J853" s="2" t="s">
        <v>59</v>
      </c>
      <c r="K853" s="2">
        <v>5</v>
      </c>
      <c r="M853" s="2" cm="1">
        <f t="array" ref="M853">IF(AND(J853='Nom du personnage'!$U$51,OR('Nom du personnage'!$C$65:$L$85=Compétences!$H$19,'Nom du personnage'!$Q$65:$Z$85=Compétences!$H$19)),H853,0)</f>
        <v>0</v>
      </c>
      <c r="N853" t="e">
        <f t="shared" si="93"/>
        <v>#N/A</v>
      </c>
      <c r="O853" t="e">
        <f t="shared" si="94"/>
        <v>#N/A</v>
      </c>
      <c r="P853">
        <f>'Nom du personnage'!$U$51</f>
        <v>0</v>
      </c>
    </row>
    <row r="854" spans="8:16" hidden="1">
      <c r="H854" t="s">
        <v>578</v>
      </c>
      <c r="I854">
        <v>9</v>
      </c>
      <c r="J854" s="2" t="s">
        <v>59</v>
      </c>
      <c r="K854" s="2">
        <v>5</v>
      </c>
      <c r="M854">
        <f t="shared" si="90"/>
        <v>0</v>
      </c>
      <c r="N854" t="e">
        <f t="shared" si="93"/>
        <v>#N/A</v>
      </c>
      <c r="O854" t="e">
        <f t="shared" si="94"/>
        <v>#N/A</v>
      </c>
      <c r="P854">
        <f>'Nom du personnage'!$U$51</f>
        <v>0</v>
      </c>
    </row>
    <row r="855" spans="8:16" hidden="1">
      <c r="H855" t="s">
        <v>579</v>
      </c>
      <c r="I855">
        <v>11</v>
      </c>
      <c r="J855" s="2" t="s">
        <v>59</v>
      </c>
      <c r="K855" s="2">
        <v>5</v>
      </c>
      <c r="M855">
        <f t="shared" si="90"/>
        <v>0</v>
      </c>
      <c r="N855" t="e">
        <f t="shared" si="93"/>
        <v>#N/A</v>
      </c>
      <c r="O855" t="e">
        <f t="shared" si="94"/>
        <v>#N/A</v>
      </c>
      <c r="P855">
        <f>'Nom du personnage'!$U$51</f>
        <v>0</v>
      </c>
    </row>
    <row r="856" spans="8:16" hidden="1">
      <c r="H856" t="s">
        <v>566</v>
      </c>
      <c r="I856">
        <v>12</v>
      </c>
      <c r="J856" s="2" t="s">
        <v>59</v>
      </c>
      <c r="K856" s="2">
        <v>5</v>
      </c>
      <c r="M856">
        <f t="shared" si="90"/>
        <v>0</v>
      </c>
      <c r="N856" t="e">
        <f t="shared" si="93"/>
        <v>#N/A</v>
      </c>
      <c r="O856" t="e">
        <f t="shared" si="94"/>
        <v>#N/A</v>
      </c>
      <c r="P856">
        <f>'Nom du personnage'!$U$51</f>
        <v>0</v>
      </c>
    </row>
    <row r="857" spans="8:16" hidden="1">
      <c r="H857" t="s">
        <v>567</v>
      </c>
      <c r="I857">
        <v>10</v>
      </c>
      <c r="J857" s="2" t="s">
        <v>59</v>
      </c>
      <c r="K857" s="2">
        <v>5</v>
      </c>
      <c r="M857">
        <f t="shared" si="90"/>
        <v>0</v>
      </c>
      <c r="N857" t="e">
        <f t="shared" si="93"/>
        <v>#N/A</v>
      </c>
      <c r="O857" t="e">
        <f t="shared" si="94"/>
        <v>#N/A</v>
      </c>
      <c r="P857">
        <f>'Nom du personnage'!$U$51</f>
        <v>0</v>
      </c>
    </row>
    <row r="858" spans="8:16" hidden="1">
      <c r="H858" t="s">
        <v>573</v>
      </c>
      <c r="I858">
        <v>12</v>
      </c>
      <c r="J858" s="2" t="s">
        <v>59</v>
      </c>
      <c r="K858" s="2">
        <v>5</v>
      </c>
      <c r="M858">
        <f t="shared" si="90"/>
        <v>0</v>
      </c>
      <c r="N858" t="e">
        <f t="shared" si="93"/>
        <v>#N/A</v>
      </c>
      <c r="O858" t="e">
        <f t="shared" si="94"/>
        <v>#N/A</v>
      </c>
      <c r="P858">
        <f>'Nom du personnage'!$U$51</f>
        <v>0</v>
      </c>
    </row>
    <row r="859" spans="8:16" hidden="1">
      <c r="H859" t="s">
        <v>580</v>
      </c>
      <c r="I859">
        <v>9</v>
      </c>
      <c r="J859" s="2" t="s">
        <v>59</v>
      </c>
      <c r="K859" s="2">
        <v>5</v>
      </c>
      <c r="M859">
        <f t="shared" si="90"/>
        <v>0</v>
      </c>
      <c r="N859" t="e">
        <f t="shared" si="93"/>
        <v>#N/A</v>
      </c>
      <c r="O859" t="e">
        <f t="shared" si="94"/>
        <v>#N/A</v>
      </c>
      <c r="P859">
        <f>'Nom du personnage'!$U$51</f>
        <v>0</v>
      </c>
    </row>
    <row r="860" spans="8:16" hidden="1">
      <c r="H860" t="s">
        <v>588</v>
      </c>
      <c r="I860">
        <v>12</v>
      </c>
      <c r="J860" s="2" t="s">
        <v>59</v>
      </c>
      <c r="K860" s="2">
        <v>5</v>
      </c>
      <c r="M860" s="2" cm="1">
        <f t="array" ref="M860">IF(AND('Nom du personnage'!$U$51=Compétences!J860,OR('Nom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personnage'!$Q$65:$Z$85=Compétences!$H$1052)),H860,0)</f>
        <v>0</v>
      </c>
      <c r="N860" t="e">
        <f t="shared" si="93"/>
        <v>#N/A</v>
      </c>
      <c r="O860" t="e">
        <f t="shared" si="94"/>
        <v>#N/A</v>
      </c>
      <c r="P860">
        <f>'Nom du personnage'!$U$51</f>
        <v>0</v>
      </c>
    </row>
    <row r="861" spans="8:16" hidden="1">
      <c r="H861" t="s">
        <v>581</v>
      </c>
      <c r="I861">
        <v>11</v>
      </c>
      <c r="J861" s="2" t="s">
        <v>59</v>
      </c>
      <c r="K861" s="2">
        <v>5</v>
      </c>
      <c r="M861">
        <f t="shared" si="90"/>
        <v>0</v>
      </c>
      <c r="N861" t="e">
        <f t="shared" si="93"/>
        <v>#N/A</v>
      </c>
      <c r="O861" t="e">
        <f t="shared" si="94"/>
        <v>#N/A</v>
      </c>
      <c r="P861">
        <f>'Nom du personnage'!$U$51</f>
        <v>0</v>
      </c>
    </row>
    <row r="862" spans="8:16" hidden="1">
      <c r="H862" t="s">
        <v>582</v>
      </c>
      <c r="I862">
        <v>12</v>
      </c>
      <c r="J862" s="2" t="s">
        <v>59</v>
      </c>
      <c r="K862" s="2">
        <v>5</v>
      </c>
      <c r="M862">
        <f t="shared" si="90"/>
        <v>0</v>
      </c>
      <c r="N862" t="e">
        <f t="shared" si="93"/>
        <v>#N/A</v>
      </c>
      <c r="O862" t="e">
        <f t="shared" si="94"/>
        <v>#N/A</v>
      </c>
      <c r="P862">
        <f>'Nom du personnage'!$U$51</f>
        <v>0</v>
      </c>
    </row>
    <row r="863" spans="8:16" hidden="1">
      <c r="H863" t="s">
        <v>583</v>
      </c>
      <c r="I863">
        <v>12</v>
      </c>
      <c r="J863" s="2" t="s">
        <v>59</v>
      </c>
      <c r="K863" s="2">
        <v>5</v>
      </c>
      <c r="M863">
        <f t="shared" si="90"/>
        <v>0</v>
      </c>
      <c r="N863" t="e">
        <f t="shared" si="93"/>
        <v>#N/A</v>
      </c>
      <c r="O863" t="e">
        <f t="shared" si="94"/>
        <v>#N/A</v>
      </c>
      <c r="P863">
        <f>'Nom du personnage'!$U$51</f>
        <v>0</v>
      </c>
    </row>
    <row r="864" spans="8:16" hidden="1">
      <c r="H864" t="s">
        <v>568</v>
      </c>
      <c r="I864">
        <v>12</v>
      </c>
      <c r="J864" s="2" t="s">
        <v>59</v>
      </c>
      <c r="K864" s="2">
        <v>5</v>
      </c>
      <c r="M864">
        <f t="shared" si="90"/>
        <v>0</v>
      </c>
      <c r="N864" t="e">
        <f t="shared" si="93"/>
        <v>#N/A</v>
      </c>
      <c r="O864" t="e">
        <f t="shared" si="94"/>
        <v>#N/A</v>
      </c>
      <c r="P864">
        <f>'Nom du personnage'!$U$51</f>
        <v>0</v>
      </c>
    </row>
    <row r="865" spans="8:16" hidden="1">
      <c r="H865" t="s">
        <v>584</v>
      </c>
      <c r="I865">
        <v>12</v>
      </c>
      <c r="J865" s="2" t="s">
        <v>59</v>
      </c>
      <c r="K865" s="2">
        <v>5</v>
      </c>
      <c r="M865">
        <f t="shared" si="90"/>
        <v>0</v>
      </c>
      <c r="N865" t="e">
        <f t="shared" si="93"/>
        <v>#N/A</v>
      </c>
      <c r="O865" t="e">
        <f t="shared" si="94"/>
        <v>#N/A</v>
      </c>
      <c r="P865">
        <f>'Nom du personnage'!$U$51</f>
        <v>0</v>
      </c>
    </row>
    <row r="866" spans="8:16" hidden="1">
      <c r="H866" t="s">
        <v>598</v>
      </c>
      <c r="I866">
        <v>11</v>
      </c>
      <c r="J866" s="2" t="s">
        <v>59</v>
      </c>
      <c r="K866" s="2">
        <v>5</v>
      </c>
      <c r="M866" s="2" cm="1">
        <f t="array" ref="M866">IF(AND(J866='Nom du personnage'!$U$51,OR('Nom du personnage'!$C$65:$L$85=Compétences!$H$19,'Nom du personnage'!$Q$65:$Z$85=Compétences!$H$19)),H866,0)</f>
        <v>0</v>
      </c>
      <c r="N866" t="e">
        <f t="shared" si="93"/>
        <v>#N/A</v>
      </c>
      <c r="O866" t="e">
        <f t="shared" si="94"/>
        <v>#N/A</v>
      </c>
      <c r="P866">
        <f>'Nom du personnage'!$U$51</f>
        <v>0</v>
      </c>
    </row>
    <row r="867" spans="8:16" hidden="1">
      <c r="H867" t="s">
        <v>585</v>
      </c>
      <c r="I867">
        <v>11</v>
      </c>
      <c r="J867" s="2" t="s">
        <v>59</v>
      </c>
      <c r="K867" s="2">
        <v>5</v>
      </c>
      <c r="M867">
        <f t="shared" si="90"/>
        <v>0</v>
      </c>
      <c r="N867" t="e">
        <f t="shared" si="93"/>
        <v>#N/A</v>
      </c>
      <c r="O867" t="e">
        <f t="shared" si="94"/>
        <v>#N/A</v>
      </c>
      <c r="P867">
        <f>'Nom du personnage'!$U$51</f>
        <v>0</v>
      </c>
    </row>
    <row r="868" spans="8:16" hidden="1">
      <c r="H868" t="s">
        <v>586</v>
      </c>
      <c r="I868">
        <v>11</v>
      </c>
      <c r="J868" s="2" t="s">
        <v>59</v>
      </c>
      <c r="K868" s="2">
        <v>5</v>
      </c>
      <c r="M868" s="2" cm="1">
        <f t="array" ref="M868">IF(AND('Nom du personnage'!$U$51=Compétences!J868,OR('Nom du personnage'!$C$65:$L$85=Compétences!$H$89,'Nom du personnage'!$Q$65:$Z$85=Compétences!$H$89)),H868,0)</f>
        <v>0</v>
      </c>
      <c r="N868" t="e">
        <f t="shared" si="93"/>
        <v>#N/A</v>
      </c>
      <c r="O868" t="e">
        <f t="shared" si="94"/>
        <v>#N/A</v>
      </c>
      <c r="P868">
        <f>'Nom du personnage'!$U$51</f>
        <v>0</v>
      </c>
    </row>
    <row r="869" spans="8:16" hidden="1">
      <c r="H869" t="s">
        <v>587</v>
      </c>
      <c r="I869">
        <v>8</v>
      </c>
      <c r="J869" s="2" t="s">
        <v>59</v>
      </c>
      <c r="K869" s="2">
        <v>5</v>
      </c>
      <c r="M869">
        <f t="shared" si="90"/>
        <v>0</v>
      </c>
      <c r="N869" t="e">
        <f t="shared" si="93"/>
        <v>#N/A</v>
      </c>
      <c r="O869" t="e">
        <f t="shared" si="94"/>
        <v>#N/A</v>
      </c>
      <c r="P869">
        <f>'Nom du personnage'!$U$51</f>
        <v>0</v>
      </c>
    </row>
    <row r="870" spans="8:16" hidden="1">
      <c r="H870" t="s">
        <v>599</v>
      </c>
      <c r="I870">
        <v>10</v>
      </c>
      <c r="J870" s="2" t="s">
        <v>63</v>
      </c>
      <c r="K870" s="2">
        <v>5</v>
      </c>
      <c r="M870">
        <f t="shared" si="90"/>
        <v>0</v>
      </c>
      <c r="N870" t="e">
        <f t="shared" si="93"/>
        <v>#N/A</v>
      </c>
      <c r="O870" t="e">
        <f t="shared" si="94"/>
        <v>#N/A</v>
      </c>
      <c r="P870">
        <f>'Nom du personnage'!$U$51</f>
        <v>0</v>
      </c>
    </row>
    <row r="871" spans="8:16" hidden="1">
      <c r="H871" t="s">
        <v>556</v>
      </c>
      <c r="I871">
        <v>12</v>
      </c>
      <c r="J871" s="2" t="s">
        <v>63</v>
      </c>
      <c r="K871" s="2">
        <v>5</v>
      </c>
      <c r="M871">
        <f t="shared" ref="M871:M933" si="95">IF(P871=J871,H871,)</f>
        <v>0</v>
      </c>
      <c r="N871" t="e">
        <f t="shared" si="93"/>
        <v>#N/A</v>
      </c>
      <c r="O871" t="e">
        <f t="shared" si="94"/>
        <v>#N/A</v>
      </c>
      <c r="P871">
        <f>'Nom du personnage'!$U$51</f>
        <v>0</v>
      </c>
    </row>
    <row r="872" spans="8:16" hidden="1">
      <c r="H872" t="s">
        <v>600</v>
      </c>
      <c r="I872">
        <v>11</v>
      </c>
      <c r="J872" s="2" t="s">
        <v>63</v>
      </c>
      <c r="K872" s="2">
        <v>5</v>
      </c>
      <c r="M872">
        <f t="shared" si="95"/>
        <v>0</v>
      </c>
      <c r="N872" t="e">
        <f t="shared" si="93"/>
        <v>#N/A</v>
      </c>
      <c r="O872" t="e">
        <f t="shared" si="94"/>
        <v>#N/A</v>
      </c>
      <c r="P872">
        <f>'Nom du personnage'!$U$51</f>
        <v>0</v>
      </c>
    </row>
    <row r="873" spans="8:16" hidden="1">
      <c r="H873" t="s">
        <v>569</v>
      </c>
      <c r="I873">
        <v>9</v>
      </c>
      <c r="J873" s="2" t="s">
        <v>63</v>
      </c>
      <c r="K873" s="2">
        <v>5</v>
      </c>
      <c r="M873" s="2" cm="1">
        <f t="array" ref="M873">IF(AND('Nom du personnage'!$U$51=Compétences!J873,OR('Nom du personnage'!$C$65:$L$85=Compétences!$M$12,'Nom du personnage'!$Q$65:$Z$85=Compétences!$M$12)),H873,0)</f>
        <v>0</v>
      </c>
      <c r="N873" t="e">
        <f t="shared" si="93"/>
        <v>#N/A</v>
      </c>
      <c r="O873" t="e">
        <f t="shared" si="94"/>
        <v>#N/A</v>
      </c>
      <c r="P873">
        <f>'Nom du personnage'!$U$51</f>
        <v>0</v>
      </c>
    </row>
    <row r="874" spans="8:16" hidden="1">
      <c r="H874" t="s">
        <v>557</v>
      </c>
      <c r="I874">
        <v>12</v>
      </c>
      <c r="J874" s="2" t="s">
        <v>63</v>
      </c>
      <c r="K874" s="2">
        <v>5</v>
      </c>
      <c r="M874" s="2" cm="1">
        <f t="array" ref="M874">IF(AND('Nom du personnage'!U880=Compétences!J874,OR('Nom du personnage'!$C$65:$L$85=Compétences!$M$13,'Nom du personnage'!$Q$65:$Z$85=Compétences!$M$13)),H874,0)</f>
        <v>0</v>
      </c>
      <c r="N874" t="e">
        <f t="shared" si="93"/>
        <v>#N/A</v>
      </c>
      <c r="O874" t="e">
        <f t="shared" si="94"/>
        <v>#N/A</v>
      </c>
      <c r="P874">
        <f>'Nom du personnage'!$U$51</f>
        <v>0</v>
      </c>
    </row>
    <row r="875" spans="8:16" hidden="1">
      <c r="H875" t="s">
        <v>558</v>
      </c>
      <c r="I875">
        <v>12</v>
      </c>
      <c r="J875" s="2" t="s">
        <v>63</v>
      </c>
      <c r="K875" s="2">
        <v>5</v>
      </c>
      <c r="M875">
        <f t="shared" si="95"/>
        <v>0</v>
      </c>
      <c r="N875" t="e">
        <f t="shared" si="93"/>
        <v>#N/A</v>
      </c>
      <c r="O875" t="e">
        <f t="shared" si="94"/>
        <v>#N/A</v>
      </c>
      <c r="P875">
        <f>'Nom du personnage'!$U$51</f>
        <v>0</v>
      </c>
    </row>
    <row r="876" spans="8:16" hidden="1">
      <c r="H876" t="s">
        <v>560</v>
      </c>
      <c r="I876">
        <v>12</v>
      </c>
      <c r="J876" s="2" t="s">
        <v>63</v>
      </c>
      <c r="K876" s="2">
        <v>5</v>
      </c>
      <c r="M876">
        <f t="shared" si="95"/>
        <v>0</v>
      </c>
      <c r="N876" t="e">
        <f t="shared" ref="N876:N900" si="96">VLOOKUP(M876,H876:J932,2,FALSE)</f>
        <v>#N/A</v>
      </c>
      <c r="O876" t="e">
        <f t="shared" ref="O876:O900" si="97">VLOOKUP(M876,H876:J932,2,FALSE)+1</f>
        <v>#N/A</v>
      </c>
      <c r="P876">
        <f>'Nom du personnage'!$U$51</f>
        <v>0</v>
      </c>
    </row>
    <row r="877" spans="8:16" hidden="1">
      <c r="H877" t="s">
        <v>561</v>
      </c>
      <c r="I877">
        <v>11</v>
      </c>
      <c r="J877" s="2" t="s">
        <v>63</v>
      </c>
      <c r="K877" s="2">
        <v>5</v>
      </c>
      <c r="M877">
        <f t="shared" si="95"/>
        <v>0</v>
      </c>
      <c r="N877" t="e">
        <f t="shared" si="96"/>
        <v>#N/A</v>
      </c>
      <c r="O877" t="e">
        <f t="shared" si="97"/>
        <v>#N/A</v>
      </c>
      <c r="P877">
        <f>'Nom du personnage'!$U$51</f>
        <v>0</v>
      </c>
    </row>
    <row r="878" spans="8:16" hidden="1">
      <c r="H878" t="s">
        <v>562</v>
      </c>
      <c r="I878">
        <v>12</v>
      </c>
      <c r="J878" s="2" t="s">
        <v>63</v>
      </c>
      <c r="K878" s="2">
        <v>5</v>
      </c>
      <c r="M878" s="2" cm="1">
        <f t="array" ref="M878">IF(AND('Nom du personnage'!U750=Compétences!J878,OR('Nom du personnage'!$C$65:$L$85=Compétences!$H$48,'Nom du personnage'!$Q$65:$Z$85=Compétences!$H$48)),H878,0)</f>
        <v>0</v>
      </c>
      <c r="N878" t="e">
        <f t="shared" si="96"/>
        <v>#N/A</v>
      </c>
      <c r="O878" t="e">
        <f t="shared" si="97"/>
        <v>#N/A</v>
      </c>
      <c r="P878">
        <f>'Nom du personnage'!$U$51</f>
        <v>0</v>
      </c>
    </row>
    <row r="879" spans="8:16" hidden="1">
      <c r="H879" t="s">
        <v>591</v>
      </c>
      <c r="I879">
        <v>11</v>
      </c>
      <c r="J879" s="2" t="s">
        <v>63</v>
      </c>
      <c r="K879" s="2">
        <v>5</v>
      </c>
      <c r="M879">
        <f>IF('Nom du personnage'!$U$51=Compétences!J879,'Contact marchand'!G3,0)</f>
        <v>0</v>
      </c>
      <c r="N879" t="e">
        <f t="shared" si="96"/>
        <v>#N/A</v>
      </c>
      <c r="O879" t="e">
        <f t="shared" si="97"/>
        <v>#N/A</v>
      </c>
      <c r="P879">
        <f>'Nom du personnage'!$U$51</f>
        <v>0</v>
      </c>
    </row>
    <row r="880" spans="8:16" hidden="1">
      <c r="H880" t="s">
        <v>595</v>
      </c>
      <c r="I880">
        <v>16</v>
      </c>
      <c r="J880" s="2" t="s">
        <v>63</v>
      </c>
      <c r="K880" s="2">
        <v>5</v>
      </c>
      <c r="M880">
        <f>IF('Nom du personnage'!$U$51=Compétences!J880,'Contact marchand'!G4,0)</f>
        <v>0</v>
      </c>
      <c r="N880" t="e">
        <f t="shared" si="96"/>
        <v>#N/A</v>
      </c>
      <c r="O880" t="e">
        <f t="shared" si="97"/>
        <v>#N/A</v>
      </c>
      <c r="P880">
        <f>'Nom du personnage'!$U$51</f>
        <v>0</v>
      </c>
    </row>
    <row r="881" spans="8:16" hidden="1">
      <c r="H881" t="s">
        <v>590</v>
      </c>
      <c r="I881">
        <v>11</v>
      </c>
      <c r="J881" s="2" t="s">
        <v>63</v>
      </c>
      <c r="K881" s="2">
        <v>5</v>
      </c>
      <c r="M881">
        <f>IF('Nom du personnage'!$U$51=Compétences!J881,'Contact marchand'!G5,0)</f>
        <v>0</v>
      </c>
      <c r="N881" t="e">
        <f t="shared" si="96"/>
        <v>#N/A</v>
      </c>
      <c r="O881" t="e">
        <f t="shared" si="97"/>
        <v>#N/A</v>
      </c>
      <c r="P881">
        <f>'Nom du personnage'!$U$51</f>
        <v>0</v>
      </c>
    </row>
    <row r="882" spans="8:16" hidden="1">
      <c r="H882" t="s">
        <v>592</v>
      </c>
      <c r="I882">
        <v>11</v>
      </c>
      <c r="J882" s="2" t="s">
        <v>63</v>
      </c>
      <c r="K882" s="2">
        <v>5</v>
      </c>
      <c r="M882">
        <f>IF('Nom du personnage'!$U$51=Compétences!J882,'Contact marchand'!G6,0)</f>
        <v>0</v>
      </c>
      <c r="N882" t="e">
        <f t="shared" si="96"/>
        <v>#N/A</v>
      </c>
      <c r="O882" t="e">
        <f t="shared" si="97"/>
        <v>#N/A</v>
      </c>
      <c r="P882">
        <f>'Nom du personnage'!$U$51</f>
        <v>0</v>
      </c>
    </row>
    <row r="883" spans="8:16" hidden="1">
      <c r="H883" t="s">
        <v>589</v>
      </c>
      <c r="I883">
        <v>11</v>
      </c>
      <c r="J883" s="2" t="s">
        <v>63</v>
      </c>
      <c r="K883" s="2">
        <v>5</v>
      </c>
      <c r="M883">
        <f>IF('Nom du personnage'!$U$51=Compétences!J883,'Contact marchand'!G7,0)</f>
        <v>0</v>
      </c>
      <c r="N883" t="e">
        <f t="shared" si="96"/>
        <v>#N/A</v>
      </c>
      <c r="O883" t="e">
        <f t="shared" si="97"/>
        <v>#N/A</v>
      </c>
      <c r="P883">
        <f>'Nom du personnage'!$U$51</f>
        <v>0</v>
      </c>
    </row>
    <row r="884" spans="8:16" hidden="1">
      <c r="H884" t="s">
        <v>593</v>
      </c>
      <c r="I884">
        <v>12</v>
      </c>
      <c r="J884" s="2" t="s">
        <v>63</v>
      </c>
      <c r="K884" s="2">
        <v>5</v>
      </c>
      <c r="M884">
        <f>IF('Nom du personnage'!$U$51=Compétences!J884,'Contact marchand'!G8,0)</f>
        <v>0</v>
      </c>
      <c r="N884" t="e">
        <f t="shared" si="96"/>
        <v>#N/A</v>
      </c>
      <c r="O884" t="e">
        <f t="shared" si="97"/>
        <v>#N/A</v>
      </c>
      <c r="P884">
        <f>'Nom du personnage'!$U$51</f>
        <v>0</v>
      </c>
    </row>
    <row r="885" spans="8:16" hidden="1">
      <c r="H885" t="s">
        <v>594</v>
      </c>
      <c r="I885">
        <v>16</v>
      </c>
      <c r="J885" s="2" t="s">
        <v>63</v>
      </c>
      <c r="K885" s="2">
        <v>5</v>
      </c>
      <c r="M885">
        <f>IF('Nom du personnage'!$U$51=Compétences!J885,'Contact marchand'!G9,0)</f>
        <v>0</v>
      </c>
      <c r="N885" t="e">
        <f t="shared" si="96"/>
        <v>#N/A</v>
      </c>
      <c r="O885" t="e">
        <f t="shared" si="97"/>
        <v>#N/A</v>
      </c>
      <c r="P885">
        <f>'Nom du personnage'!$U$51</f>
        <v>0</v>
      </c>
    </row>
    <row r="886" spans="8:16" hidden="1">
      <c r="H886" t="s">
        <v>570</v>
      </c>
      <c r="I886">
        <v>10</v>
      </c>
      <c r="J886" s="2" t="s">
        <v>63</v>
      </c>
      <c r="K886" s="2">
        <v>5</v>
      </c>
      <c r="M886">
        <f t="shared" si="95"/>
        <v>0</v>
      </c>
      <c r="N886" t="e">
        <f t="shared" si="96"/>
        <v>#N/A</v>
      </c>
      <c r="O886" t="e">
        <f t="shared" si="97"/>
        <v>#N/A</v>
      </c>
      <c r="P886">
        <f>'Nom du personnage'!$U$51</f>
        <v>0</v>
      </c>
    </row>
    <row r="887" spans="8:16" hidden="1">
      <c r="H887" t="s">
        <v>563</v>
      </c>
      <c r="I887">
        <v>10</v>
      </c>
      <c r="J887" s="2" t="s">
        <v>63</v>
      </c>
      <c r="K887" s="2">
        <v>5</v>
      </c>
      <c r="M887">
        <f t="shared" si="95"/>
        <v>0</v>
      </c>
      <c r="N887" t="e">
        <f t="shared" si="96"/>
        <v>#N/A</v>
      </c>
      <c r="O887" t="e">
        <f t="shared" si="97"/>
        <v>#N/A</v>
      </c>
      <c r="P887">
        <f>'Nom du personnage'!$U$51</f>
        <v>0</v>
      </c>
    </row>
    <row r="888" spans="8:16" hidden="1">
      <c r="H888" t="s">
        <v>564</v>
      </c>
      <c r="I888">
        <v>11</v>
      </c>
      <c r="J888" s="2" t="s">
        <v>63</v>
      </c>
      <c r="K888" s="2">
        <v>5</v>
      </c>
      <c r="M888" s="2" cm="1">
        <f t="array" ref="M888">IF(AND('Nom du personnage'!U888=Compétences!J888,OR('Nom du personnage'!$C$65:$L$85=Compétences!$H$50,'Nom du personnage'!$Q$65:$Z$85=Compétences!$H$50)),H888,0)</f>
        <v>0</v>
      </c>
      <c r="N888" t="e">
        <f t="shared" si="96"/>
        <v>#N/A</v>
      </c>
      <c r="O888" t="e">
        <f t="shared" si="97"/>
        <v>#N/A</v>
      </c>
      <c r="P888">
        <f>'Nom du personnage'!$U$51</f>
        <v>0</v>
      </c>
    </row>
    <row r="889" spans="8:16" hidden="1">
      <c r="H889" t="s">
        <v>571</v>
      </c>
      <c r="I889">
        <v>12</v>
      </c>
      <c r="J889" s="2" t="s">
        <v>63</v>
      </c>
      <c r="K889" s="2">
        <v>5</v>
      </c>
      <c r="M889">
        <f t="shared" si="95"/>
        <v>0</v>
      </c>
      <c r="N889" t="e">
        <f t="shared" si="96"/>
        <v>#N/A</v>
      </c>
      <c r="O889" t="e">
        <f t="shared" si="97"/>
        <v>#N/A</v>
      </c>
      <c r="P889">
        <f>'Nom du personnage'!$U$51</f>
        <v>0</v>
      </c>
    </row>
    <row r="890" spans="8:16" hidden="1">
      <c r="H890" t="s">
        <v>601</v>
      </c>
      <c r="I890">
        <v>11</v>
      </c>
      <c r="J890" s="2" t="s">
        <v>63</v>
      </c>
      <c r="K890" s="2">
        <v>5</v>
      </c>
      <c r="M890">
        <f t="shared" si="95"/>
        <v>0</v>
      </c>
      <c r="N890" t="e">
        <f t="shared" si="96"/>
        <v>#N/A</v>
      </c>
      <c r="O890" t="e">
        <f t="shared" si="97"/>
        <v>#N/A</v>
      </c>
      <c r="P890">
        <f>'Nom du personnage'!$U$51</f>
        <v>0</v>
      </c>
    </row>
    <row r="891" spans="8:16">
      <c r="H891" t="s">
        <v>565</v>
      </c>
      <c r="I891">
        <v>9</v>
      </c>
      <c r="J891" s="2" t="s">
        <v>63</v>
      </c>
      <c r="K891" s="2">
        <v>5</v>
      </c>
      <c r="M891" s="2" cm="1">
        <f t="array" ref="M891">IF(AND('Nom du personnage'!$U$51=Compétences!J891,OR('Nom du personnage'!$C$65:$L$85=Compétences!$M$18,'Nom du personnage'!$Q$65:$Z$85=Compétences!$M$18)),H891,0)</f>
        <v>0</v>
      </c>
      <c r="N891" t="e">
        <f t="shared" si="96"/>
        <v>#N/A</v>
      </c>
      <c r="O891" t="e">
        <f t="shared" si="97"/>
        <v>#N/A</v>
      </c>
      <c r="P891">
        <f>'Nom du personnage'!$U$51</f>
        <v>0</v>
      </c>
    </row>
    <row r="892" spans="8:16" hidden="1">
      <c r="H892" t="s">
        <v>596</v>
      </c>
      <c r="I892">
        <v>11</v>
      </c>
      <c r="J892" s="2" t="s">
        <v>63</v>
      </c>
      <c r="K892" s="2">
        <v>5</v>
      </c>
      <c r="M892">
        <f>IF(AND(J892='Nom du personnage'!$U$51,Concoction!$F$45=TRUE),Compétences!H892,0)</f>
        <v>0</v>
      </c>
      <c r="N892" t="e">
        <f t="shared" si="96"/>
        <v>#N/A</v>
      </c>
      <c r="O892" t="e">
        <f t="shared" si="97"/>
        <v>#N/A</v>
      </c>
      <c r="P892">
        <f>'Nom du personnage'!$U$51</f>
        <v>0</v>
      </c>
    </row>
    <row r="893" spans="8:16" hidden="1">
      <c r="H893" t="s">
        <v>572</v>
      </c>
      <c r="I893">
        <v>13</v>
      </c>
      <c r="J893" s="2" t="s">
        <v>63</v>
      </c>
      <c r="K893" s="2">
        <v>5</v>
      </c>
      <c r="M893">
        <f t="shared" si="95"/>
        <v>0</v>
      </c>
      <c r="N893" t="e">
        <f t="shared" si="96"/>
        <v>#N/A</v>
      </c>
      <c r="O893" t="e">
        <f t="shared" si="97"/>
        <v>#N/A</v>
      </c>
      <c r="P893">
        <f>'Nom du personnage'!$U$51</f>
        <v>0</v>
      </c>
    </row>
    <row r="894" spans="8:16" hidden="1">
      <c r="H894" t="s">
        <v>597</v>
      </c>
      <c r="I894">
        <v>12</v>
      </c>
      <c r="J894" s="2" t="s">
        <v>63</v>
      </c>
      <c r="K894" s="2">
        <v>5</v>
      </c>
      <c r="M894" s="2" cm="1">
        <f t="array" ref="M894">IF(AND(J894='Nom du personnage'!$U$51,OR('Nom du personnage'!$C$65:$L$85=Compétences!$H$19,'Nom du personnage'!$Q$65:$Z$85=Compétences!$H$19)),H894,0)</f>
        <v>0</v>
      </c>
      <c r="N894" t="e">
        <f t="shared" si="96"/>
        <v>#N/A</v>
      </c>
      <c r="O894" t="e">
        <f t="shared" si="97"/>
        <v>#N/A</v>
      </c>
      <c r="P894">
        <f>'Nom du personnage'!$U$51</f>
        <v>0</v>
      </c>
    </row>
    <row r="895" spans="8:16" hidden="1">
      <c r="H895" t="s">
        <v>566</v>
      </c>
      <c r="I895">
        <v>12</v>
      </c>
      <c r="J895" s="2" t="s">
        <v>63</v>
      </c>
      <c r="K895" s="2">
        <v>5</v>
      </c>
      <c r="M895">
        <f t="shared" si="95"/>
        <v>0</v>
      </c>
      <c r="N895" t="e">
        <f t="shared" si="96"/>
        <v>#N/A</v>
      </c>
      <c r="O895" t="e">
        <f t="shared" si="97"/>
        <v>#N/A</v>
      </c>
      <c r="P895">
        <f>'Nom du personnage'!$U$51</f>
        <v>0</v>
      </c>
    </row>
    <row r="896" spans="8:16" hidden="1">
      <c r="H896" t="s">
        <v>567</v>
      </c>
      <c r="I896">
        <v>10</v>
      </c>
      <c r="J896" s="2" t="s">
        <v>63</v>
      </c>
      <c r="K896" s="2">
        <v>5</v>
      </c>
      <c r="M896">
        <f t="shared" si="95"/>
        <v>0</v>
      </c>
      <c r="N896" t="e">
        <f t="shared" si="96"/>
        <v>#N/A</v>
      </c>
      <c r="O896" t="e">
        <f t="shared" si="97"/>
        <v>#N/A</v>
      </c>
      <c r="P896">
        <f>'Nom du personnage'!$U$51</f>
        <v>0</v>
      </c>
    </row>
    <row r="897" spans="8:16" hidden="1">
      <c r="H897" t="s">
        <v>573</v>
      </c>
      <c r="I897">
        <v>12</v>
      </c>
      <c r="J897" s="2" t="s">
        <v>63</v>
      </c>
      <c r="K897" s="2">
        <v>5</v>
      </c>
      <c r="M897">
        <f t="shared" si="95"/>
        <v>0</v>
      </c>
      <c r="N897" t="e">
        <f t="shared" si="96"/>
        <v>#N/A</v>
      </c>
      <c r="O897" t="e">
        <f t="shared" si="97"/>
        <v>#N/A</v>
      </c>
      <c r="P897">
        <f>'Nom du personnage'!$U$51</f>
        <v>0</v>
      </c>
    </row>
    <row r="898" spans="8:16" hidden="1">
      <c r="H898" t="s">
        <v>580</v>
      </c>
      <c r="I898">
        <v>9</v>
      </c>
      <c r="J898" s="2" t="s">
        <v>63</v>
      </c>
      <c r="K898" s="2">
        <v>5</v>
      </c>
      <c r="M898">
        <f t="shared" si="95"/>
        <v>0</v>
      </c>
      <c r="N898" t="e">
        <f t="shared" si="96"/>
        <v>#N/A</v>
      </c>
      <c r="O898" t="e">
        <f t="shared" si="97"/>
        <v>#N/A</v>
      </c>
      <c r="P898">
        <f>'Nom du personnage'!$U$51</f>
        <v>0</v>
      </c>
    </row>
    <row r="899" spans="8:16" hidden="1">
      <c r="H899" t="s">
        <v>588</v>
      </c>
      <c r="I899">
        <v>12</v>
      </c>
      <c r="J899" s="2" t="s">
        <v>63</v>
      </c>
      <c r="K899" s="2">
        <v>5</v>
      </c>
      <c r="M899" s="2" cm="1">
        <f t="array" ref="M899">IF(AND('Nom du personnage'!$U$51=Compétences!J899,OR('Nom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personnage'!$Q$65:$Z$85=Compétences!$H$1052)),H899,0)</f>
        <v>0</v>
      </c>
      <c r="N899" t="e">
        <f t="shared" si="96"/>
        <v>#N/A</v>
      </c>
      <c r="O899" t="e">
        <f t="shared" si="97"/>
        <v>#N/A</v>
      </c>
      <c r="P899">
        <f>'Nom du personnage'!$U$51</f>
        <v>0</v>
      </c>
    </row>
    <row r="900" spans="8:16" hidden="1">
      <c r="H900" t="s">
        <v>581</v>
      </c>
      <c r="I900">
        <v>11</v>
      </c>
      <c r="J900" s="2" t="s">
        <v>63</v>
      </c>
      <c r="K900" s="2">
        <v>5</v>
      </c>
      <c r="M900">
        <f t="shared" si="95"/>
        <v>0</v>
      </c>
      <c r="N900" t="e">
        <f t="shared" si="96"/>
        <v>#N/A</v>
      </c>
      <c r="O900" t="e">
        <f t="shared" si="97"/>
        <v>#N/A</v>
      </c>
      <c r="P900">
        <f>'Nom du personnage'!$U$51</f>
        <v>0</v>
      </c>
    </row>
    <row r="901" spans="8:16" hidden="1">
      <c r="H901" t="s">
        <v>583</v>
      </c>
      <c r="I901">
        <v>12</v>
      </c>
      <c r="J901" s="2" t="s">
        <v>63</v>
      </c>
      <c r="K901" s="2">
        <v>5</v>
      </c>
      <c r="M901">
        <f t="shared" si="95"/>
        <v>0</v>
      </c>
      <c r="N901" t="e">
        <f t="shared" ref="N901:N932" si="98">VLOOKUP(M901,H901:J958,2,FALSE)</f>
        <v>#N/A</v>
      </c>
      <c r="O901" t="e">
        <f t="shared" ref="O901:O932" si="99">VLOOKUP(M901,H901:J958,2,FALSE)+1</f>
        <v>#N/A</v>
      </c>
      <c r="P901">
        <f>'Nom du personnage'!$U$51</f>
        <v>0</v>
      </c>
    </row>
    <row r="902" spans="8:16" hidden="1">
      <c r="H902" t="s">
        <v>568</v>
      </c>
      <c r="I902">
        <v>12</v>
      </c>
      <c r="J902" s="2" t="s">
        <v>63</v>
      </c>
      <c r="K902" s="2">
        <v>5</v>
      </c>
      <c r="M902">
        <f t="shared" si="95"/>
        <v>0</v>
      </c>
      <c r="N902" t="e">
        <f t="shared" si="98"/>
        <v>#N/A</v>
      </c>
      <c r="O902" t="e">
        <f t="shared" si="99"/>
        <v>#N/A</v>
      </c>
      <c r="P902">
        <f>'Nom du personnage'!$U$51</f>
        <v>0</v>
      </c>
    </row>
    <row r="903" spans="8:16" hidden="1">
      <c r="H903" t="s">
        <v>584</v>
      </c>
      <c r="I903">
        <v>12</v>
      </c>
      <c r="J903" s="2" t="s">
        <v>63</v>
      </c>
      <c r="K903" s="2">
        <v>5</v>
      </c>
      <c r="M903">
        <f t="shared" si="95"/>
        <v>0</v>
      </c>
      <c r="N903" t="e">
        <f t="shared" si="98"/>
        <v>#N/A</v>
      </c>
      <c r="O903" t="e">
        <f t="shared" si="99"/>
        <v>#N/A</v>
      </c>
      <c r="P903">
        <f>'Nom du personnage'!$U$51</f>
        <v>0</v>
      </c>
    </row>
    <row r="904" spans="8:16" hidden="1">
      <c r="H904" t="s">
        <v>598</v>
      </c>
      <c r="I904">
        <v>11</v>
      </c>
      <c r="J904" s="2" t="s">
        <v>63</v>
      </c>
      <c r="K904" s="2">
        <v>5</v>
      </c>
      <c r="M904" s="2" cm="1">
        <f t="array" ref="M904">IF(AND(J904='Nom du personnage'!$U$51,OR('Nom du personnage'!$C$65:$L$85=Compétences!$H$19,'Nom du personnage'!$Q$65:$Z$85=Compétences!$H$19)),H904,0)</f>
        <v>0</v>
      </c>
      <c r="N904" t="e">
        <f t="shared" si="98"/>
        <v>#N/A</v>
      </c>
      <c r="O904" t="e">
        <f t="shared" si="99"/>
        <v>#N/A</v>
      </c>
      <c r="P904">
        <f>'Nom du personnage'!$U$51</f>
        <v>0</v>
      </c>
    </row>
    <row r="905" spans="8:16" hidden="1">
      <c r="H905" t="s">
        <v>585</v>
      </c>
      <c r="I905">
        <v>11</v>
      </c>
      <c r="J905" s="2" t="s">
        <v>63</v>
      </c>
      <c r="K905" s="2">
        <v>5</v>
      </c>
      <c r="M905">
        <f t="shared" si="95"/>
        <v>0</v>
      </c>
      <c r="N905" t="e">
        <f t="shared" si="98"/>
        <v>#N/A</v>
      </c>
      <c r="O905" t="e">
        <f t="shared" si="99"/>
        <v>#N/A</v>
      </c>
      <c r="P905">
        <f>'Nom du personnage'!$U$51</f>
        <v>0</v>
      </c>
    </row>
    <row r="906" spans="8:16" hidden="1">
      <c r="H906" t="s">
        <v>586</v>
      </c>
      <c r="I906">
        <v>11</v>
      </c>
      <c r="J906" s="2" t="s">
        <v>63</v>
      </c>
      <c r="K906" s="2">
        <v>5</v>
      </c>
      <c r="M906" s="2" cm="1">
        <f t="array" ref="M906">IF(AND('Nom du personnage'!$U$51=Compétences!J906,OR('Nom du personnage'!$C$65:$L$85=Compétences!$H$89,'Nom du personnage'!$Q$65:$Z$85=Compétences!$H$89)),H906,0)</f>
        <v>0</v>
      </c>
      <c r="N906" t="e">
        <f t="shared" si="98"/>
        <v>#N/A</v>
      </c>
      <c r="O906" t="e">
        <f t="shared" si="99"/>
        <v>#N/A</v>
      </c>
      <c r="P906">
        <f>'Nom du personnage'!$U$51</f>
        <v>0</v>
      </c>
    </row>
    <row r="907" spans="8:16" hidden="1">
      <c r="H907" t="s">
        <v>587</v>
      </c>
      <c r="I907">
        <v>8</v>
      </c>
      <c r="J907" s="2" t="s">
        <v>63</v>
      </c>
      <c r="K907" s="2">
        <v>5</v>
      </c>
      <c r="M907">
        <f t="shared" si="95"/>
        <v>0</v>
      </c>
      <c r="N907" t="e">
        <f t="shared" si="98"/>
        <v>#N/A</v>
      </c>
      <c r="O907" t="e">
        <f t="shared" si="99"/>
        <v>#N/A</v>
      </c>
      <c r="P907">
        <f>'Nom du personnage'!$U$51</f>
        <v>0</v>
      </c>
    </row>
    <row r="908" spans="8:16" hidden="1">
      <c r="H908" t="s">
        <v>599</v>
      </c>
      <c r="I908">
        <v>10</v>
      </c>
      <c r="J908" s="2" t="s">
        <v>73</v>
      </c>
      <c r="K908" s="2">
        <v>5</v>
      </c>
      <c r="M908">
        <f t="shared" si="95"/>
        <v>0</v>
      </c>
      <c r="N908" t="e">
        <f t="shared" si="98"/>
        <v>#N/A</v>
      </c>
      <c r="O908" t="e">
        <f t="shared" si="99"/>
        <v>#N/A</v>
      </c>
      <c r="P908">
        <f>'Nom du personnage'!$U$51</f>
        <v>0</v>
      </c>
    </row>
    <row r="909" spans="8:16" hidden="1">
      <c r="H909" t="s">
        <v>556</v>
      </c>
      <c r="I909">
        <v>12</v>
      </c>
      <c r="J909" s="2" t="s">
        <v>73</v>
      </c>
      <c r="K909" s="2">
        <v>5</v>
      </c>
      <c r="M909">
        <f t="shared" si="95"/>
        <v>0</v>
      </c>
      <c r="N909" t="e">
        <f t="shared" si="98"/>
        <v>#N/A</v>
      </c>
      <c r="O909" t="e">
        <f t="shared" si="99"/>
        <v>#N/A</v>
      </c>
      <c r="P909">
        <f>'Nom du personnage'!$U$51</f>
        <v>0</v>
      </c>
    </row>
    <row r="910" spans="8:16" hidden="1">
      <c r="H910" t="s">
        <v>600</v>
      </c>
      <c r="I910">
        <v>11</v>
      </c>
      <c r="J910" s="2" t="s">
        <v>73</v>
      </c>
      <c r="K910" s="2">
        <v>5</v>
      </c>
      <c r="M910">
        <f t="shared" si="95"/>
        <v>0</v>
      </c>
      <c r="N910" t="e">
        <f t="shared" si="98"/>
        <v>#N/A</v>
      </c>
      <c r="O910" t="e">
        <f t="shared" si="99"/>
        <v>#N/A</v>
      </c>
      <c r="P910">
        <f>'Nom du personnage'!$U$51</f>
        <v>0</v>
      </c>
    </row>
    <row r="911" spans="8:16" hidden="1">
      <c r="H911" t="s">
        <v>569</v>
      </c>
      <c r="I911">
        <v>9</v>
      </c>
      <c r="J911" s="2" t="s">
        <v>73</v>
      </c>
      <c r="K911" s="2">
        <v>5</v>
      </c>
      <c r="M911" s="2" cm="1">
        <f t="array" ref="M911">IF(AND('Nom du personnage'!$U$51=Compétences!J911,OR('Nom du personnage'!$C$65:$L$85=Compétences!$M$12,'Nom du personnage'!$Q$65:$Z$85=Compétences!$M$12)),H911,0)</f>
        <v>0</v>
      </c>
      <c r="N911" t="e">
        <f t="shared" si="98"/>
        <v>#N/A</v>
      </c>
      <c r="O911" t="e">
        <f t="shared" si="99"/>
        <v>#N/A</v>
      </c>
      <c r="P911">
        <f>'Nom du personnage'!$U$51</f>
        <v>0</v>
      </c>
    </row>
    <row r="912" spans="8:16" hidden="1">
      <c r="H912" t="s">
        <v>557</v>
      </c>
      <c r="I912">
        <v>12</v>
      </c>
      <c r="J912" s="2" t="s">
        <v>73</v>
      </c>
      <c r="K912" s="2">
        <v>5</v>
      </c>
      <c r="M912" s="2" cm="1">
        <f t="array" ref="M912">IF(AND('Nom du personnage'!U918=Compétences!J912,OR('Nom du personnage'!$C$65:$L$85=Compétences!$M$13,'Nom du personnage'!$Q$65:$Z$85=Compétences!$M$13)),H912,0)</f>
        <v>0</v>
      </c>
      <c r="N912" t="e">
        <f t="shared" si="98"/>
        <v>#N/A</v>
      </c>
      <c r="O912" t="e">
        <f t="shared" si="99"/>
        <v>#N/A</v>
      </c>
      <c r="P912">
        <f>'Nom du personnage'!$U$51</f>
        <v>0</v>
      </c>
    </row>
    <row r="913" spans="8:16" hidden="1">
      <c r="H913" t="s">
        <v>558</v>
      </c>
      <c r="I913">
        <v>12</v>
      </c>
      <c r="J913" s="2" t="s">
        <v>73</v>
      </c>
      <c r="K913" s="2">
        <v>5</v>
      </c>
      <c r="M913">
        <f t="shared" si="95"/>
        <v>0</v>
      </c>
      <c r="N913" t="e">
        <f t="shared" si="98"/>
        <v>#N/A</v>
      </c>
      <c r="O913" t="e">
        <f t="shared" si="99"/>
        <v>#N/A</v>
      </c>
      <c r="P913">
        <f>'Nom du personnage'!$U$51</f>
        <v>0</v>
      </c>
    </row>
    <row r="914" spans="8:16" hidden="1">
      <c r="H914" t="s">
        <v>560</v>
      </c>
      <c r="I914">
        <v>12</v>
      </c>
      <c r="J914" s="2" t="s">
        <v>73</v>
      </c>
      <c r="K914" s="2">
        <v>5</v>
      </c>
      <c r="M914">
        <f t="shared" si="95"/>
        <v>0</v>
      </c>
      <c r="N914" t="e">
        <f t="shared" si="98"/>
        <v>#N/A</v>
      </c>
      <c r="O914" t="e">
        <f t="shared" si="99"/>
        <v>#N/A</v>
      </c>
      <c r="P914">
        <f>'Nom du personnage'!$U$51</f>
        <v>0</v>
      </c>
    </row>
    <row r="915" spans="8:16" hidden="1">
      <c r="H915" t="s">
        <v>561</v>
      </c>
      <c r="I915">
        <v>11</v>
      </c>
      <c r="J915" s="2" t="s">
        <v>73</v>
      </c>
      <c r="K915" s="2">
        <v>5</v>
      </c>
      <c r="M915">
        <f t="shared" si="95"/>
        <v>0</v>
      </c>
      <c r="N915" t="e">
        <f t="shared" si="98"/>
        <v>#N/A</v>
      </c>
      <c r="O915" t="e">
        <f t="shared" si="99"/>
        <v>#N/A</v>
      </c>
      <c r="P915">
        <f>'Nom du personnage'!$U$51</f>
        <v>0</v>
      </c>
    </row>
    <row r="916" spans="8:16" hidden="1">
      <c r="H916" t="s">
        <v>562</v>
      </c>
      <c r="I916">
        <v>12</v>
      </c>
      <c r="J916" s="2" t="s">
        <v>73</v>
      </c>
      <c r="K916" s="2">
        <v>5</v>
      </c>
      <c r="M916" s="2" cm="1">
        <f t="array" ref="M916">IF(AND('Nom du personnage'!U788=Compétences!J916,OR('Nom du personnage'!$C$65:$L$85=Compétences!$H$48,'Nom du personnage'!$Q$65:$Z$85=Compétences!$H$48)),H916,0)</f>
        <v>0</v>
      </c>
      <c r="N916" t="e">
        <f t="shared" si="98"/>
        <v>#N/A</v>
      </c>
      <c r="O916" t="e">
        <f t="shared" si="99"/>
        <v>#N/A</v>
      </c>
      <c r="P916">
        <f>'Nom du personnage'!$U$51</f>
        <v>0</v>
      </c>
    </row>
    <row r="917" spans="8:16" hidden="1">
      <c r="H917" t="s">
        <v>574</v>
      </c>
      <c r="I917">
        <v>11</v>
      </c>
      <c r="J917" s="2" t="s">
        <v>73</v>
      </c>
      <c r="K917" s="2">
        <v>5</v>
      </c>
      <c r="M917">
        <f>IF(AND('Nom du personnage'!$U$51=Compétences!J917,Religion!$D$29=TRUE),Compétences!H917,0)</f>
        <v>0</v>
      </c>
      <c r="N917" t="e">
        <f t="shared" si="98"/>
        <v>#N/A</v>
      </c>
      <c r="O917" t="e">
        <f t="shared" si="99"/>
        <v>#N/A</v>
      </c>
      <c r="P917">
        <f>'Nom du personnage'!$U$51</f>
        <v>0</v>
      </c>
    </row>
    <row r="918" spans="8:16" hidden="1">
      <c r="H918" t="s">
        <v>570</v>
      </c>
      <c r="I918">
        <v>10</v>
      </c>
      <c r="J918" s="2" t="s">
        <v>73</v>
      </c>
      <c r="K918" s="2">
        <v>5</v>
      </c>
      <c r="M918">
        <f t="shared" si="95"/>
        <v>0</v>
      </c>
      <c r="N918" t="e">
        <f t="shared" si="98"/>
        <v>#N/A</v>
      </c>
      <c r="O918" t="e">
        <f t="shared" si="99"/>
        <v>#N/A</v>
      </c>
      <c r="P918">
        <f>'Nom du personnage'!$U$51</f>
        <v>0</v>
      </c>
    </row>
    <row r="919" spans="8:16" hidden="1">
      <c r="H919" t="s">
        <v>563</v>
      </c>
      <c r="I919">
        <v>10</v>
      </c>
      <c r="J919" s="2" t="s">
        <v>73</v>
      </c>
      <c r="K919" s="2">
        <v>5</v>
      </c>
      <c r="M919">
        <f t="shared" si="95"/>
        <v>0</v>
      </c>
      <c r="N919" t="e">
        <f t="shared" si="98"/>
        <v>#N/A</v>
      </c>
      <c r="O919" t="e">
        <f t="shared" si="99"/>
        <v>#N/A</v>
      </c>
      <c r="P919">
        <f>'Nom du personnage'!$U$51</f>
        <v>0</v>
      </c>
    </row>
    <row r="920" spans="8:16" hidden="1">
      <c r="H920" t="s">
        <v>564</v>
      </c>
      <c r="I920">
        <v>11</v>
      </c>
      <c r="J920" s="2" t="s">
        <v>73</v>
      </c>
      <c r="K920" s="2">
        <v>5</v>
      </c>
      <c r="M920" s="2" cm="1">
        <f t="array" ref="M920">IF(AND('Nom du personnage'!U920=Compétences!J920,OR('Nom du personnage'!$C$65:$L$85=Compétences!$H$50,'Nom du personnage'!$Q$65:$Z$85=Compétences!$H$50)),H920,0)</f>
        <v>0</v>
      </c>
      <c r="N920" t="e">
        <f t="shared" si="98"/>
        <v>#N/A</v>
      </c>
      <c r="O920" t="e">
        <f t="shared" si="99"/>
        <v>#N/A</v>
      </c>
      <c r="P920">
        <f>'Nom du personnage'!$U$51</f>
        <v>0</v>
      </c>
    </row>
    <row r="921" spans="8:16" hidden="1">
      <c r="H921" t="s">
        <v>571</v>
      </c>
      <c r="I921">
        <v>12</v>
      </c>
      <c r="J921" s="2" t="s">
        <v>73</v>
      </c>
      <c r="K921" s="2">
        <v>5</v>
      </c>
      <c r="M921">
        <f t="shared" si="95"/>
        <v>0</v>
      </c>
      <c r="N921" t="e">
        <f t="shared" si="98"/>
        <v>#N/A</v>
      </c>
      <c r="O921" t="e">
        <f t="shared" si="99"/>
        <v>#N/A</v>
      </c>
      <c r="P921">
        <f>'Nom du personnage'!$U$51</f>
        <v>0</v>
      </c>
    </row>
    <row r="922" spans="8:16" hidden="1">
      <c r="H922" t="s">
        <v>601</v>
      </c>
      <c r="I922">
        <v>11</v>
      </c>
      <c r="J922" s="2" t="s">
        <v>73</v>
      </c>
      <c r="K922" s="2">
        <v>5</v>
      </c>
      <c r="M922">
        <f t="shared" si="95"/>
        <v>0</v>
      </c>
      <c r="N922" t="e">
        <f t="shared" si="98"/>
        <v>#N/A</v>
      </c>
      <c r="O922" t="e">
        <f t="shared" si="99"/>
        <v>#N/A</v>
      </c>
      <c r="P922">
        <f>'Nom du personnage'!$U$51</f>
        <v>0</v>
      </c>
    </row>
    <row r="923" spans="8:16">
      <c r="H923" t="s">
        <v>565</v>
      </c>
      <c r="I923">
        <v>9</v>
      </c>
      <c r="J923" s="2" t="s">
        <v>73</v>
      </c>
      <c r="K923" s="2">
        <v>5</v>
      </c>
      <c r="M923" s="2" cm="1">
        <f t="array" ref="M923">IF(AND('Nom du personnage'!$U$51=Compétences!J923,OR('Nom du personnage'!$C$65:$L$85=Compétences!$M$18,'Nom du personnage'!$Q$65:$Z$85=Compétences!$M$18)),H923,0)</f>
        <v>0</v>
      </c>
      <c r="N923" t="e">
        <f t="shared" si="98"/>
        <v>#N/A</v>
      </c>
      <c r="O923" t="e">
        <f t="shared" si="99"/>
        <v>#N/A</v>
      </c>
      <c r="P923">
        <f>'Nom du personnage'!$U$51</f>
        <v>0</v>
      </c>
    </row>
    <row r="924" spans="8:16" hidden="1">
      <c r="H924" t="s">
        <v>575</v>
      </c>
      <c r="I924">
        <v>12</v>
      </c>
      <c r="J924" s="2" t="s">
        <v>73</v>
      </c>
      <c r="K924" s="2">
        <v>5</v>
      </c>
      <c r="M924">
        <f t="shared" si="95"/>
        <v>0</v>
      </c>
      <c r="N924" t="e">
        <f t="shared" si="98"/>
        <v>#N/A</v>
      </c>
      <c r="O924" t="e">
        <f t="shared" si="99"/>
        <v>#N/A</v>
      </c>
      <c r="P924">
        <f>'Nom du personnage'!$U$51</f>
        <v>0</v>
      </c>
    </row>
    <row r="925" spans="8:16" hidden="1">
      <c r="H925" t="s">
        <v>576</v>
      </c>
      <c r="I925">
        <v>12</v>
      </c>
      <c r="J925" s="2" t="s">
        <v>73</v>
      </c>
      <c r="K925" s="2">
        <v>5</v>
      </c>
      <c r="M925">
        <f t="shared" si="95"/>
        <v>0</v>
      </c>
      <c r="N925" t="e">
        <f t="shared" si="98"/>
        <v>#N/A</v>
      </c>
      <c r="O925" t="e">
        <f t="shared" si="99"/>
        <v>#N/A</v>
      </c>
      <c r="P925">
        <f>'Nom du personnage'!$U$51</f>
        <v>0</v>
      </c>
    </row>
    <row r="926" spans="8:16" hidden="1">
      <c r="H926" t="s">
        <v>577</v>
      </c>
      <c r="I926">
        <v>12</v>
      </c>
      <c r="J926" s="2" t="s">
        <v>73</v>
      </c>
      <c r="K926" s="2">
        <v>5</v>
      </c>
      <c r="M926">
        <f>IF(AND('Nom du personnage'!$U$51=Compétences!J926,Religion!$D$29),Compétences!H926,0)</f>
        <v>0</v>
      </c>
      <c r="N926" t="e">
        <f t="shared" si="98"/>
        <v>#N/A</v>
      </c>
      <c r="O926" t="e">
        <f t="shared" si="99"/>
        <v>#N/A</v>
      </c>
      <c r="P926">
        <f>'Nom du personnage'!$U$51</f>
        <v>0</v>
      </c>
    </row>
    <row r="927" spans="8:16" hidden="1">
      <c r="H927" t="s">
        <v>572</v>
      </c>
      <c r="I927">
        <v>13</v>
      </c>
      <c r="J927" s="2" t="s">
        <v>73</v>
      </c>
      <c r="K927" s="2">
        <v>5</v>
      </c>
      <c r="M927">
        <f t="shared" si="95"/>
        <v>0</v>
      </c>
      <c r="N927" t="e">
        <f t="shared" si="98"/>
        <v>#N/A</v>
      </c>
      <c r="O927" t="e">
        <f t="shared" si="99"/>
        <v>#N/A</v>
      </c>
      <c r="P927">
        <f>'Nom du personnage'!$U$51</f>
        <v>0</v>
      </c>
    </row>
    <row r="928" spans="8:16" hidden="1">
      <c r="H928" t="s">
        <v>578</v>
      </c>
      <c r="I928">
        <v>9</v>
      </c>
      <c r="J928" s="2" t="s">
        <v>73</v>
      </c>
      <c r="K928" s="2">
        <v>5</v>
      </c>
      <c r="M928">
        <f t="shared" si="95"/>
        <v>0</v>
      </c>
      <c r="N928" t="e">
        <f t="shared" si="98"/>
        <v>#N/A</v>
      </c>
      <c r="O928" t="e">
        <f t="shared" si="99"/>
        <v>#N/A</v>
      </c>
      <c r="P928">
        <f>'Nom du personnage'!$U$51</f>
        <v>0</v>
      </c>
    </row>
    <row r="929" spans="8:16" hidden="1">
      <c r="H929" t="s">
        <v>579</v>
      </c>
      <c r="I929">
        <v>11</v>
      </c>
      <c r="J929" s="2" t="s">
        <v>73</v>
      </c>
      <c r="K929" s="2">
        <v>5</v>
      </c>
      <c r="M929">
        <f t="shared" si="95"/>
        <v>0</v>
      </c>
      <c r="N929" t="e">
        <f t="shared" si="98"/>
        <v>#N/A</v>
      </c>
      <c r="O929" t="e">
        <f t="shared" si="99"/>
        <v>#N/A</v>
      </c>
      <c r="P929">
        <f>'Nom du personnage'!$U$51</f>
        <v>0</v>
      </c>
    </row>
    <row r="930" spans="8:16" hidden="1">
      <c r="H930" t="s">
        <v>566</v>
      </c>
      <c r="I930">
        <v>12</v>
      </c>
      <c r="J930" s="2" t="s">
        <v>73</v>
      </c>
      <c r="K930" s="2">
        <v>5</v>
      </c>
      <c r="M930">
        <f t="shared" si="95"/>
        <v>0</v>
      </c>
      <c r="N930" t="e">
        <f t="shared" si="98"/>
        <v>#N/A</v>
      </c>
      <c r="O930" t="e">
        <f t="shared" si="99"/>
        <v>#N/A</v>
      </c>
      <c r="P930">
        <f>'Nom du personnage'!$U$51</f>
        <v>0</v>
      </c>
    </row>
    <row r="931" spans="8:16" hidden="1">
      <c r="H931" t="s">
        <v>567</v>
      </c>
      <c r="I931">
        <v>10</v>
      </c>
      <c r="J931" s="2" t="s">
        <v>73</v>
      </c>
      <c r="K931" s="2">
        <v>5</v>
      </c>
      <c r="M931">
        <f t="shared" si="95"/>
        <v>0</v>
      </c>
      <c r="N931" t="e">
        <f t="shared" si="98"/>
        <v>#N/A</v>
      </c>
      <c r="O931" t="e">
        <f t="shared" si="99"/>
        <v>#N/A</v>
      </c>
      <c r="P931">
        <f>'Nom du personnage'!$U$51</f>
        <v>0</v>
      </c>
    </row>
    <row r="932" spans="8:16" hidden="1">
      <c r="H932" t="s">
        <v>573</v>
      </c>
      <c r="I932">
        <v>12</v>
      </c>
      <c r="J932" s="2" t="s">
        <v>73</v>
      </c>
      <c r="K932" s="2">
        <v>5</v>
      </c>
      <c r="M932">
        <f t="shared" si="95"/>
        <v>0</v>
      </c>
      <c r="N932" t="e">
        <f t="shared" si="98"/>
        <v>#N/A</v>
      </c>
      <c r="O932" t="e">
        <f t="shared" si="99"/>
        <v>#N/A</v>
      </c>
      <c r="P932">
        <f>'Nom du personnage'!$U$51</f>
        <v>0</v>
      </c>
    </row>
    <row r="933" spans="8:16" hidden="1">
      <c r="H933" t="s">
        <v>580</v>
      </c>
      <c r="I933">
        <v>9</v>
      </c>
      <c r="J933" s="2" t="s">
        <v>73</v>
      </c>
      <c r="K933" s="2">
        <v>5</v>
      </c>
      <c r="M933">
        <f t="shared" si="95"/>
        <v>0</v>
      </c>
      <c r="N933" t="e">
        <f t="shared" ref="N933:N964" si="100">VLOOKUP(M933,H933:J990,2,FALSE)</f>
        <v>#N/A</v>
      </c>
      <c r="O933" t="e">
        <f t="shared" ref="O933:O964" si="101">VLOOKUP(M933,H933:J990,2,FALSE)+1</f>
        <v>#N/A</v>
      </c>
      <c r="P933">
        <f>'Nom du personnage'!$U$51</f>
        <v>0</v>
      </c>
    </row>
    <row r="934" spans="8:16" hidden="1">
      <c r="H934" t="s">
        <v>588</v>
      </c>
      <c r="I934">
        <v>12</v>
      </c>
      <c r="J934" s="2" t="s">
        <v>73</v>
      </c>
      <c r="K934" s="2">
        <v>5</v>
      </c>
      <c r="M934" s="2" cm="1">
        <f t="array" ref="M934">IF(AND('Nom du personnage'!$U$51=Compétences!J934,OR('Nom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personnage'!$Q$65:$Z$85=Compétences!$H$1052)),H934,0)</f>
        <v>0</v>
      </c>
      <c r="N934" t="e">
        <f t="shared" si="100"/>
        <v>#N/A</v>
      </c>
      <c r="O934" t="e">
        <f t="shared" si="101"/>
        <v>#N/A</v>
      </c>
      <c r="P934">
        <f>'Nom du personnage'!$U$51</f>
        <v>0</v>
      </c>
    </row>
    <row r="935" spans="8:16" hidden="1">
      <c r="H935" t="s">
        <v>581</v>
      </c>
      <c r="I935">
        <v>11</v>
      </c>
      <c r="J935" s="2" t="s">
        <v>73</v>
      </c>
      <c r="K935" s="2">
        <v>5</v>
      </c>
      <c r="M935">
        <f t="shared" ref="M935:M998" si="102">IF(P935=J935,H935,)</f>
        <v>0</v>
      </c>
      <c r="N935" t="e">
        <f t="shared" si="100"/>
        <v>#N/A</v>
      </c>
      <c r="O935" t="e">
        <f t="shared" si="101"/>
        <v>#N/A</v>
      </c>
      <c r="P935">
        <f>'Nom du personnage'!$U$51</f>
        <v>0</v>
      </c>
    </row>
    <row r="936" spans="8:16" hidden="1">
      <c r="H936" t="s">
        <v>582</v>
      </c>
      <c r="I936">
        <v>12</v>
      </c>
      <c r="J936" s="2" t="s">
        <v>73</v>
      </c>
      <c r="K936" s="2">
        <v>5</v>
      </c>
      <c r="M936">
        <f t="shared" si="102"/>
        <v>0</v>
      </c>
      <c r="N936" t="e">
        <f t="shared" si="100"/>
        <v>#N/A</v>
      </c>
      <c r="O936" t="e">
        <f t="shared" si="101"/>
        <v>#N/A</v>
      </c>
      <c r="P936">
        <f>'Nom du personnage'!$U$51</f>
        <v>0</v>
      </c>
    </row>
    <row r="937" spans="8:16" hidden="1">
      <c r="H937" t="s">
        <v>568</v>
      </c>
      <c r="I937">
        <v>12</v>
      </c>
      <c r="J937" s="2" t="s">
        <v>73</v>
      </c>
      <c r="K937" s="2">
        <v>5</v>
      </c>
      <c r="M937">
        <f t="shared" si="102"/>
        <v>0</v>
      </c>
      <c r="N937" t="e">
        <f t="shared" si="100"/>
        <v>#N/A</v>
      </c>
      <c r="O937" t="e">
        <f t="shared" si="101"/>
        <v>#N/A</v>
      </c>
      <c r="P937">
        <f>'Nom du personnage'!$U$51</f>
        <v>0</v>
      </c>
    </row>
    <row r="938" spans="8:16" hidden="1">
      <c r="H938" t="s">
        <v>584</v>
      </c>
      <c r="I938">
        <v>12</v>
      </c>
      <c r="J938" s="2" t="s">
        <v>73</v>
      </c>
      <c r="K938" s="2">
        <v>5</v>
      </c>
      <c r="M938">
        <f t="shared" si="102"/>
        <v>0</v>
      </c>
      <c r="N938" t="e">
        <f t="shared" si="100"/>
        <v>#N/A</v>
      </c>
      <c r="O938" t="e">
        <f t="shared" si="101"/>
        <v>#N/A</v>
      </c>
      <c r="P938">
        <f>'Nom du personnage'!$U$51</f>
        <v>0</v>
      </c>
    </row>
    <row r="939" spans="8:16" hidden="1">
      <c r="H939" t="s">
        <v>585</v>
      </c>
      <c r="I939">
        <v>11</v>
      </c>
      <c r="J939" s="2" t="s">
        <v>73</v>
      </c>
      <c r="K939" s="2">
        <v>5</v>
      </c>
      <c r="M939">
        <f t="shared" si="102"/>
        <v>0</v>
      </c>
      <c r="N939" t="e">
        <f t="shared" si="100"/>
        <v>#N/A</v>
      </c>
      <c r="O939" t="e">
        <f t="shared" si="101"/>
        <v>#N/A</v>
      </c>
      <c r="P939">
        <f>'Nom du personnage'!$U$51</f>
        <v>0</v>
      </c>
    </row>
    <row r="940" spans="8:16" hidden="1">
      <c r="H940" t="s">
        <v>586</v>
      </c>
      <c r="I940">
        <v>11</v>
      </c>
      <c r="J940" s="2" t="s">
        <v>73</v>
      </c>
      <c r="K940" s="2">
        <v>5</v>
      </c>
      <c r="M940" s="2" cm="1">
        <f t="array" ref="M940">IF(AND('Nom du personnage'!$U$51=Compétences!J940,OR('Nom du personnage'!$C$65:$L$85=Compétences!$H$89,'Nom du personnage'!$Q$65:$Z$85=Compétences!$H$89)),H940,0)</f>
        <v>0</v>
      </c>
      <c r="N940" t="e">
        <f t="shared" si="100"/>
        <v>#N/A</v>
      </c>
      <c r="O940" t="e">
        <f t="shared" si="101"/>
        <v>#N/A</v>
      </c>
      <c r="P940">
        <f>'Nom du personnage'!$U$51</f>
        <v>0</v>
      </c>
    </row>
    <row r="941" spans="8:16" hidden="1">
      <c r="H941" t="s">
        <v>587</v>
      </c>
      <c r="I941">
        <v>8</v>
      </c>
      <c r="J941" s="2" t="s">
        <v>73</v>
      </c>
      <c r="K941" s="2">
        <v>5</v>
      </c>
      <c r="M941">
        <f t="shared" si="102"/>
        <v>0</v>
      </c>
      <c r="N941" t="e">
        <f t="shared" si="100"/>
        <v>#N/A</v>
      </c>
      <c r="O941" t="e">
        <f t="shared" si="101"/>
        <v>#N/A</v>
      </c>
      <c r="P941">
        <f>'Nom du personnage'!$U$51</f>
        <v>0</v>
      </c>
    </row>
    <row r="942" spans="8:16" hidden="1">
      <c r="H942" t="s">
        <v>556</v>
      </c>
      <c r="I942">
        <v>12</v>
      </c>
      <c r="J942" s="2" t="s">
        <v>88</v>
      </c>
      <c r="K942" s="2">
        <v>5</v>
      </c>
      <c r="M942">
        <f t="shared" si="102"/>
        <v>0</v>
      </c>
      <c r="N942" t="e">
        <f t="shared" si="100"/>
        <v>#N/A</v>
      </c>
      <c r="O942" t="e">
        <f t="shared" si="101"/>
        <v>#N/A</v>
      </c>
      <c r="P942">
        <f>'Nom du personnage'!$U$51</f>
        <v>0</v>
      </c>
    </row>
    <row r="943" spans="8:16" hidden="1">
      <c r="H943" t="s">
        <v>569</v>
      </c>
      <c r="I943">
        <v>9</v>
      </c>
      <c r="J943" s="2" t="s">
        <v>88</v>
      </c>
      <c r="K943" s="2">
        <v>5</v>
      </c>
      <c r="M943" s="2" cm="1">
        <f t="array" ref="M943">IF(AND('Nom du personnage'!$U$51=Compétences!J943,OR('Nom du personnage'!$C$65:$L$85=Compétences!$M$12,'Nom du personnage'!$Q$65:$Z$85=Compétences!$M$12)),H943,0)</f>
        <v>0</v>
      </c>
      <c r="N943" t="e">
        <f t="shared" si="100"/>
        <v>#N/A</v>
      </c>
      <c r="O943" t="e">
        <f t="shared" si="101"/>
        <v>#N/A</v>
      </c>
      <c r="P943">
        <f>'Nom du personnage'!$U$51</f>
        <v>0</v>
      </c>
    </row>
    <row r="944" spans="8:16" hidden="1">
      <c r="H944" t="s">
        <v>557</v>
      </c>
      <c r="I944">
        <v>12</v>
      </c>
      <c r="J944" s="2" t="s">
        <v>88</v>
      </c>
      <c r="K944" s="2">
        <v>5</v>
      </c>
      <c r="M944" s="2" cm="1">
        <f t="array" ref="M944">IF(AND('Nom du personnage'!U950=Compétences!J944,OR('Nom du personnage'!$C$65:$L$85=Compétences!$M$13,'Nom du personnage'!$Q$65:$Z$85=Compétences!$M$13)),H944,0)</f>
        <v>0</v>
      </c>
      <c r="N944" t="e">
        <f t="shared" si="100"/>
        <v>#N/A</v>
      </c>
      <c r="O944" t="e">
        <f t="shared" si="101"/>
        <v>#N/A</v>
      </c>
      <c r="P944">
        <f>'Nom du personnage'!$U$51</f>
        <v>0</v>
      </c>
    </row>
    <row r="945" spans="8:16" hidden="1">
      <c r="H945" t="s">
        <v>558</v>
      </c>
      <c r="I945">
        <v>12</v>
      </c>
      <c r="J945" s="2" t="s">
        <v>88</v>
      </c>
      <c r="K945" s="2">
        <v>5</v>
      </c>
      <c r="M945">
        <f t="shared" si="102"/>
        <v>0</v>
      </c>
      <c r="N945" t="e">
        <f t="shared" si="100"/>
        <v>#N/A</v>
      </c>
      <c r="O945" t="e">
        <f t="shared" si="101"/>
        <v>#N/A</v>
      </c>
      <c r="P945">
        <f>'Nom du personnage'!$U$51</f>
        <v>0</v>
      </c>
    </row>
    <row r="946" spans="8:16" hidden="1">
      <c r="H946" t="s">
        <v>560</v>
      </c>
      <c r="I946">
        <v>12</v>
      </c>
      <c r="J946" s="2" t="s">
        <v>88</v>
      </c>
      <c r="K946" s="2">
        <v>5</v>
      </c>
      <c r="M946">
        <f t="shared" si="102"/>
        <v>0</v>
      </c>
      <c r="N946" t="e">
        <f t="shared" si="100"/>
        <v>#N/A</v>
      </c>
      <c r="O946" t="e">
        <f t="shared" si="101"/>
        <v>#N/A</v>
      </c>
      <c r="P946">
        <f>'Nom du personnage'!$U$51</f>
        <v>0</v>
      </c>
    </row>
    <row r="947" spans="8:16" hidden="1">
      <c r="H947" t="s">
        <v>561</v>
      </c>
      <c r="I947">
        <v>11</v>
      </c>
      <c r="J947" s="2" t="s">
        <v>88</v>
      </c>
      <c r="K947" s="2">
        <v>5</v>
      </c>
      <c r="M947">
        <f t="shared" si="102"/>
        <v>0</v>
      </c>
      <c r="N947" t="e">
        <f t="shared" si="100"/>
        <v>#N/A</v>
      </c>
      <c r="O947" t="e">
        <f t="shared" si="101"/>
        <v>#N/A</v>
      </c>
      <c r="P947">
        <f>'Nom du personnage'!$U$51</f>
        <v>0</v>
      </c>
    </row>
    <row r="948" spans="8:16" hidden="1">
      <c r="H948" t="s">
        <v>562</v>
      </c>
      <c r="I948">
        <v>12</v>
      </c>
      <c r="J948" s="2" t="s">
        <v>88</v>
      </c>
      <c r="K948" s="2">
        <v>5</v>
      </c>
      <c r="M948" s="2" cm="1">
        <f t="array" ref="M948">IF(AND('Nom du personnage'!U820=Compétences!J948,OR('Nom du personnage'!$C$65:$L$85=Compétences!$H$48,'Nom du personnage'!$Q$65:$Z$85=Compétences!$H$48)),H948,0)</f>
        <v>0</v>
      </c>
      <c r="N948" t="e">
        <f t="shared" si="100"/>
        <v>#N/A</v>
      </c>
      <c r="O948" t="e">
        <f t="shared" si="101"/>
        <v>#N/A</v>
      </c>
      <c r="P948">
        <f>'Nom du personnage'!$U$51</f>
        <v>0</v>
      </c>
    </row>
    <row r="949" spans="8:16" hidden="1">
      <c r="H949" t="s">
        <v>591</v>
      </c>
      <c r="I949">
        <v>11</v>
      </c>
      <c r="J949" s="2" t="s">
        <v>88</v>
      </c>
      <c r="K949" s="2">
        <v>5</v>
      </c>
      <c r="M949">
        <f>IF('Nom du personnage'!$U$51=Compétences!J949,'Contact marchand'!G3,0)</f>
        <v>0</v>
      </c>
      <c r="N949" t="e">
        <f t="shared" si="100"/>
        <v>#N/A</v>
      </c>
      <c r="O949" t="e">
        <f t="shared" si="101"/>
        <v>#N/A</v>
      </c>
      <c r="P949">
        <f>'Nom du personnage'!$U$51</f>
        <v>0</v>
      </c>
    </row>
    <row r="950" spans="8:16" hidden="1">
      <c r="H950" t="s">
        <v>595</v>
      </c>
      <c r="I950">
        <v>16</v>
      </c>
      <c r="J950" s="2" t="s">
        <v>88</v>
      </c>
      <c r="K950" s="2">
        <v>5</v>
      </c>
      <c r="M950">
        <f>IF('Nom du personnage'!$U$51=Compétences!J950,'Contact marchand'!G4,0)</f>
        <v>0</v>
      </c>
      <c r="N950" t="e">
        <f t="shared" si="100"/>
        <v>#N/A</v>
      </c>
      <c r="O950" t="e">
        <f t="shared" si="101"/>
        <v>#N/A</v>
      </c>
      <c r="P950">
        <f>'Nom du personnage'!$U$51</f>
        <v>0</v>
      </c>
    </row>
    <row r="951" spans="8:16" hidden="1">
      <c r="H951" t="s">
        <v>590</v>
      </c>
      <c r="I951">
        <v>11</v>
      </c>
      <c r="J951" s="2" t="s">
        <v>88</v>
      </c>
      <c r="K951" s="2">
        <v>5</v>
      </c>
      <c r="M951">
        <f>IF('Nom du personnage'!$U$51=Compétences!J951,'Contact marchand'!G5,0)</f>
        <v>0</v>
      </c>
      <c r="N951" t="e">
        <f t="shared" si="100"/>
        <v>#N/A</v>
      </c>
      <c r="O951" t="e">
        <f t="shared" si="101"/>
        <v>#N/A</v>
      </c>
      <c r="P951">
        <f>'Nom du personnage'!$U$51</f>
        <v>0</v>
      </c>
    </row>
    <row r="952" spans="8:16" hidden="1">
      <c r="H952" t="s">
        <v>592</v>
      </c>
      <c r="I952">
        <v>11</v>
      </c>
      <c r="J952" s="2" t="s">
        <v>88</v>
      </c>
      <c r="K952" s="2">
        <v>5</v>
      </c>
      <c r="M952">
        <f>IF('Nom du personnage'!$U$51=Compétences!J952,'Contact marchand'!G6,0)</f>
        <v>0</v>
      </c>
      <c r="N952" t="e">
        <f t="shared" si="100"/>
        <v>#N/A</v>
      </c>
      <c r="O952" t="e">
        <f t="shared" si="101"/>
        <v>#N/A</v>
      </c>
      <c r="P952">
        <f>'Nom du personnage'!$U$51</f>
        <v>0</v>
      </c>
    </row>
    <row r="953" spans="8:16" hidden="1">
      <c r="H953" t="s">
        <v>589</v>
      </c>
      <c r="I953">
        <v>11</v>
      </c>
      <c r="J953" s="2" t="s">
        <v>88</v>
      </c>
      <c r="K953" s="2">
        <v>5</v>
      </c>
      <c r="M953">
        <f>IF('Nom du personnage'!$U$51=Compétences!J953,'Contact marchand'!G7,0)</f>
        <v>0</v>
      </c>
      <c r="N953" t="e">
        <f t="shared" si="100"/>
        <v>#N/A</v>
      </c>
      <c r="O953" t="e">
        <f t="shared" si="101"/>
        <v>#N/A</v>
      </c>
      <c r="P953">
        <f>'Nom du personnage'!$U$51</f>
        <v>0</v>
      </c>
    </row>
    <row r="954" spans="8:16" hidden="1">
      <c r="H954" t="s">
        <v>593</v>
      </c>
      <c r="I954">
        <v>12</v>
      </c>
      <c r="J954" s="2" t="s">
        <v>88</v>
      </c>
      <c r="K954" s="2">
        <v>5</v>
      </c>
      <c r="M954">
        <f>IF('Nom du personnage'!$U$51=Compétences!J954,'Contact marchand'!G8,0)</f>
        <v>0</v>
      </c>
      <c r="N954" t="e">
        <f t="shared" si="100"/>
        <v>#N/A</v>
      </c>
      <c r="O954" t="e">
        <f t="shared" si="101"/>
        <v>#N/A</v>
      </c>
      <c r="P954">
        <f>'Nom du personnage'!$U$51</f>
        <v>0</v>
      </c>
    </row>
    <row r="955" spans="8:16" hidden="1">
      <c r="H955" t="s">
        <v>594</v>
      </c>
      <c r="I955">
        <v>16</v>
      </c>
      <c r="J955" s="2" t="s">
        <v>88</v>
      </c>
      <c r="K955" s="2">
        <v>5</v>
      </c>
      <c r="M955">
        <f>IF('Nom du personnage'!$U$51=Compétences!J955,'Contact marchand'!G9,0)</f>
        <v>0</v>
      </c>
      <c r="N955" t="e">
        <f t="shared" si="100"/>
        <v>#N/A</v>
      </c>
      <c r="O955" t="e">
        <f t="shared" si="101"/>
        <v>#N/A</v>
      </c>
      <c r="P955">
        <f>'Nom du personnage'!$U$51</f>
        <v>0</v>
      </c>
    </row>
    <row r="956" spans="8:16" hidden="1">
      <c r="H956" t="s">
        <v>570</v>
      </c>
      <c r="I956">
        <v>10</v>
      </c>
      <c r="J956" s="2" t="s">
        <v>88</v>
      </c>
      <c r="K956" s="2">
        <v>5</v>
      </c>
      <c r="M956">
        <f t="shared" si="102"/>
        <v>0</v>
      </c>
      <c r="N956" t="e">
        <f t="shared" si="100"/>
        <v>#N/A</v>
      </c>
      <c r="O956" t="e">
        <f t="shared" si="101"/>
        <v>#N/A</v>
      </c>
      <c r="P956">
        <f>'Nom du personnage'!$U$51</f>
        <v>0</v>
      </c>
    </row>
    <row r="957" spans="8:16" hidden="1">
      <c r="H957" t="s">
        <v>563</v>
      </c>
      <c r="I957">
        <v>10</v>
      </c>
      <c r="J957" s="2" t="s">
        <v>88</v>
      </c>
      <c r="K957" s="2">
        <v>5</v>
      </c>
      <c r="M957">
        <f t="shared" si="102"/>
        <v>0</v>
      </c>
      <c r="N957" t="e">
        <f t="shared" si="100"/>
        <v>#N/A</v>
      </c>
      <c r="O957" t="e">
        <f t="shared" si="101"/>
        <v>#N/A</v>
      </c>
      <c r="P957">
        <f>'Nom du personnage'!$U$51</f>
        <v>0</v>
      </c>
    </row>
    <row r="958" spans="8:16" hidden="1">
      <c r="H958" t="s">
        <v>564</v>
      </c>
      <c r="I958">
        <v>11</v>
      </c>
      <c r="J958" s="2" t="s">
        <v>88</v>
      </c>
      <c r="K958" s="2">
        <v>5</v>
      </c>
      <c r="M958" s="2" cm="1">
        <f t="array" ref="M958">IF(AND('Nom du personnage'!U958=Compétences!J958,OR('Nom du personnage'!$C$65:$L$85=Compétences!$H$50,'Nom du personnage'!$Q$65:$Z$85=Compétences!$H$50)),H958,0)</f>
        <v>0</v>
      </c>
      <c r="N958" t="e">
        <f t="shared" si="100"/>
        <v>#N/A</v>
      </c>
      <c r="O958" t="e">
        <f t="shared" si="101"/>
        <v>#N/A</v>
      </c>
      <c r="P958">
        <f>'Nom du personnage'!$U$51</f>
        <v>0</v>
      </c>
    </row>
    <row r="959" spans="8:16" hidden="1">
      <c r="H959" t="s">
        <v>571</v>
      </c>
      <c r="I959">
        <v>12</v>
      </c>
      <c r="J959" s="2" t="s">
        <v>88</v>
      </c>
      <c r="K959" s="2">
        <v>5</v>
      </c>
      <c r="M959">
        <f t="shared" si="102"/>
        <v>0</v>
      </c>
      <c r="N959" t="e">
        <f t="shared" si="100"/>
        <v>#N/A</v>
      </c>
      <c r="O959" t="e">
        <f t="shared" si="101"/>
        <v>#N/A</v>
      </c>
      <c r="P959">
        <f>'Nom du personnage'!$U$51</f>
        <v>0</v>
      </c>
    </row>
    <row r="960" spans="8:16">
      <c r="H960" t="s">
        <v>565</v>
      </c>
      <c r="I960">
        <v>9</v>
      </c>
      <c r="J960" s="2" t="s">
        <v>88</v>
      </c>
      <c r="K960" s="2">
        <v>5</v>
      </c>
      <c r="M960" s="2" cm="1">
        <f t="array" ref="M960">IF(AND('Nom du personnage'!$U$51=Compétences!J960,OR('Nom du personnage'!$C$65:$L$85=Compétences!$M$18,'Nom du personnage'!$Q$65:$Z$85=Compétences!$M$18)),H960,0)</f>
        <v>0</v>
      </c>
      <c r="N960" t="e">
        <f t="shared" si="100"/>
        <v>#N/A</v>
      </c>
      <c r="O960" t="e">
        <f t="shared" si="101"/>
        <v>#N/A</v>
      </c>
      <c r="P960">
        <f>'Nom du personnage'!$U$51</f>
        <v>0</v>
      </c>
    </row>
    <row r="961" spans="8:16" hidden="1">
      <c r="H961" t="s">
        <v>596</v>
      </c>
      <c r="I961">
        <v>11</v>
      </c>
      <c r="J961" s="2" t="s">
        <v>88</v>
      </c>
      <c r="K961" s="2">
        <v>5</v>
      </c>
      <c r="M961">
        <f>IF(AND(J961='Nom du personnage'!$U$51,Concoction!$F$45=TRUE),Compétences!H961,0)</f>
        <v>0</v>
      </c>
      <c r="N961" t="e">
        <f t="shared" si="100"/>
        <v>#N/A</v>
      </c>
      <c r="O961" t="e">
        <f t="shared" si="101"/>
        <v>#N/A</v>
      </c>
      <c r="P961">
        <f>'Nom du personnage'!$U$51</f>
        <v>0</v>
      </c>
    </row>
    <row r="962" spans="8:16" hidden="1">
      <c r="H962" t="s">
        <v>576</v>
      </c>
      <c r="I962">
        <v>12</v>
      </c>
      <c r="J962" s="2" t="s">
        <v>88</v>
      </c>
      <c r="K962" s="2">
        <v>5</v>
      </c>
      <c r="M962">
        <f t="shared" si="102"/>
        <v>0</v>
      </c>
      <c r="N962" t="e">
        <f t="shared" si="100"/>
        <v>#N/A</v>
      </c>
      <c r="O962" t="e">
        <f t="shared" si="101"/>
        <v>#N/A</v>
      </c>
      <c r="P962">
        <f>'Nom du personnage'!$U$51</f>
        <v>0</v>
      </c>
    </row>
    <row r="963" spans="8:16" hidden="1">
      <c r="H963" t="s">
        <v>572</v>
      </c>
      <c r="I963">
        <v>13</v>
      </c>
      <c r="J963" s="2" t="s">
        <v>88</v>
      </c>
      <c r="K963" s="2">
        <v>5</v>
      </c>
      <c r="M963">
        <f t="shared" si="102"/>
        <v>0</v>
      </c>
      <c r="N963" t="e">
        <f t="shared" si="100"/>
        <v>#N/A</v>
      </c>
      <c r="O963" t="e">
        <f t="shared" si="101"/>
        <v>#N/A</v>
      </c>
      <c r="P963">
        <f>'Nom du personnage'!$U$51</f>
        <v>0</v>
      </c>
    </row>
    <row r="964" spans="8:16" hidden="1">
      <c r="H964" t="s">
        <v>597</v>
      </c>
      <c r="I964">
        <v>12</v>
      </c>
      <c r="J964" s="2" t="s">
        <v>88</v>
      </c>
      <c r="K964" s="2">
        <v>5</v>
      </c>
      <c r="M964" s="2" cm="1">
        <f t="array" ref="M964">IF(AND(J964='Nom du personnage'!$U$51,OR('Nom du personnage'!$C$65:$L$85=Compétences!$H$19,'Nom du personnage'!$Q$65:$Z$85=Compétences!$H$19)),H964,0)</f>
        <v>0</v>
      </c>
      <c r="N964" t="e">
        <f t="shared" si="100"/>
        <v>#N/A</v>
      </c>
      <c r="O964" t="e">
        <f t="shared" si="101"/>
        <v>#N/A</v>
      </c>
      <c r="P964">
        <f>'Nom du personnage'!$U$51</f>
        <v>0</v>
      </c>
    </row>
    <row r="965" spans="8:16" hidden="1">
      <c r="H965" t="s">
        <v>566</v>
      </c>
      <c r="I965">
        <v>12</v>
      </c>
      <c r="J965" s="2" t="s">
        <v>88</v>
      </c>
      <c r="K965" s="2">
        <v>5</v>
      </c>
      <c r="M965">
        <f t="shared" si="102"/>
        <v>0</v>
      </c>
      <c r="N965" t="e">
        <f t="shared" ref="N965:N994" si="103">VLOOKUP(M965,H965:J1022,2,FALSE)</f>
        <v>#N/A</v>
      </c>
      <c r="O965" t="e">
        <f t="shared" ref="O965:O994" si="104">VLOOKUP(M965,H965:J1022,2,FALSE)+1</f>
        <v>#N/A</v>
      </c>
      <c r="P965">
        <f>'Nom du personnage'!$U$51</f>
        <v>0</v>
      </c>
    </row>
    <row r="966" spans="8:16" hidden="1">
      <c r="H966" t="s">
        <v>567</v>
      </c>
      <c r="I966">
        <v>10</v>
      </c>
      <c r="J966" s="2" t="s">
        <v>88</v>
      </c>
      <c r="K966" s="2">
        <v>5</v>
      </c>
      <c r="M966">
        <f t="shared" si="102"/>
        <v>0</v>
      </c>
      <c r="N966" t="e">
        <f t="shared" si="103"/>
        <v>#N/A</v>
      </c>
      <c r="O966" t="e">
        <f t="shared" si="104"/>
        <v>#N/A</v>
      </c>
      <c r="P966">
        <f>'Nom du personnage'!$U$51</f>
        <v>0</v>
      </c>
    </row>
    <row r="967" spans="8:16" hidden="1">
      <c r="H967" t="s">
        <v>573</v>
      </c>
      <c r="I967">
        <v>12</v>
      </c>
      <c r="J967" s="2" t="s">
        <v>88</v>
      </c>
      <c r="K967" s="2">
        <v>5</v>
      </c>
      <c r="M967">
        <f t="shared" si="102"/>
        <v>0</v>
      </c>
      <c r="N967" t="e">
        <f t="shared" si="103"/>
        <v>#N/A</v>
      </c>
      <c r="O967" t="e">
        <f t="shared" si="104"/>
        <v>#N/A</v>
      </c>
      <c r="P967">
        <f>'Nom du personnage'!$U$51</f>
        <v>0</v>
      </c>
    </row>
    <row r="968" spans="8:16" hidden="1">
      <c r="H968" t="s">
        <v>588</v>
      </c>
      <c r="I968">
        <v>12</v>
      </c>
      <c r="J968" s="2" t="s">
        <v>88</v>
      </c>
      <c r="K968" s="2">
        <v>5</v>
      </c>
      <c r="M968" s="2" cm="1">
        <f t="array" ref="M968">IF(AND('Nom du personnage'!$U$51=Compétences!J968,OR('Nom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personnage'!$Q$65:$Z$85=Compétences!$H$1052)),H968,0)</f>
        <v>0</v>
      </c>
      <c r="N968" t="e">
        <f t="shared" si="103"/>
        <v>#N/A</v>
      </c>
      <c r="O968" t="e">
        <f t="shared" si="104"/>
        <v>#N/A</v>
      </c>
      <c r="P968">
        <f>'Nom du personnage'!$U$51</f>
        <v>0</v>
      </c>
    </row>
    <row r="969" spans="8:16" hidden="1">
      <c r="H969" t="s">
        <v>581</v>
      </c>
      <c r="I969">
        <v>11</v>
      </c>
      <c r="J969" s="2" t="s">
        <v>88</v>
      </c>
      <c r="K969" s="2">
        <v>5</v>
      </c>
      <c r="M969">
        <f t="shared" si="102"/>
        <v>0</v>
      </c>
      <c r="N969" t="e">
        <f t="shared" si="103"/>
        <v>#N/A</v>
      </c>
      <c r="O969" t="e">
        <f t="shared" si="104"/>
        <v>#N/A</v>
      </c>
      <c r="P969">
        <f>'Nom du personnage'!$U$51</f>
        <v>0</v>
      </c>
    </row>
    <row r="970" spans="8:16" hidden="1">
      <c r="H970" t="s">
        <v>568</v>
      </c>
      <c r="I970">
        <v>12</v>
      </c>
      <c r="J970" s="2" t="s">
        <v>88</v>
      </c>
      <c r="K970" s="2">
        <v>5</v>
      </c>
      <c r="M970">
        <f t="shared" si="102"/>
        <v>0</v>
      </c>
      <c r="N970" t="e">
        <f t="shared" si="103"/>
        <v>#N/A</v>
      </c>
      <c r="O970" t="e">
        <f t="shared" si="104"/>
        <v>#N/A</v>
      </c>
      <c r="P970">
        <f>'Nom du personnage'!$U$51</f>
        <v>0</v>
      </c>
    </row>
    <row r="971" spans="8:16" hidden="1">
      <c r="H971" t="s">
        <v>598</v>
      </c>
      <c r="I971">
        <v>11</v>
      </c>
      <c r="J971" s="2" t="s">
        <v>88</v>
      </c>
      <c r="K971" s="2">
        <v>5</v>
      </c>
      <c r="M971" s="2" cm="1">
        <f t="array" ref="M971">IF(AND(J971='Nom du personnage'!$U$51,OR('Nom du personnage'!$C$65:$L$85=Compétences!$H$19,'Nom du personnage'!$Q$65:$Z$85=Compétences!$H$19)),H971,0)</f>
        <v>0</v>
      </c>
      <c r="N971" t="e">
        <f t="shared" si="103"/>
        <v>#N/A</v>
      </c>
      <c r="O971" t="e">
        <f t="shared" si="104"/>
        <v>#N/A</v>
      </c>
      <c r="P971">
        <f>'Nom du personnage'!$U$51</f>
        <v>0</v>
      </c>
    </row>
    <row r="972" spans="8:16" hidden="1">
      <c r="H972" t="s">
        <v>599</v>
      </c>
      <c r="I972">
        <v>10</v>
      </c>
      <c r="J972" s="2" t="s">
        <v>159</v>
      </c>
      <c r="K972" s="2">
        <v>5</v>
      </c>
      <c r="M972">
        <f t="shared" si="102"/>
        <v>0</v>
      </c>
      <c r="N972" t="e">
        <f t="shared" si="103"/>
        <v>#N/A</v>
      </c>
      <c r="O972" t="e">
        <f t="shared" si="104"/>
        <v>#N/A</v>
      </c>
      <c r="P972">
        <f>'Nom du personnage'!$U$51</f>
        <v>0</v>
      </c>
    </row>
    <row r="973" spans="8:16" hidden="1">
      <c r="H973" t="s">
        <v>556</v>
      </c>
      <c r="I973">
        <v>12</v>
      </c>
      <c r="J973" s="2" t="s">
        <v>159</v>
      </c>
      <c r="K973" s="2">
        <v>5</v>
      </c>
      <c r="M973">
        <f t="shared" si="102"/>
        <v>0</v>
      </c>
      <c r="N973" t="e">
        <f t="shared" si="103"/>
        <v>#N/A</v>
      </c>
      <c r="O973" t="e">
        <f t="shared" si="104"/>
        <v>#N/A</v>
      </c>
      <c r="P973">
        <f>'Nom du personnage'!$U$51</f>
        <v>0</v>
      </c>
    </row>
    <row r="974" spans="8:16" hidden="1">
      <c r="H974" t="s">
        <v>600</v>
      </c>
      <c r="I974">
        <v>11</v>
      </c>
      <c r="J974" s="2" t="s">
        <v>159</v>
      </c>
      <c r="K974" s="2">
        <v>5</v>
      </c>
      <c r="M974">
        <f t="shared" si="102"/>
        <v>0</v>
      </c>
      <c r="N974" t="e">
        <f t="shared" si="103"/>
        <v>#N/A</v>
      </c>
      <c r="O974" t="e">
        <f t="shared" si="104"/>
        <v>#N/A</v>
      </c>
      <c r="P974">
        <f>'Nom du personnage'!$U$51</f>
        <v>0</v>
      </c>
    </row>
    <row r="975" spans="8:16" hidden="1">
      <c r="H975" t="s">
        <v>569</v>
      </c>
      <c r="I975">
        <v>9</v>
      </c>
      <c r="J975" s="2" t="s">
        <v>159</v>
      </c>
      <c r="K975" s="2">
        <v>5</v>
      </c>
      <c r="M975" s="2" cm="1">
        <f t="array" ref="M975">IF(AND('Nom du personnage'!$U$51=Compétences!J975,OR('Nom du personnage'!$C$65:$L$85=Compétences!$M$12,'Nom du personnage'!$Q$65:$Z$85=Compétences!$M$12)),H975,0)</f>
        <v>0</v>
      </c>
      <c r="N975" t="e">
        <f t="shared" si="103"/>
        <v>#N/A</v>
      </c>
      <c r="O975" t="e">
        <f t="shared" si="104"/>
        <v>#N/A</v>
      </c>
      <c r="P975">
        <f>'Nom du personnage'!$U$51</f>
        <v>0</v>
      </c>
    </row>
    <row r="976" spans="8:16" hidden="1">
      <c r="H976" t="s">
        <v>557</v>
      </c>
      <c r="I976">
        <v>12</v>
      </c>
      <c r="J976" s="2" t="s">
        <v>159</v>
      </c>
      <c r="K976" s="2">
        <v>5</v>
      </c>
      <c r="M976" s="2" cm="1">
        <f t="array" ref="M976">IF(AND('Nom du personnage'!U982=Compétences!J976,OR('Nom du personnage'!$C$65:$L$85=Compétences!$M$13,'Nom du personnage'!$Q$65:$Z$85=Compétences!$M$13)),H976,0)</f>
        <v>0</v>
      </c>
      <c r="N976" t="e">
        <f t="shared" si="103"/>
        <v>#N/A</v>
      </c>
      <c r="O976" t="e">
        <f t="shared" si="104"/>
        <v>#N/A</v>
      </c>
      <c r="P976">
        <f>'Nom du personnage'!$U$51</f>
        <v>0</v>
      </c>
    </row>
    <row r="977" spans="8:16" hidden="1">
      <c r="H977" t="s">
        <v>558</v>
      </c>
      <c r="I977">
        <v>12</v>
      </c>
      <c r="J977" s="2" t="s">
        <v>159</v>
      </c>
      <c r="K977" s="2">
        <v>5</v>
      </c>
      <c r="M977">
        <f t="shared" si="102"/>
        <v>0</v>
      </c>
      <c r="N977" t="e">
        <f t="shared" si="103"/>
        <v>#N/A</v>
      </c>
      <c r="O977" t="e">
        <f t="shared" si="104"/>
        <v>#N/A</v>
      </c>
      <c r="P977">
        <f>'Nom du personnage'!$U$51</f>
        <v>0</v>
      </c>
    </row>
    <row r="978" spans="8:16" hidden="1">
      <c r="H978" t="s">
        <v>560</v>
      </c>
      <c r="I978">
        <v>12</v>
      </c>
      <c r="J978" s="2" t="s">
        <v>159</v>
      </c>
      <c r="K978" s="2">
        <v>5</v>
      </c>
      <c r="M978">
        <f t="shared" si="102"/>
        <v>0</v>
      </c>
      <c r="N978" t="e">
        <f t="shared" si="103"/>
        <v>#N/A</v>
      </c>
      <c r="O978" t="e">
        <f t="shared" si="104"/>
        <v>#N/A</v>
      </c>
      <c r="P978">
        <f>'Nom du personnage'!$U$51</f>
        <v>0</v>
      </c>
    </row>
    <row r="979" spans="8:16" hidden="1">
      <c r="H979" t="s">
        <v>561</v>
      </c>
      <c r="I979">
        <v>11</v>
      </c>
      <c r="J979" s="2" t="s">
        <v>159</v>
      </c>
      <c r="K979" s="2">
        <v>5</v>
      </c>
      <c r="M979">
        <f t="shared" si="102"/>
        <v>0</v>
      </c>
      <c r="N979" t="e">
        <f t="shared" si="103"/>
        <v>#N/A</v>
      </c>
      <c r="O979" t="e">
        <f t="shared" si="104"/>
        <v>#N/A</v>
      </c>
      <c r="P979">
        <f>'Nom du personnage'!$U$51</f>
        <v>0</v>
      </c>
    </row>
    <row r="980" spans="8:16" hidden="1">
      <c r="H980" t="s">
        <v>562</v>
      </c>
      <c r="I980">
        <v>12</v>
      </c>
      <c r="J980" s="2" t="s">
        <v>159</v>
      </c>
      <c r="K980" s="2">
        <v>5</v>
      </c>
      <c r="M980" s="2" cm="1">
        <f t="array" ref="M980">IF(AND('Nom du personnage'!U852=Compétences!J980,OR('Nom du personnage'!$C$65:$L$85=Compétences!$H$48,'Nom du personnage'!$Q$65:$Z$85=Compétences!$H$48)),H980,0)</f>
        <v>0</v>
      </c>
      <c r="N980" t="e">
        <f t="shared" si="103"/>
        <v>#N/A</v>
      </c>
      <c r="O980" t="e">
        <f t="shared" si="104"/>
        <v>#N/A</v>
      </c>
      <c r="P980">
        <f>'Nom du personnage'!$U$51</f>
        <v>0</v>
      </c>
    </row>
    <row r="981" spans="8:16" hidden="1">
      <c r="H981" t="s">
        <v>591</v>
      </c>
      <c r="I981">
        <v>11</v>
      </c>
      <c r="J981" s="2" t="s">
        <v>159</v>
      </c>
      <c r="K981" s="2">
        <v>5</v>
      </c>
      <c r="M981">
        <f>IF('Nom du personnage'!$U$51=Compétences!J981,'Contact marchand'!G3,0)</f>
        <v>0</v>
      </c>
      <c r="N981" t="e">
        <f t="shared" si="103"/>
        <v>#N/A</v>
      </c>
      <c r="O981" t="e">
        <f t="shared" si="104"/>
        <v>#N/A</v>
      </c>
      <c r="P981">
        <f>'Nom du personnage'!$U$51</f>
        <v>0</v>
      </c>
    </row>
    <row r="982" spans="8:16" hidden="1">
      <c r="H982" t="s">
        <v>595</v>
      </c>
      <c r="I982">
        <v>16</v>
      </c>
      <c r="J982" s="2" t="s">
        <v>159</v>
      </c>
      <c r="K982" s="2">
        <v>5</v>
      </c>
      <c r="M982">
        <f>IF('Nom du personnage'!$U$51=Compétences!J982,'Contact marchand'!G4,0)</f>
        <v>0</v>
      </c>
      <c r="N982" t="e">
        <f t="shared" si="103"/>
        <v>#N/A</v>
      </c>
      <c r="O982" t="e">
        <f t="shared" si="104"/>
        <v>#N/A</v>
      </c>
      <c r="P982">
        <f>'Nom du personnage'!$U$51</f>
        <v>0</v>
      </c>
    </row>
    <row r="983" spans="8:16" hidden="1">
      <c r="H983" t="s">
        <v>590</v>
      </c>
      <c r="I983">
        <v>11</v>
      </c>
      <c r="J983" s="2" t="s">
        <v>159</v>
      </c>
      <c r="K983" s="2">
        <v>5</v>
      </c>
      <c r="M983">
        <f>IF('Nom du personnage'!$U$51=Compétences!J983,'Contact marchand'!G5,0)</f>
        <v>0</v>
      </c>
      <c r="N983" t="e">
        <f t="shared" si="103"/>
        <v>#N/A</v>
      </c>
      <c r="O983" t="e">
        <f t="shared" si="104"/>
        <v>#N/A</v>
      </c>
      <c r="P983">
        <f>'Nom du personnage'!$U$51</f>
        <v>0</v>
      </c>
    </row>
    <row r="984" spans="8:16" hidden="1">
      <c r="H984" t="s">
        <v>592</v>
      </c>
      <c r="I984">
        <v>11</v>
      </c>
      <c r="J984" s="2" t="s">
        <v>159</v>
      </c>
      <c r="K984" s="2">
        <v>5</v>
      </c>
      <c r="M984">
        <f>IF('Nom du personnage'!$U$51=Compétences!J984,'Contact marchand'!G6,0)</f>
        <v>0</v>
      </c>
      <c r="N984" t="e">
        <f t="shared" si="103"/>
        <v>#N/A</v>
      </c>
      <c r="O984" t="e">
        <f t="shared" si="104"/>
        <v>#N/A</v>
      </c>
      <c r="P984">
        <f>'Nom du personnage'!$U$51</f>
        <v>0</v>
      </c>
    </row>
    <row r="985" spans="8:16" hidden="1">
      <c r="H985" t="s">
        <v>589</v>
      </c>
      <c r="I985">
        <v>11</v>
      </c>
      <c r="J985" s="2" t="s">
        <v>159</v>
      </c>
      <c r="K985" s="2">
        <v>5</v>
      </c>
      <c r="M985">
        <f>IF('Nom du personnage'!$U$51=Compétences!J985,'Contact marchand'!G7,0)</f>
        <v>0</v>
      </c>
      <c r="N985" t="e">
        <f t="shared" si="103"/>
        <v>#N/A</v>
      </c>
      <c r="O985" t="e">
        <f t="shared" si="104"/>
        <v>#N/A</v>
      </c>
      <c r="P985">
        <f>'Nom du personnage'!$U$51</f>
        <v>0</v>
      </c>
    </row>
    <row r="986" spans="8:16" hidden="1">
      <c r="H986" t="s">
        <v>593</v>
      </c>
      <c r="I986">
        <v>12</v>
      </c>
      <c r="J986" s="2" t="s">
        <v>159</v>
      </c>
      <c r="K986" s="2">
        <v>5</v>
      </c>
      <c r="M986">
        <f>IF('Nom du personnage'!$U$51=Compétences!J986,'Contact marchand'!G8,0)</f>
        <v>0</v>
      </c>
      <c r="N986" t="e">
        <f t="shared" si="103"/>
        <v>#N/A</v>
      </c>
      <c r="O986" t="e">
        <f t="shared" si="104"/>
        <v>#N/A</v>
      </c>
      <c r="P986">
        <f>'Nom du personnage'!$U$51</f>
        <v>0</v>
      </c>
    </row>
    <row r="987" spans="8:16" hidden="1">
      <c r="H987" t="s">
        <v>594</v>
      </c>
      <c r="I987">
        <v>16</v>
      </c>
      <c r="J987" s="2" t="s">
        <v>159</v>
      </c>
      <c r="K987" s="2">
        <v>5</v>
      </c>
      <c r="M987">
        <f>IF('Nom du personnage'!$U$51=Compétences!J987,'Contact marchand'!G9,0)</f>
        <v>0</v>
      </c>
      <c r="N987" t="e">
        <f t="shared" si="103"/>
        <v>#N/A</v>
      </c>
      <c r="O987" t="e">
        <f t="shared" si="104"/>
        <v>#N/A</v>
      </c>
      <c r="P987">
        <f>'Nom du personnage'!$U$51</f>
        <v>0</v>
      </c>
    </row>
    <row r="988" spans="8:16" hidden="1">
      <c r="H988" t="s">
        <v>570</v>
      </c>
      <c r="I988">
        <v>10</v>
      </c>
      <c r="J988" s="2" t="s">
        <v>159</v>
      </c>
      <c r="K988" s="2">
        <v>5</v>
      </c>
      <c r="M988">
        <f t="shared" si="102"/>
        <v>0</v>
      </c>
      <c r="N988" t="e">
        <f t="shared" si="103"/>
        <v>#N/A</v>
      </c>
      <c r="O988" t="e">
        <f t="shared" si="104"/>
        <v>#N/A</v>
      </c>
      <c r="P988">
        <f>'Nom du personnage'!$U$51</f>
        <v>0</v>
      </c>
    </row>
    <row r="989" spans="8:16" hidden="1">
      <c r="H989" t="s">
        <v>563</v>
      </c>
      <c r="I989">
        <v>10</v>
      </c>
      <c r="J989" s="2" t="s">
        <v>159</v>
      </c>
      <c r="K989" s="2">
        <v>5</v>
      </c>
      <c r="M989">
        <f t="shared" si="102"/>
        <v>0</v>
      </c>
      <c r="N989" t="e">
        <f t="shared" si="103"/>
        <v>#N/A</v>
      </c>
      <c r="O989" t="e">
        <f t="shared" si="104"/>
        <v>#N/A</v>
      </c>
      <c r="P989">
        <f>'Nom du personnage'!$U$51</f>
        <v>0</v>
      </c>
    </row>
    <row r="990" spans="8:16" hidden="1">
      <c r="H990" t="s">
        <v>564</v>
      </c>
      <c r="I990">
        <v>11</v>
      </c>
      <c r="J990" s="2" t="s">
        <v>159</v>
      </c>
      <c r="K990" s="2">
        <v>5</v>
      </c>
      <c r="M990" s="2" cm="1">
        <f t="array" ref="M990">IF(AND('Nom du personnage'!U990=Compétences!J990,OR('Nom du personnage'!$C$65:$L$85=Compétences!$H$50,'Nom du personnage'!$Q$65:$Z$85=Compétences!$H$50)),H990,0)</f>
        <v>0</v>
      </c>
      <c r="N990" t="e">
        <f t="shared" si="103"/>
        <v>#N/A</v>
      </c>
      <c r="O990" t="e">
        <f t="shared" si="104"/>
        <v>#N/A</v>
      </c>
      <c r="P990">
        <f>'Nom du personnage'!$U$51</f>
        <v>0</v>
      </c>
    </row>
    <row r="991" spans="8:16" hidden="1">
      <c r="H991" t="s">
        <v>571</v>
      </c>
      <c r="I991">
        <v>12</v>
      </c>
      <c r="J991" s="2" t="s">
        <v>159</v>
      </c>
      <c r="K991" s="2">
        <v>5</v>
      </c>
      <c r="M991">
        <f t="shared" si="102"/>
        <v>0</v>
      </c>
      <c r="N991" t="e">
        <f t="shared" si="103"/>
        <v>#N/A</v>
      </c>
      <c r="O991" t="e">
        <f t="shared" si="104"/>
        <v>#N/A</v>
      </c>
      <c r="P991">
        <f>'Nom du personnage'!$U$51</f>
        <v>0</v>
      </c>
    </row>
    <row r="992" spans="8:16" hidden="1">
      <c r="H992" t="s">
        <v>601</v>
      </c>
      <c r="I992">
        <v>11</v>
      </c>
      <c r="J992" s="2" t="s">
        <v>159</v>
      </c>
      <c r="K992" s="2">
        <v>5</v>
      </c>
      <c r="M992">
        <f t="shared" si="102"/>
        <v>0</v>
      </c>
      <c r="N992" t="e">
        <f t="shared" si="103"/>
        <v>#N/A</v>
      </c>
      <c r="O992" t="e">
        <f t="shared" si="104"/>
        <v>#N/A</v>
      </c>
      <c r="P992">
        <f>'Nom du personnage'!$U$51</f>
        <v>0</v>
      </c>
    </row>
    <row r="993" spans="8:16">
      <c r="H993" t="s">
        <v>565</v>
      </c>
      <c r="I993">
        <v>9</v>
      </c>
      <c r="J993" s="2" t="s">
        <v>159</v>
      </c>
      <c r="K993" s="2">
        <v>5</v>
      </c>
      <c r="M993" s="2" cm="1">
        <f t="array" ref="M993">IF(AND('Nom du personnage'!$U$51=Compétences!J993,OR('Nom du personnage'!$C$65:$L$85=Compétences!$M$18,'Nom du personnage'!$Q$65:$Z$85=Compétences!$M$18)),H993,0)</f>
        <v>0</v>
      </c>
      <c r="N993" t="e">
        <f t="shared" si="103"/>
        <v>#N/A</v>
      </c>
      <c r="O993" t="e">
        <f t="shared" si="104"/>
        <v>#N/A</v>
      </c>
      <c r="P993">
        <f>'Nom du personnage'!$U$51</f>
        <v>0</v>
      </c>
    </row>
    <row r="994" spans="8:16" hidden="1">
      <c r="H994" t="s">
        <v>596</v>
      </c>
      <c r="I994">
        <v>11</v>
      </c>
      <c r="J994" s="2" t="s">
        <v>159</v>
      </c>
      <c r="K994" s="2">
        <v>5</v>
      </c>
      <c r="M994">
        <f>IF(AND(J994='Nom du personnage'!$U$51,Concoction!$F$45=TRUE),Compétences!H994,0)</f>
        <v>0</v>
      </c>
      <c r="N994" t="e">
        <f t="shared" si="103"/>
        <v>#N/A</v>
      </c>
      <c r="O994" t="e">
        <f t="shared" si="104"/>
        <v>#N/A</v>
      </c>
      <c r="P994">
        <f>'Nom du personnage'!$U$51</f>
        <v>0</v>
      </c>
    </row>
    <row r="995" spans="8:16" hidden="1">
      <c r="H995" t="s">
        <v>572</v>
      </c>
      <c r="I995">
        <v>13</v>
      </c>
      <c r="J995" s="2" t="s">
        <v>159</v>
      </c>
      <c r="K995" s="2">
        <v>5</v>
      </c>
      <c r="M995">
        <f t="shared" si="102"/>
        <v>0</v>
      </c>
      <c r="N995" t="e">
        <f t="shared" ref="N995:N1026" si="105">VLOOKUP(M995,H995:J1051,2,FALSE)</f>
        <v>#N/A</v>
      </c>
      <c r="O995" t="e">
        <f t="shared" ref="O995:O1034" si="106">VLOOKUP(M995,H995:J1051,2,FALSE)+1</f>
        <v>#N/A</v>
      </c>
      <c r="P995">
        <f>'Nom du personnage'!$U$51</f>
        <v>0</v>
      </c>
    </row>
    <row r="996" spans="8:16" hidden="1">
      <c r="H996" t="s">
        <v>597</v>
      </c>
      <c r="I996">
        <v>12</v>
      </c>
      <c r="J996" s="2" t="s">
        <v>159</v>
      </c>
      <c r="K996" s="2">
        <v>5</v>
      </c>
      <c r="M996" s="2" cm="1">
        <f t="array" ref="M996">IF(AND(J996='Nom du personnage'!$U$51,OR('Nom du personnage'!$C$65:$L$85=Compétences!$H$19,'Nom du personnage'!$Q$65:$Z$85=Compétences!$H$19)),H996,0)</f>
        <v>0</v>
      </c>
      <c r="N996" t="e">
        <f t="shared" si="105"/>
        <v>#N/A</v>
      </c>
      <c r="O996" t="e">
        <f t="shared" si="106"/>
        <v>#N/A</v>
      </c>
      <c r="P996">
        <f>'Nom du personnage'!$U$51</f>
        <v>0</v>
      </c>
    </row>
    <row r="997" spans="8:16" hidden="1">
      <c r="H997" t="s">
        <v>566</v>
      </c>
      <c r="I997">
        <v>12</v>
      </c>
      <c r="J997" s="2" t="s">
        <v>159</v>
      </c>
      <c r="K997" s="2">
        <v>5</v>
      </c>
      <c r="M997">
        <f t="shared" si="102"/>
        <v>0</v>
      </c>
      <c r="N997" t="e">
        <f t="shared" si="105"/>
        <v>#N/A</v>
      </c>
      <c r="O997" t="e">
        <f t="shared" si="106"/>
        <v>#N/A</v>
      </c>
      <c r="P997">
        <f>'Nom du personnage'!$U$51</f>
        <v>0</v>
      </c>
    </row>
    <row r="998" spans="8:16" hidden="1">
      <c r="H998" t="s">
        <v>573</v>
      </c>
      <c r="I998">
        <v>12</v>
      </c>
      <c r="J998" s="2" t="s">
        <v>159</v>
      </c>
      <c r="K998" s="2">
        <v>5</v>
      </c>
      <c r="M998">
        <f t="shared" si="102"/>
        <v>0</v>
      </c>
      <c r="N998" t="e">
        <f t="shared" si="105"/>
        <v>#N/A</v>
      </c>
      <c r="O998" t="e">
        <f t="shared" si="106"/>
        <v>#N/A</v>
      </c>
      <c r="P998">
        <f>'Nom du personnage'!$U$51</f>
        <v>0</v>
      </c>
    </row>
    <row r="999" spans="8:16" hidden="1">
      <c r="H999" t="s">
        <v>588</v>
      </c>
      <c r="I999">
        <v>12</v>
      </c>
      <c r="J999" s="2" t="s">
        <v>159</v>
      </c>
      <c r="K999" s="2">
        <v>5</v>
      </c>
      <c r="M999" s="2" cm="1">
        <f t="array" ref="M999">IF(AND('Nom du personnage'!$U$51=Compétences!J999,OR('Nom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personnage'!$Q$65:$Z$85=Compétences!$H$1052)),H999,0)</f>
        <v>0</v>
      </c>
      <c r="N999" t="e">
        <f t="shared" si="105"/>
        <v>#N/A</v>
      </c>
      <c r="O999" t="e">
        <f t="shared" si="106"/>
        <v>#N/A</v>
      </c>
      <c r="P999">
        <f>'Nom du personnage'!$U$51</f>
        <v>0</v>
      </c>
    </row>
    <row r="1000" spans="8:16" hidden="1">
      <c r="H1000" t="s">
        <v>568</v>
      </c>
      <c r="I1000">
        <v>12</v>
      </c>
      <c r="J1000" s="2" t="s">
        <v>159</v>
      </c>
      <c r="K1000" s="2">
        <v>5</v>
      </c>
      <c r="M1000">
        <f t="shared" ref="M1000:M1034" si="107">IF(P1000=J1000,H1000,)</f>
        <v>0</v>
      </c>
      <c r="N1000" t="e">
        <f t="shared" si="105"/>
        <v>#N/A</v>
      </c>
      <c r="O1000" t="e">
        <f t="shared" si="106"/>
        <v>#N/A</v>
      </c>
      <c r="P1000">
        <f>'Nom du personnage'!$U$51</f>
        <v>0</v>
      </c>
    </row>
    <row r="1001" spans="8:16" hidden="1">
      <c r="H1001" t="s">
        <v>598</v>
      </c>
      <c r="I1001">
        <v>11</v>
      </c>
      <c r="J1001" s="2" t="s">
        <v>159</v>
      </c>
      <c r="K1001" s="2">
        <v>5</v>
      </c>
      <c r="M1001" s="2" cm="1">
        <f t="array" ref="M1001">IF(AND(J1001='Nom du personnage'!$U$51,OR('Nom du personnage'!$C$65:$L$85=Compétences!$H$19,'Nom du personnage'!$Q$65:$Z$85=Compétences!$H$19)),H1001,0)</f>
        <v>0</v>
      </c>
      <c r="N1001" t="e">
        <f t="shared" si="105"/>
        <v>#N/A</v>
      </c>
      <c r="O1001" t="e">
        <f t="shared" si="106"/>
        <v>#N/A</v>
      </c>
      <c r="P1001">
        <f>'Nom du personnage'!$U$51</f>
        <v>0</v>
      </c>
    </row>
    <row r="1002" spans="8:16" hidden="1">
      <c r="H1002" t="s">
        <v>599</v>
      </c>
      <c r="I1002">
        <v>10</v>
      </c>
      <c r="J1002" s="2" t="s">
        <v>118</v>
      </c>
      <c r="K1002" s="2">
        <v>5</v>
      </c>
      <c r="M1002">
        <f t="shared" si="107"/>
        <v>0</v>
      </c>
      <c r="N1002" t="e">
        <f t="shared" si="105"/>
        <v>#N/A</v>
      </c>
      <c r="O1002" t="e">
        <f t="shared" si="106"/>
        <v>#N/A</v>
      </c>
      <c r="P1002">
        <f>'Nom du personnage'!$U$51</f>
        <v>0</v>
      </c>
    </row>
    <row r="1003" spans="8:16" hidden="1">
      <c r="H1003" t="s">
        <v>600</v>
      </c>
      <c r="I1003">
        <v>11</v>
      </c>
      <c r="J1003" s="2" t="s">
        <v>118</v>
      </c>
      <c r="K1003" s="2">
        <v>5</v>
      </c>
      <c r="M1003">
        <f t="shared" si="107"/>
        <v>0</v>
      </c>
      <c r="N1003" t="e">
        <f t="shared" si="105"/>
        <v>#N/A</v>
      </c>
      <c r="O1003" t="e">
        <f t="shared" si="106"/>
        <v>#N/A</v>
      </c>
      <c r="P1003">
        <f>'Nom du personnage'!$U$51</f>
        <v>0</v>
      </c>
    </row>
    <row r="1004" spans="8:16" hidden="1">
      <c r="H1004" t="s">
        <v>569</v>
      </c>
      <c r="I1004">
        <v>9</v>
      </c>
      <c r="J1004" s="2" t="s">
        <v>118</v>
      </c>
      <c r="K1004" s="2">
        <v>5</v>
      </c>
      <c r="M1004" s="2" cm="1">
        <f t="array" ref="M1004">IF(AND('Nom du personnage'!$U$51=Compétences!J1004,OR('Nom du personnage'!$C$65:$L$85=Compétences!$M$12,'Nom du personnage'!$Q$65:$Z$85=Compétences!$M$12)),H1004,0)</f>
        <v>0</v>
      </c>
      <c r="N1004" t="e">
        <f t="shared" si="105"/>
        <v>#N/A</v>
      </c>
      <c r="O1004" t="e">
        <f t="shared" si="106"/>
        <v>#N/A</v>
      </c>
      <c r="P1004">
        <f>'Nom du personnage'!$U$51</f>
        <v>0</v>
      </c>
    </row>
    <row r="1005" spans="8:16" hidden="1">
      <c r="H1005" t="s">
        <v>574</v>
      </c>
      <c r="I1005">
        <v>11</v>
      </c>
      <c r="J1005" s="2" t="s">
        <v>118</v>
      </c>
      <c r="K1005" s="2">
        <v>5</v>
      </c>
      <c r="M1005">
        <f>IF(AND('Nom du personnage'!$U$51=Compétences!J1005,Religion!$D$29=TRUE),Compétences!H1005,0)</f>
        <v>0</v>
      </c>
      <c r="N1005" t="e">
        <f t="shared" si="105"/>
        <v>#N/A</v>
      </c>
      <c r="O1005" t="e">
        <f t="shared" si="106"/>
        <v>#N/A</v>
      </c>
      <c r="P1005">
        <f>'Nom du personnage'!$U$51</f>
        <v>0</v>
      </c>
    </row>
    <row r="1006" spans="8:16" hidden="1">
      <c r="H1006" t="s">
        <v>591</v>
      </c>
      <c r="I1006">
        <v>11</v>
      </c>
      <c r="J1006" s="2" t="s">
        <v>118</v>
      </c>
      <c r="K1006" s="2">
        <v>5</v>
      </c>
      <c r="M1006">
        <f>IF('Nom du personnage'!$U$51=Compétences!J1006,'Contact marchand'!G3,0)</f>
        <v>0</v>
      </c>
      <c r="N1006" t="e">
        <f t="shared" si="105"/>
        <v>#N/A</v>
      </c>
      <c r="O1006" t="e">
        <f t="shared" si="106"/>
        <v>#N/A</v>
      </c>
      <c r="P1006">
        <f>'Nom du personnage'!$U$51</f>
        <v>0</v>
      </c>
    </row>
    <row r="1007" spans="8:16" hidden="1">
      <c r="H1007" t="s">
        <v>595</v>
      </c>
      <c r="I1007">
        <v>16</v>
      </c>
      <c r="J1007" s="2" t="s">
        <v>118</v>
      </c>
      <c r="K1007" s="2">
        <v>5</v>
      </c>
      <c r="M1007">
        <f>IF('Nom du personnage'!$U$51=Compétences!J1007,'Contact marchand'!G4,0)</f>
        <v>0</v>
      </c>
      <c r="N1007" t="e">
        <f t="shared" si="105"/>
        <v>#N/A</v>
      </c>
      <c r="O1007" t="e">
        <f t="shared" si="106"/>
        <v>#N/A</v>
      </c>
      <c r="P1007">
        <f>'Nom du personnage'!$U$51</f>
        <v>0</v>
      </c>
    </row>
    <row r="1008" spans="8:16" hidden="1">
      <c r="H1008" t="s">
        <v>590</v>
      </c>
      <c r="I1008">
        <v>11</v>
      </c>
      <c r="J1008" s="2" t="s">
        <v>118</v>
      </c>
      <c r="K1008" s="2">
        <v>5</v>
      </c>
      <c r="M1008">
        <f>IF('Nom du personnage'!$U$51=Compétences!J1008,'Contact marchand'!G5,0)</f>
        <v>0</v>
      </c>
      <c r="N1008" t="e">
        <f t="shared" si="105"/>
        <v>#N/A</v>
      </c>
      <c r="O1008" t="e">
        <f t="shared" si="106"/>
        <v>#N/A</v>
      </c>
      <c r="P1008">
        <f>'Nom du personnage'!$U$51</f>
        <v>0</v>
      </c>
    </row>
    <row r="1009" spans="8:16" hidden="1">
      <c r="H1009" t="s">
        <v>592</v>
      </c>
      <c r="I1009">
        <v>11</v>
      </c>
      <c r="J1009" s="2" t="s">
        <v>118</v>
      </c>
      <c r="K1009" s="2">
        <v>5</v>
      </c>
      <c r="M1009">
        <f>IF('Nom du personnage'!$U$51=Compétences!J1009,'Contact marchand'!G6,0)</f>
        <v>0</v>
      </c>
      <c r="N1009" t="e">
        <f t="shared" si="105"/>
        <v>#N/A</v>
      </c>
      <c r="O1009" t="e">
        <f t="shared" si="106"/>
        <v>#N/A</v>
      </c>
      <c r="P1009">
        <f>'Nom du personnage'!$U$51</f>
        <v>0</v>
      </c>
    </row>
    <row r="1010" spans="8:16" hidden="1">
      <c r="H1010" t="s">
        <v>589</v>
      </c>
      <c r="I1010">
        <v>11</v>
      </c>
      <c r="J1010" s="2" t="s">
        <v>118</v>
      </c>
      <c r="K1010" s="2">
        <v>5</v>
      </c>
      <c r="M1010">
        <f>IF('Nom du personnage'!$U$51=Compétences!J1010,'Contact marchand'!G7,0)</f>
        <v>0</v>
      </c>
      <c r="N1010" t="e">
        <f t="shared" si="105"/>
        <v>#N/A</v>
      </c>
      <c r="O1010" t="e">
        <f t="shared" si="106"/>
        <v>#N/A</v>
      </c>
      <c r="P1010">
        <f>'Nom du personnage'!$U$51</f>
        <v>0</v>
      </c>
    </row>
    <row r="1011" spans="8:16" hidden="1">
      <c r="H1011" t="s">
        <v>593</v>
      </c>
      <c r="I1011">
        <v>12</v>
      </c>
      <c r="J1011" s="2" t="s">
        <v>118</v>
      </c>
      <c r="K1011" s="2">
        <v>5</v>
      </c>
      <c r="M1011">
        <f>IF('Nom du personnage'!$U$51=Compétences!J1011,'Contact marchand'!G8,0)</f>
        <v>0</v>
      </c>
      <c r="N1011" t="e">
        <f t="shared" si="105"/>
        <v>#N/A</v>
      </c>
      <c r="O1011" t="e">
        <f t="shared" si="106"/>
        <v>#N/A</v>
      </c>
      <c r="P1011">
        <f>'Nom du personnage'!$U$51</f>
        <v>0</v>
      </c>
    </row>
    <row r="1012" spans="8:16" hidden="1">
      <c r="H1012" t="s">
        <v>594</v>
      </c>
      <c r="I1012">
        <v>16</v>
      </c>
      <c r="J1012" s="2" t="s">
        <v>118</v>
      </c>
      <c r="K1012" s="2">
        <v>5</v>
      </c>
      <c r="M1012">
        <f>IF('Nom du personnage'!$U$51=Compétences!J1012,'Contact marchand'!G9,0)</f>
        <v>0</v>
      </c>
      <c r="N1012" t="e">
        <f t="shared" si="105"/>
        <v>#N/A</v>
      </c>
      <c r="O1012" t="e">
        <f t="shared" si="106"/>
        <v>#N/A</v>
      </c>
      <c r="P1012">
        <f>'Nom du personnage'!$U$51</f>
        <v>0</v>
      </c>
    </row>
    <row r="1013" spans="8:16" hidden="1">
      <c r="H1013" t="s">
        <v>570</v>
      </c>
      <c r="I1013">
        <v>10</v>
      </c>
      <c r="J1013" s="2" t="s">
        <v>118</v>
      </c>
      <c r="K1013" s="2">
        <v>5</v>
      </c>
      <c r="M1013">
        <f t="shared" si="107"/>
        <v>0</v>
      </c>
      <c r="N1013" t="e">
        <f t="shared" si="105"/>
        <v>#N/A</v>
      </c>
      <c r="O1013" t="e">
        <f t="shared" si="106"/>
        <v>#N/A</v>
      </c>
      <c r="P1013">
        <f>'Nom du personnage'!$U$51</f>
        <v>0</v>
      </c>
    </row>
    <row r="1014" spans="8:16" hidden="1">
      <c r="H1014" t="s">
        <v>571</v>
      </c>
      <c r="I1014">
        <v>12</v>
      </c>
      <c r="J1014" s="2" t="s">
        <v>118</v>
      </c>
      <c r="K1014" s="2">
        <v>5</v>
      </c>
      <c r="M1014">
        <f t="shared" si="107"/>
        <v>0</v>
      </c>
      <c r="N1014" t="e">
        <f t="shared" si="105"/>
        <v>#N/A</v>
      </c>
      <c r="O1014" t="e">
        <f t="shared" si="106"/>
        <v>#N/A</v>
      </c>
      <c r="P1014">
        <f>'Nom du personnage'!$U$51</f>
        <v>0</v>
      </c>
    </row>
    <row r="1015" spans="8:16" hidden="1">
      <c r="H1015" t="s">
        <v>601</v>
      </c>
      <c r="I1015">
        <v>11</v>
      </c>
      <c r="J1015" s="2" t="s">
        <v>118</v>
      </c>
      <c r="K1015" s="2">
        <v>5</v>
      </c>
      <c r="M1015">
        <f t="shared" si="107"/>
        <v>0</v>
      </c>
      <c r="N1015" t="e">
        <f t="shared" si="105"/>
        <v>#N/A</v>
      </c>
      <c r="O1015" t="e">
        <f t="shared" si="106"/>
        <v>#N/A</v>
      </c>
      <c r="P1015">
        <f>'Nom du personnage'!$U$51</f>
        <v>0</v>
      </c>
    </row>
    <row r="1016" spans="8:16" hidden="1">
      <c r="H1016" t="s">
        <v>575</v>
      </c>
      <c r="I1016">
        <v>12</v>
      </c>
      <c r="J1016" s="2" t="s">
        <v>118</v>
      </c>
      <c r="K1016" s="2">
        <v>5</v>
      </c>
      <c r="M1016">
        <f t="shared" si="107"/>
        <v>0</v>
      </c>
      <c r="N1016" t="e">
        <f t="shared" si="105"/>
        <v>#N/A</v>
      </c>
      <c r="O1016" t="e">
        <f t="shared" si="106"/>
        <v>#N/A</v>
      </c>
      <c r="P1016">
        <f>'Nom du personnage'!$U$51</f>
        <v>0</v>
      </c>
    </row>
    <row r="1017" spans="8:16" hidden="1">
      <c r="H1017" t="s">
        <v>596</v>
      </c>
      <c r="I1017">
        <v>11</v>
      </c>
      <c r="J1017" s="2" t="s">
        <v>118</v>
      </c>
      <c r="K1017" s="2">
        <v>5</v>
      </c>
      <c r="M1017">
        <f>IF(AND(J1017='Nom du personnage'!$U$51,Concoction!$F$45=TRUE),Compétences!H1017,0)</f>
        <v>0</v>
      </c>
      <c r="N1017" t="e">
        <f t="shared" si="105"/>
        <v>#N/A</v>
      </c>
      <c r="O1017" t="e">
        <f t="shared" si="106"/>
        <v>#N/A</v>
      </c>
      <c r="P1017">
        <f>'Nom du personnage'!$U$51</f>
        <v>0</v>
      </c>
    </row>
    <row r="1018" spans="8:16" hidden="1">
      <c r="H1018" t="s">
        <v>576</v>
      </c>
      <c r="I1018">
        <v>12</v>
      </c>
      <c r="J1018" s="2" t="s">
        <v>118</v>
      </c>
      <c r="K1018" s="2">
        <v>5</v>
      </c>
      <c r="M1018">
        <f t="shared" si="107"/>
        <v>0</v>
      </c>
      <c r="N1018" t="e">
        <f t="shared" si="105"/>
        <v>#N/A</v>
      </c>
      <c r="O1018" t="e">
        <f t="shared" si="106"/>
        <v>#N/A</v>
      </c>
      <c r="P1018">
        <f>'Nom du personnage'!$U$51</f>
        <v>0</v>
      </c>
    </row>
    <row r="1019" spans="8:16" hidden="1">
      <c r="H1019" t="s">
        <v>577</v>
      </c>
      <c r="I1019">
        <v>12</v>
      </c>
      <c r="J1019" s="2" t="s">
        <v>118</v>
      </c>
      <c r="K1019" s="2">
        <v>5</v>
      </c>
      <c r="M1019">
        <f>IF(AND('Nom du personnage'!$U$51=Compétences!J1019,Religion!$D$29),Compétences!H1019,0)</f>
        <v>0</v>
      </c>
      <c r="N1019" t="e">
        <f t="shared" si="105"/>
        <v>#N/A</v>
      </c>
      <c r="O1019" t="e">
        <f t="shared" si="106"/>
        <v>#N/A</v>
      </c>
      <c r="P1019">
        <f>'Nom du personnage'!$U$51</f>
        <v>0</v>
      </c>
    </row>
    <row r="1020" spans="8:16" hidden="1">
      <c r="H1020" t="s">
        <v>572</v>
      </c>
      <c r="I1020">
        <v>13</v>
      </c>
      <c r="J1020" s="2" t="s">
        <v>118</v>
      </c>
      <c r="K1020" s="2">
        <v>5</v>
      </c>
      <c r="M1020">
        <f t="shared" si="107"/>
        <v>0</v>
      </c>
      <c r="N1020" t="e">
        <f t="shared" si="105"/>
        <v>#N/A</v>
      </c>
      <c r="O1020" t="e">
        <f t="shared" si="106"/>
        <v>#N/A</v>
      </c>
      <c r="P1020">
        <f>'Nom du personnage'!$U$51</f>
        <v>0</v>
      </c>
    </row>
    <row r="1021" spans="8:16" hidden="1">
      <c r="H1021" t="s">
        <v>597</v>
      </c>
      <c r="I1021">
        <v>12</v>
      </c>
      <c r="J1021" s="2" t="s">
        <v>118</v>
      </c>
      <c r="K1021" s="2">
        <v>5</v>
      </c>
      <c r="M1021" s="2" cm="1">
        <f t="array" ref="M1021">IF(AND(J1021='Nom du personnage'!$U$51,OR('Nom du personnage'!$C$65:$L$85=Compétences!$H$19,'Nom du personnage'!$Q$65:$Z$85=Compétences!$H$19)),H1021,0)</f>
        <v>0</v>
      </c>
      <c r="N1021" t="e">
        <f t="shared" si="105"/>
        <v>#N/A</v>
      </c>
      <c r="O1021" t="e">
        <f t="shared" si="106"/>
        <v>#N/A</v>
      </c>
      <c r="P1021">
        <f>'Nom du personnage'!$U$51</f>
        <v>0</v>
      </c>
    </row>
    <row r="1022" spans="8:16" hidden="1">
      <c r="H1022" t="s">
        <v>578</v>
      </c>
      <c r="I1022">
        <v>9</v>
      </c>
      <c r="J1022" s="2" t="s">
        <v>118</v>
      </c>
      <c r="K1022" s="2">
        <v>5</v>
      </c>
      <c r="M1022">
        <f t="shared" si="107"/>
        <v>0</v>
      </c>
      <c r="N1022" t="e">
        <f t="shared" si="105"/>
        <v>#N/A</v>
      </c>
      <c r="O1022" t="e">
        <f t="shared" si="106"/>
        <v>#N/A</v>
      </c>
      <c r="P1022">
        <f>'Nom du personnage'!$U$51</f>
        <v>0</v>
      </c>
    </row>
    <row r="1023" spans="8:16" hidden="1">
      <c r="H1023" t="s">
        <v>579</v>
      </c>
      <c r="I1023">
        <v>11</v>
      </c>
      <c r="J1023" s="2" t="s">
        <v>118</v>
      </c>
      <c r="K1023" s="2">
        <v>5</v>
      </c>
      <c r="M1023">
        <f t="shared" si="107"/>
        <v>0</v>
      </c>
      <c r="N1023" t="e">
        <f t="shared" si="105"/>
        <v>#N/A</v>
      </c>
      <c r="O1023" t="e">
        <f t="shared" si="106"/>
        <v>#N/A</v>
      </c>
      <c r="P1023">
        <f>'Nom du personnage'!$U$51</f>
        <v>0</v>
      </c>
    </row>
    <row r="1024" spans="8:16" hidden="1">
      <c r="H1024" t="s">
        <v>573</v>
      </c>
      <c r="I1024">
        <v>12</v>
      </c>
      <c r="J1024" s="2" t="s">
        <v>118</v>
      </c>
      <c r="K1024" s="2">
        <v>5</v>
      </c>
      <c r="M1024">
        <f t="shared" si="107"/>
        <v>0</v>
      </c>
      <c r="N1024" t="e">
        <f t="shared" si="105"/>
        <v>#N/A</v>
      </c>
      <c r="O1024" t="e">
        <f t="shared" si="106"/>
        <v>#N/A</v>
      </c>
      <c r="P1024">
        <f>'Nom du personnage'!$U$51</f>
        <v>0</v>
      </c>
    </row>
    <row r="1025" spans="8:16" hidden="1">
      <c r="H1025" t="s">
        <v>580</v>
      </c>
      <c r="I1025">
        <v>9</v>
      </c>
      <c r="J1025" s="2" t="s">
        <v>118</v>
      </c>
      <c r="K1025" s="2">
        <v>5</v>
      </c>
      <c r="M1025">
        <f t="shared" si="107"/>
        <v>0</v>
      </c>
      <c r="N1025" t="e">
        <f t="shared" si="105"/>
        <v>#N/A</v>
      </c>
      <c r="O1025" t="e">
        <f t="shared" si="106"/>
        <v>#N/A</v>
      </c>
      <c r="P1025">
        <f>'Nom du personnage'!$U$51</f>
        <v>0</v>
      </c>
    </row>
    <row r="1026" spans="8:16" hidden="1">
      <c r="H1026" t="s">
        <v>588</v>
      </c>
      <c r="I1026">
        <v>12</v>
      </c>
      <c r="J1026" s="2" t="s">
        <v>118</v>
      </c>
      <c r="K1026" s="2">
        <v>5</v>
      </c>
      <c r="M1026" s="2" cm="1">
        <f t="array" ref="M1026">IF(AND('Nom du personnage'!$U$51=Compétences!J1026,OR('Nom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personnage'!$Q$65:$Z$85=Compétences!$H$1052)),H1026,0)</f>
        <v>0</v>
      </c>
      <c r="N1026" t="e">
        <f t="shared" si="105"/>
        <v>#N/A</v>
      </c>
      <c r="O1026" t="e">
        <f t="shared" si="106"/>
        <v>#N/A</v>
      </c>
      <c r="P1026">
        <f>'Nom du personnage'!$U$51</f>
        <v>0</v>
      </c>
    </row>
    <row r="1027" spans="8:16" hidden="1">
      <c r="H1027" t="s">
        <v>581</v>
      </c>
      <c r="I1027">
        <v>11</v>
      </c>
      <c r="J1027" s="2" t="s">
        <v>118</v>
      </c>
      <c r="K1027" s="2">
        <v>5</v>
      </c>
      <c r="M1027">
        <f t="shared" si="107"/>
        <v>0</v>
      </c>
      <c r="N1027" t="e">
        <f t="shared" ref="N1027:N1051" si="108">VLOOKUP(M1027,H1027:J1083,2,FALSE)</f>
        <v>#N/A</v>
      </c>
      <c r="O1027" t="e">
        <f t="shared" si="106"/>
        <v>#N/A</v>
      </c>
      <c r="P1027">
        <f>'Nom du personnage'!$U$51</f>
        <v>0</v>
      </c>
    </row>
    <row r="1028" spans="8:16" hidden="1">
      <c r="H1028" t="s">
        <v>582</v>
      </c>
      <c r="I1028">
        <v>12</v>
      </c>
      <c r="J1028" s="2" t="s">
        <v>118</v>
      </c>
      <c r="K1028" s="2">
        <v>5</v>
      </c>
      <c r="M1028">
        <f t="shared" si="107"/>
        <v>0</v>
      </c>
      <c r="N1028" t="e">
        <f t="shared" si="108"/>
        <v>#N/A</v>
      </c>
      <c r="O1028" t="e">
        <f t="shared" si="106"/>
        <v>#N/A</v>
      </c>
      <c r="P1028">
        <f>'Nom du personnage'!$U$51</f>
        <v>0</v>
      </c>
    </row>
    <row r="1029" spans="8:16" hidden="1">
      <c r="H1029" t="s">
        <v>583</v>
      </c>
      <c r="I1029">
        <v>12</v>
      </c>
      <c r="J1029" s="2" t="s">
        <v>118</v>
      </c>
      <c r="K1029" s="2">
        <v>5</v>
      </c>
      <c r="M1029">
        <f t="shared" si="107"/>
        <v>0</v>
      </c>
      <c r="N1029" t="e">
        <f t="shared" si="108"/>
        <v>#N/A</v>
      </c>
      <c r="O1029" t="e">
        <f t="shared" si="106"/>
        <v>#N/A</v>
      </c>
      <c r="P1029">
        <f>'Nom du personnage'!$U$51</f>
        <v>0</v>
      </c>
    </row>
    <row r="1030" spans="8:16" hidden="1">
      <c r="H1030" t="s">
        <v>584</v>
      </c>
      <c r="I1030">
        <v>12</v>
      </c>
      <c r="J1030" s="2" t="s">
        <v>118</v>
      </c>
      <c r="K1030" s="2">
        <v>5</v>
      </c>
      <c r="M1030">
        <f t="shared" si="107"/>
        <v>0</v>
      </c>
      <c r="N1030" t="e">
        <f t="shared" si="108"/>
        <v>#N/A</v>
      </c>
      <c r="O1030" t="e">
        <f t="shared" si="106"/>
        <v>#N/A</v>
      </c>
      <c r="P1030">
        <f>'Nom du personnage'!$U$51</f>
        <v>0</v>
      </c>
    </row>
    <row r="1031" spans="8:16" hidden="1">
      <c r="H1031" t="s">
        <v>598</v>
      </c>
      <c r="I1031">
        <v>11</v>
      </c>
      <c r="J1031" s="2" t="s">
        <v>118</v>
      </c>
      <c r="K1031" s="2">
        <v>5</v>
      </c>
      <c r="M1031" s="2" cm="1">
        <f t="array" ref="M1031">IF(AND(J1031='Nom du personnage'!$U$51,OR('Nom du personnage'!$C$65:$L$85=Compétences!$H$19,'Nom du personnage'!$Q$65:$Z$85=Compétences!$H$19)),H1031,0)</f>
        <v>0</v>
      </c>
      <c r="N1031" t="e">
        <f t="shared" si="108"/>
        <v>#N/A</v>
      </c>
      <c r="O1031" t="e">
        <f t="shared" si="106"/>
        <v>#N/A</v>
      </c>
      <c r="P1031">
        <f>'Nom du personnage'!$U$51</f>
        <v>0</v>
      </c>
    </row>
    <row r="1032" spans="8:16" hidden="1">
      <c r="H1032" t="s">
        <v>585</v>
      </c>
      <c r="I1032">
        <v>11</v>
      </c>
      <c r="J1032" s="2" t="s">
        <v>118</v>
      </c>
      <c r="K1032" s="2">
        <v>5</v>
      </c>
      <c r="M1032">
        <f t="shared" si="107"/>
        <v>0</v>
      </c>
      <c r="N1032" t="e">
        <f t="shared" si="108"/>
        <v>#N/A</v>
      </c>
      <c r="O1032" t="e">
        <f t="shared" si="106"/>
        <v>#N/A</v>
      </c>
      <c r="P1032">
        <f>'Nom du personnage'!$U$51</f>
        <v>0</v>
      </c>
    </row>
    <row r="1033" spans="8:16" hidden="1">
      <c r="H1033" t="s">
        <v>586</v>
      </c>
      <c r="I1033">
        <v>11</v>
      </c>
      <c r="J1033" s="2" t="s">
        <v>118</v>
      </c>
      <c r="K1033" s="2">
        <v>5</v>
      </c>
      <c r="M1033" s="2" cm="1">
        <f t="array" ref="M1033">IF(AND('Nom du personnage'!$U$51=Compétences!J1033,OR('Nom du personnage'!$C$65:$L$85=Compétences!$H$89,'Nom du personnage'!$Q$65:$Z$85=Compétences!$H$89)),H1033,0)</f>
        <v>0</v>
      </c>
      <c r="N1033" t="e">
        <f t="shared" si="108"/>
        <v>#N/A</v>
      </c>
      <c r="O1033" t="e">
        <f t="shared" si="106"/>
        <v>#N/A</v>
      </c>
      <c r="P1033">
        <f>'Nom du personnage'!$U$51</f>
        <v>0</v>
      </c>
    </row>
    <row r="1034" spans="8:16" hidden="1">
      <c r="H1034" t="s">
        <v>587</v>
      </c>
      <c r="I1034">
        <v>8</v>
      </c>
      <c r="J1034" s="2" t="s">
        <v>118</v>
      </c>
      <c r="K1034" s="2">
        <v>5</v>
      </c>
      <c r="M1034">
        <f t="shared" si="107"/>
        <v>0</v>
      </c>
      <c r="N1034" t="e">
        <f t="shared" si="108"/>
        <v>#N/A</v>
      </c>
      <c r="O1034" t="e">
        <f t="shared" si="106"/>
        <v>#N/A</v>
      </c>
      <c r="P1034">
        <f>'Nom du personnage'!$U$51</f>
        <v>0</v>
      </c>
    </row>
    <row r="1035" spans="8:16" hidden="1">
      <c r="H1035" t="s">
        <v>602</v>
      </c>
      <c r="I1035">
        <v>6</v>
      </c>
      <c r="J1035" s="2" t="s">
        <v>142</v>
      </c>
      <c r="K1035" s="2">
        <v>5</v>
      </c>
      <c r="M1035">
        <f>IF('Nom du personnage'!$F$51=J1035,H1035,)</f>
        <v>0</v>
      </c>
      <c r="N1035" t="e">
        <f t="shared" si="108"/>
        <v>#N/A</v>
      </c>
      <c r="O1035" t="e">
        <f t="shared" ref="O1035:O1051" si="109">VLOOKUP(M1035,H1035:J1091,2,FALSE)</f>
        <v>#N/A</v>
      </c>
      <c r="P1035">
        <f>'Nom du personnage'!$U$51</f>
        <v>0</v>
      </c>
    </row>
    <row r="1036" spans="8:16" hidden="1">
      <c r="H1036" t="s">
        <v>603</v>
      </c>
      <c r="I1036">
        <v>6</v>
      </c>
      <c r="J1036" s="2" t="s">
        <v>143</v>
      </c>
      <c r="K1036" s="2">
        <v>5</v>
      </c>
      <c r="M1036">
        <f>IF('Nom du personnage'!$F$51=J1036,H1036,)</f>
        <v>0</v>
      </c>
      <c r="N1036" t="e">
        <f t="shared" si="108"/>
        <v>#N/A</v>
      </c>
      <c r="O1036" t="e">
        <f t="shared" si="109"/>
        <v>#N/A</v>
      </c>
      <c r="P1036">
        <f>'Nom du personnage'!$U$51</f>
        <v>0</v>
      </c>
    </row>
    <row r="1037" spans="8:16" hidden="1">
      <c r="H1037" t="s">
        <v>604</v>
      </c>
      <c r="I1037">
        <v>6</v>
      </c>
      <c r="J1037" s="2" t="s">
        <v>145</v>
      </c>
      <c r="K1037" s="2">
        <v>5</v>
      </c>
      <c r="M1037">
        <f>IF('Nom du personnage'!$F$51=J1037,H1037,)</f>
        <v>0</v>
      </c>
      <c r="N1037" t="e">
        <f t="shared" si="108"/>
        <v>#N/A</v>
      </c>
      <c r="O1037" t="e">
        <f t="shared" si="109"/>
        <v>#N/A</v>
      </c>
      <c r="P1037">
        <f>'Nom du personnage'!$U$51</f>
        <v>0</v>
      </c>
    </row>
    <row r="1038" spans="8:16" hidden="1">
      <c r="H1038" t="s">
        <v>605</v>
      </c>
      <c r="I1038">
        <v>4</v>
      </c>
      <c r="J1038" s="2" t="s">
        <v>144</v>
      </c>
      <c r="K1038" s="2">
        <v>5</v>
      </c>
      <c r="M1038">
        <f>IF('Nom du personnage'!$F$51=J1038,H1038,)</f>
        <v>0</v>
      </c>
      <c r="N1038" t="e">
        <f t="shared" si="108"/>
        <v>#N/A</v>
      </c>
      <c r="O1038" t="e">
        <f t="shared" si="109"/>
        <v>#N/A</v>
      </c>
      <c r="P1038">
        <f>'Nom du personnage'!$U$51</f>
        <v>0</v>
      </c>
    </row>
    <row r="1039" spans="8:16" hidden="1">
      <c r="H1039" t="s">
        <v>606</v>
      </c>
      <c r="I1039">
        <v>6</v>
      </c>
      <c r="J1039" s="2" t="s">
        <v>144</v>
      </c>
      <c r="K1039" s="2">
        <v>5</v>
      </c>
      <c r="M1039">
        <f>IF('Nom du personnage'!$F$51=J1039,H1039,)</f>
        <v>0</v>
      </c>
      <c r="N1039" t="e">
        <f t="shared" si="108"/>
        <v>#N/A</v>
      </c>
      <c r="O1039" t="e">
        <f t="shared" si="109"/>
        <v>#N/A</v>
      </c>
      <c r="P1039">
        <f>'Nom du personnage'!$U$51</f>
        <v>0</v>
      </c>
    </row>
    <row r="1040" spans="8:16" hidden="1">
      <c r="H1040" t="s">
        <v>607</v>
      </c>
      <c r="I1040">
        <v>5</v>
      </c>
      <c r="J1040" s="2" t="s">
        <v>146</v>
      </c>
      <c r="K1040" s="2">
        <v>5</v>
      </c>
      <c r="M1040">
        <f>IF('Nom du personnage'!$F$51=J1040,H1040,)</f>
        <v>0</v>
      </c>
      <c r="N1040" t="e">
        <f t="shared" si="108"/>
        <v>#N/A</v>
      </c>
      <c r="O1040" t="e">
        <f t="shared" si="109"/>
        <v>#N/A</v>
      </c>
      <c r="P1040">
        <f>'Nom du personnage'!$U$51</f>
        <v>0</v>
      </c>
    </row>
    <row r="1041" spans="8:16" hidden="1">
      <c r="H1041" t="s">
        <v>608</v>
      </c>
      <c r="I1041">
        <v>5</v>
      </c>
      <c r="J1041" s="2" t="s">
        <v>146</v>
      </c>
      <c r="K1041" s="2">
        <v>5</v>
      </c>
      <c r="M1041">
        <f>IF('Nom du personnage'!$F$51=J1041,H1041,)</f>
        <v>0</v>
      </c>
      <c r="N1041" t="e">
        <f t="shared" si="108"/>
        <v>#N/A</v>
      </c>
      <c r="O1041" t="e">
        <f t="shared" si="109"/>
        <v>#N/A</v>
      </c>
      <c r="P1041">
        <f>'Nom du personnage'!$U$51</f>
        <v>0</v>
      </c>
    </row>
    <row r="1042" spans="8:16" hidden="1">
      <c r="H1042" t="s">
        <v>609</v>
      </c>
      <c r="I1042">
        <v>5</v>
      </c>
      <c r="J1042" s="2" t="s">
        <v>146</v>
      </c>
      <c r="K1042" s="2">
        <v>5</v>
      </c>
      <c r="M1042">
        <f>IF('Nom du personnage'!$F$51=J1042,H1042,)</f>
        <v>0</v>
      </c>
      <c r="N1042" t="e">
        <f t="shared" si="108"/>
        <v>#N/A</v>
      </c>
      <c r="O1042" t="e">
        <f t="shared" si="109"/>
        <v>#N/A</v>
      </c>
      <c r="P1042">
        <f>'Nom du personnage'!$U$51</f>
        <v>0</v>
      </c>
    </row>
    <row r="1043" spans="8:16" hidden="1">
      <c r="H1043" t="s">
        <v>610</v>
      </c>
      <c r="I1043">
        <v>5</v>
      </c>
      <c r="J1043" s="2" t="s">
        <v>146</v>
      </c>
      <c r="K1043" s="2">
        <v>5</v>
      </c>
      <c r="M1043">
        <f>IF('Nom du personnage'!$F$51=J1043,H1043,)</f>
        <v>0</v>
      </c>
      <c r="N1043" t="e">
        <f t="shared" si="108"/>
        <v>#N/A</v>
      </c>
      <c r="O1043" t="e">
        <f t="shared" si="109"/>
        <v>#N/A</v>
      </c>
      <c r="P1043">
        <f>'Nom du personnage'!$U$51</f>
        <v>0</v>
      </c>
    </row>
    <row r="1044" spans="8:16" hidden="1">
      <c r="H1044" t="s">
        <v>611</v>
      </c>
      <c r="I1044">
        <v>6</v>
      </c>
      <c r="J1044" s="2" t="s">
        <v>147</v>
      </c>
      <c r="K1044" s="2">
        <v>5</v>
      </c>
      <c r="M1044">
        <f>IF('Nom du personnage'!$F$51=J1044,H1044,)</f>
        <v>0</v>
      </c>
      <c r="N1044" t="e">
        <f t="shared" si="108"/>
        <v>#N/A</v>
      </c>
      <c r="O1044" t="e">
        <f t="shared" si="109"/>
        <v>#N/A</v>
      </c>
      <c r="P1044">
        <f>'Nom du personnage'!$U$51</f>
        <v>0</v>
      </c>
    </row>
    <row r="1045" spans="8:16" hidden="1">
      <c r="H1045" t="s">
        <v>612</v>
      </c>
      <c r="I1045">
        <v>6</v>
      </c>
      <c r="J1045" s="2" t="s">
        <v>81</v>
      </c>
      <c r="K1045" s="2">
        <v>5</v>
      </c>
      <c r="M1045">
        <f>IF('Nom du personnage'!$F$51=J1045,H1045,)</f>
        <v>0</v>
      </c>
      <c r="N1045" t="e">
        <f t="shared" si="108"/>
        <v>#N/A</v>
      </c>
      <c r="O1045" t="e">
        <f t="shared" si="109"/>
        <v>#N/A</v>
      </c>
      <c r="P1045">
        <f>'Nom du personnage'!$U$51</f>
        <v>0</v>
      </c>
    </row>
    <row r="1046" spans="8:16" hidden="1">
      <c r="H1046" t="s">
        <v>613</v>
      </c>
      <c r="I1046">
        <v>6</v>
      </c>
      <c r="J1046" s="2" t="s">
        <v>81</v>
      </c>
      <c r="K1046" s="2">
        <v>5</v>
      </c>
      <c r="M1046">
        <f>IF('Nom du personnage'!$F$51=J1046,H1046,)</f>
        <v>0</v>
      </c>
      <c r="N1046" t="e">
        <f t="shared" si="108"/>
        <v>#N/A</v>
      </c>
      <c r="O1046" t="e">
        <f t="shared" si="109"/>
        <v>#N/A</v>
      </c>
      <c r="P1046">
        <f>'Nom du personnage'!$U$51</f>
        <v>0</v>
      </c>
    </row>
    <row r="1047" spans="8:16" hidden="1">
      <c r="H1047" t="s">
        <v>614</v>
      </c>
      <c r="I1047">
        <v>6</v>
      </c>
      <c r="J1047" s="2" t="s">
        <v>103</v>
      </c>
      <c r="K1047" s="2">
        <v>5</v>
      </c>
      <c r="M1047">
        <f>IF('Nom du personnage'!$F$51=J1047,H1047,)</f>
        <v>0</v>
      </c>
      <c r="N1047" t="e">
        <f t="shared" si="108"/>
        <v>#N/A</v>
      </c>
      <c r="O1047" t="e">
        <f t="shared" si="109"/>
        <v>#N/A</v>
      </c>
      <c r="P1047">
        <f>'Nom du personnage'!$U$51</f>
        <v>0</v>
      </c>
    </row>
    <row r="1048" spans="8:16" hidden="1">
      <c r="H1048" t="s">
        <v>615</v>
      </c>
      <c r="I1048">
        <v>4</v>
      </c>
      <c r="J1048" s="2" t="s">
        <v>103</v>
      </c>
      <c r="K1048" s="2">
        <v>5</v>
      </c>
      <c r="M1048">
        <f>IF('Nom du personnage'!$F$51=J1048,H1048,)</f>
        <v>0</v>
      </c>
      <c r="N1048" t="e">
        <f t="shared" si="108"/>
        <v>#N/A</v>
      </c>
      <c r="O1048" t="e">
        <f t="shared" si="109"/>
        <v>#N/A</v>
      </c>
      <c r="P1048">
        <f>'Nom du personnage'!$U$51</f>
        <v>0</v>
      </c>
    </row>
    <row r="1049" spans="8:16" hidden="1">
      <c r="H1049" t="s">
        <v>616</v>
      </c>
      <c r="I1049">
        <v>4</v>
      </c>
      <c r="J1049" s="2" t="s">
        <v>148</v>
      </c>
      <c r="K1049" s="2">
        <v>5</v>
      </c>
      <c r="M1049">
        <f>IF('Nom du personnage'!$F$51=J1049,H1049,)</f>
        <v>0</v>
      </c>
      <c r="N1049" t="e">
        <f t="shared" si="108"/>
        <v>#N/A</v>
      </c>
      <c r="O1049" t="e">
        <f t="shared" si="109"/>
        <v>#N/A</v>
      </c>
      <c r="P1049">
        <f>'Nom du personnage'!$U$51</f>
        <v>0</v>
      </c>
    </row>
    <row r="1050" spans="8:16" hidden="1">
      <c r="H1050" t="s">
        <v>617</v>
      </c>
      <c r="I1050">
        <v>6</v>
      </c>
      <c r="J1050" s="2" t="s">
        <v>452</v>
      </c>
      <c r="K1050" s="2">
        <v>5</v>
      </c>
      <c r="M1050">
        <f>IF('Nom du personnage'!$F$51=J1050,H1050,)</f>
        <v>0</v>
      </c>
      <c r="N1050" t="e">
        <f t="shared" si="108"/>
        <v>#N/A</v>
      </c>
      <c r="O1050" t="e">
        <f t="shared" si="109"/>
        <v>#N/A</v>
      </c>
      <c r="P1050">
        <f>'Nom du personnage'!$U$51</f>
        <v>0</v>
      </c>
    </row>
    <row r="1051" spans="8:16" hidden="1">
      <c r="H1051" t="s">
        <v>618</v>
      </c>
      <c r="I1051">
        <v>4</v>
      </c>
      <c r="J1051" s="2" t="s">
        <v>452</v>
      </c>
      <c r="K1051" s="2">
        <v>5</v>
      </c>
      <c r="M1051">
        <f>IF('Nom du personnage'!$F$51=J1051,H1051,)</f>
        <v>0</v>
      </c>
      <c r="N1051" t="e">
        <f t="shared" si="108"/>
        <v>#N/A</v>
      </c>
      <c r="O1051" t="e">
        <f t="shared" si="109"/>
        <v>#N/A</v>
      </c>
      <c r="P1051">
        <f>'Nom du personnage'!$U$51</f>
        <v>0</v>
      </c>
    </row>
    <row r="1052" spans="8:16" hidden="1">
      <c r="H1052" t="s">
        <v>619</v>
      </c>
      <c r="I1052">
        <v>6</v>
      </c>
      <c r="J1052" s="2" t="s">
        <v>78</v>
      </c>
      <c r="K1052" s="2">
        <v>5</v>
      </c>
      <c r="M1052">
        <f>IF('Nom du personnage'!$F$51=J1052,H1052,)</f>
        <v>0</v>
      </c>
      <c r="N1052" t="e">
        <f t="shared" ref="N1052:N1115" si="110">VLOOKUP(M1052,H1052:J1109,2,FALSE)</f>
        <v>#N/A</v>
      </c>
      <c r="O1052" t="e">
        <f t="shared" ref="O1052:O1081" si="111">VLOOKUP(M1052,H1052:J1109,2,FALSE)</f>
        <v>#N/A</v>
      </c>
      <c r="P1052">
        <f>'Nom du personnage'!$U$51</f>
        <v>0</v>
      </c>
    </row>
    <row r="1053" spans="8:16" hidden="1">
      <c r="H1053" t="s">
        <v>620</v>
      </c>
      <c r="I1053">
        <v>6</v>
      </c>
      <c r="J1053" s="2" t="s">
        <v>93</v>
      </c>
      <c r="K1053" s="2">
        <v>5</v>
      </c>
      <c r="M1053">
        <f>IF('Nom du personnage'!$F$51=J1053,H1053,)</f>
        <v>0</v>
      </c>
      <c r="N1053" t="e">
        <f t="shared" si="110"/>
        <v>#N/A</v>
      </c>
      <c r="O1053" t="e">
        <f t="shared" si="111"/>
        <v>#N/A</v>
      </c>
      <c r="P1053">
        <f>'Nom du personnage'!$U$51</f>
        <v>0</v>
      </c>
    </row>
    <row r="1054" spans="8:16" hidden="1">
      <c r="H1054" t="s">
        <v>621</v>
      </c>
      <c r="I1054">
        <v>0</v>
      </c>
      <c r="J1054" s="2" t="s">
        <v>35</v>
      </c>
      <c r="K1054" s="2">
        <v>5</v>
      </c>
      <c r="M1054">
        <f t="shared" ref="M1054:M1117" si="112">IF(P1054=J1054,H1054,)</f>
        <v>0</v>
      </c>
      <c r="N1054" t="e">
        <f t="shared" si="110"/>
        <v>#N/A</v>
      </c>
      <c r="O1054" t="e">
        <f t="shared" si="111"/>
        <v>#N/A</v>
      </c>
      <c r="P1054">
        <f>'Nom du personnage'!$U$51</f>
        <v>0</v>
      </c>
    </row>
    <row r="1055" spans="8:16" hidden="1">
      <c r="H1055" t="s">
        <v>622</v>
      </c>
      <c r="I1055">
        <v>0</v>
      </c>
      <c r="J1055" s="2" t="s">
        <v>39</v>
      </c>
      <c r="K1055" s="2">
        <v>5</v>
      </c>
      <c r="M1055">
        <f t="shared" si="112"/>
        <v>0</v>
      </c>
      <c r="N1055" t="e">
        <f t="shared" si="110"/>
        <v>#N/A</v>
      </c>
      <c r="O1055" t="e">
        <f t="shared" si="111"/>
        <v>#N/A</v>
      </c>
      <c r="P1055">
        <f>'Nom du personnage'!$U$51</f>
        <v>0</v>
      </c>
    </row>
    <row r="1056" spans="8:16" hidden="1">
      <c r="H1056" t="s">
        <v>623</v>
      </c>
      <c r="I1056">
        <v>0</v>
      </c>
      <c r="J1056" s="2" t="s">
        <v>47</v>
      </c>
      <c r="K1056" s="2">
        <v>5</v>
      </c>
      <c r="M1056">
        <f t="shared" si="112"/>
        <v>0</v>
      </c>
      <c r="N1056" t="e">
        <f t="shared" si="110"/>
        <v>#N/A</v>
      </c>
      <c r="O1056" t="e">
        <f t="shared" si="111"/>
        <v>#N/A</v>
      </c>
      <c r="P1056">
        <f>'Nom du personnage'!$U$51</f>
        <v>0</v>
      </c>
    </row>
    <row r="1057" spans="8:16" hidden="1">
      <c r="H1057" t="s">
        <v>624</v>
      </c>
      <c r="I1057">
        <v>0</v>
      </c>
      <c r="J1057" s="2" t="s">
        <v>55</v>
      </c>
      <c r="K1057" s="2">
        <v>5</v>
      </c>
      <c r="M1057">
        <f t="shared" si="112"/>
        <v>0</v>
      </c>
      <c r="N1057" t="e">
        <f t="shared" si="110"/>
        <v>#N/A</v>
      </c>
      <c r="O1057" t="e">
        <f t="shared" si="111"/>
        <v>#N/A</v>
      </c>
      <c r="P1057">
        <f>'Nom du personnage'!$U$51</f>
        <v>0</v>
      </c>
    </row>
    <row r="1058" spans="8:16" hidden="1">
      <c r="H1058" t="s">
        <v>625</v>
      </c>
      <c r="I1058">
        <v>0</v>
      </c>
      <c r="J1058" s="2" t="s">
        <v>59</v>
      </c>
      <c r="K1058" s="2">
        <v>5</v>
      </c>
      <c r="M1058">
        <f t="shared" si="112"/>
        <v>0</v>
      </c>
      <c r="N1058" t="e">
        <f t="shared" si="110"/>
        <v>#N/A</v>
      </c>
      <c r="O1058" t="e">
        <f t="shared" si="111"/>
        <v>#N/A</v>
      </c>
      <c r="P1058">
        <f>'Nom du personnage'!$U$51</f>
        <v>0</v>
      </c>
    </row>
    <row r="1059" spans="8:16" hidden="1">
      <c r="H1059" t="s">
        <v>626</v>
      </c>
      <c r="I1059">
        <v>0</v>
      </c>
      <c r="J1059" s="2" t="s">
        <v>63</v>
      </c>
      <c r="K1059" s="2">
        <v>5</v>
      </c>
      <c r="M1059">
        <f t="shared" si="112"/>
        <v>0</v>
      </c>
      <c r="N1059" t="e">
        <f t="shared" si="110"/>
        <v>#N/A</v>
      </c>
      <c r="O1059" t="e">
        <f t="shared" si="111"/>
        <v>#N/A</v>
      </c>
      <c r="P1059">
        <f>'Nom du personnage'!$U$51</f>
        <v>0</v>
      </c>
    </row>
    <row r="1060" spans="8:16" hidden="1">
      <c r="H1060" t="s">
        <v>627</v>
      </c>
      <c r="I1060">
        <v>0</v>
      </c>
      <c r="J1060" s="2" t="s">
        <v>63</v>
      </c>
      <c r="K1060" s="2">
        <v>5</v>
      </c>
      <c r="M1060">
        <f>IF(AND('Nom du personnage'!$U$51=Compétences!J1060,Religion!$D$29),Compétences!H1060,0)</f>
        <v>0</v>
      </c>
      <c r="N1060" t="e">
        <f t="shared" si="110"/>
        <v>#N/A</v>
      </c>
      <c r="O1060" t="e">
        <f t="shared" si="111"/>
        <v>#N/A</v>
      </c>
      <c r="P1060">
        <f>'Nom du personnage'!$U$51</f>
        <v>0</v>
      </c>
    </row>
    <row r="1061" spans="8:16" hidden="1">
      <c r="H1061" t="s">
        <v>628</v>
      </c>
      <c r="I1061">
        <v>0</v>
      </c>
      <c r="J1061" s="2" t="s">
        <v>67</v>
      </c>
      <c r="K1061" s="2">
        <v>5</v>
      </c>
      <c r="M1061">
        <f>IF(P1061=J1061,H1061,)</f>
        <v>0</v>
      </c>
      <c r="N1061" t="e">
        <f t="shared" si="110"/>
        <v>#N/A</v>
      </c>
      <c r="O1061" t="e">
        <f t="shared" si="111"/>
        <v>#N/A</v>
      </c>
      <c r="P1061">
        <f>'Nom du personnage'!$U$51</f>
        <v>0</v>
      </c>
    </row>
    <row r="1062" spans="8:16" hidden="1">
      <c r="H1062" t="s">
        <v>629</v>
      </c>
      <c r="I1062">
        <v>0</v>
      </c>
      <c r="J1062" s="2" t="s">
        <v>67</v>
      </c>
      <c r="K1062" s="2">
        <v>5</v>
      </c>
      <c r="M1062">
        <f t="shared" si="112"/>
        <v>0</v>
      </c>
      <c r="N1062" t="e">
        <f t="shared" si="110"/>
        <v>#N/A</v>
      </c>
      <c r="O1062" t="e">
        <f t="shared" si="111"/>
        <v>#N/A</v>
      </c>
      <c r="P1062">
        <f>'Nom du personnage'!$U$51</f>
        <v>0</v>
      </c>
    </row>
    <row r="1063" spans="8:16" hidden="1">
      <c r="H1063" t="s">
        <v>630</v>
      </c>
      <c r="I1063">
        <v>0</v>
      </c>
      <c r="J1063" s="2" t="s">
        <v>70</v>
      </c>
      <c r="K1063" s="2">
        <v>5</v>
      </c>
      <c r="M1063">
        <f t="shared" si="112"/>
        <v>0</v>
      </c>
      <c r="N1063" t="e">
        <f t="shared" si="110"/>
        <v>#N/A</v>
      </c>
      <c r="O1063" t="e">
        <f t="shared" si="111"/>
        <v>#N/A</v>
      </c>
      <c r="P1063">
        <f>'Nom du personnage'!$U$51</f>
        <v>0</v>
      </c>
    </row>
    <row r="1064" spans="8:16" hidden="1">
      <c r="H1064" t="s">
        <v>631</v>
      </c>
      <c r="I1064">
        <v>0</v>
      </c>
      <c r="J1064" s="2" t="s">
        <v>73</v>
      </c>
      <c r="K1064" s="2">
        <v>5</v>
      </c>
      <c r="M1064">
        <f>IF(AND(J1064='Nom du personnage'!$U$51,'Lecture et écriture'!$G$99=TRUE),Compétences!H1064,0)</f>
        <v>0</v>
      </c>
      <c r="N1064" t="e">
        <f t="shared" si="110"/>
        <v>#N/A</v>
      </c>
      <c r="O1064" t="e">
        <f t="shared" si="111"/>
        <v>#N/A</v>
      </c>
      <c r="P1064">
        <f>'Nom du personnage'!$U$51</f>
        <v>0</v>
      </c>
    </row>
    <row r="1065" spans="8:16" hidden="1">
      <c r="H1065" t="s">
        <v>632</v>
      </c>
      <c r="I1065">
        <v>0</v>
      </c>
      <c r="J1065" s="2" t="s">
        <v>76</v>
      </c>
      <c r="K1065" s="2">
        <v>5</v>
      </c>
      <c r="M1065">
        <f t="shared" si="112"/>
        <v>0</v>
      </c>
      <c r="N1065" t="e">
        <f t="shared" si="110"/>
        <v>#N/A</v>
      </c>
      <c r="O1065" t="e">
        <f t="shared" si="111"/>
        <v>#N/A</v>
      </c>
      <c r="P1065">
        <f>'Nom du personnage'!$U$51</f>
        <v>0</v>
      </c>
    </row>
    <row r="1066" spans="8:16" hidden="1">
      <c r="H1066" t="s">
        <v>633</v>
      </c>
      <c r="I1066">
        <v>0</v>
      </c>
      <c r="J1066" s="2" t="s">
        <v>79</v>
      </c>
      <c r="K1066" s="2">
        <v>5</v>
      </c>
      <c r="M1066">
        <f>IF(P1066=J1066,H1066,)</f>
        <v>0</v>
      </c>
      <c r="N1066" t="e">
        <f t="shared" si="110"/>
        <v>#N/A</v>
      </c>
      <c r="O1066" t="e">
        <f t="shared" si="111"/>
        <v>#N/A</v>
      </c>
      <c r="P1066">
        <f>'Nom du personnage'!$U$51</f>
        <v>0</v>
      </c>
    </row>
    <row r="1067" spans="8:16" hidden="1">
      <c r="H1067" t="s">
        <v>634</v>
      </c>
      <c r="I1067">
        <v>0</v>
      </c>
      <c r="J1067" s="2" t="s">
        <v>79</v>
      </c>
      <c r="K1067" s="2">
        <v>5</v>
      </c>
      <c r="M1067" s="2" cm="1">
        <f t="array" ref="M1067">IF(AND('Nom du personnage'!$U$51=Compétences!J1067,OR('Nom du personnage'!$C$65:$L$85=Compétences!$H$1066,'Nom du personnage'!$Q$65:$Z$85=Compétences!$H$1066)),H1067,0)</f>
        <v>0</v>
      </c>
      <c r="N1067" t="e">
        <f t="shared" si="110"/>
        <v>#N/A</v>
      </c>
      <c r="O1067" t="e">
        <f t="shared" si="111"/>
        <v>#N/A</v>
      </c>
      <c r="P1067">
        <f>'Nom du personnage'!$U$51</f>
        <v>0</v>
      </c>
    </row>
    <row r="1068" spans="8:16" hidden="1">
      <c r="H1068" t="s">
        <v>635</v>
      </c>
      <c r="I1068">
        <v>0</v>
      </c>
      <c r="J1068" s="2" t="s">
        <v>157</v>
      </c>
      <c r="K1068" s="2">
        <v>5</v>
      </c>
      <c r="M1068">
        <f t="shared" si="112"/>
        <v>0</v>
      </c>
      <c r="N1068" t="e">
        <f t="shared" si="110"/>
        <v>#N/A</v>
      </c>
      <c r="O1068" t="e">
        <f t="shared" si="111"/>
        <v>#N/A</v>
      </c>
      <c r="P1068">
        <f>'Nom du personnage'!$U$51</f>
        <v>0</v>
      </c>
    </row>
    <row r="1069" spans="8:16" hidden="1">
      <c r="H1069" t="s">
        <v>636</v>
      </c>
      <c r="I1069">
        <v>0</v>
      </c>
      <c r="J1069" s="2" t="s">
        <v>85</v>
      </c>
      <c r="K1069" s="2">
        <v>5</v>
      </c>
      <c r="M1069">
        <f t="shared" si="112"/>
        <v>0</v>
      </c>
      <c r="N1069" t="e">
        <f t="shared" si="110"/>
        <v>#N/A</v>
      </c>
      <c r="O1069" t="e">
        <f t="shared" si="111"/>
        <v>#N/A</v>
      </c>
      <c r="P1069">
        <f>'Nom du personnage'!$U$51</f>
        <v>0</v>
      </c>
    </row>
    <row r="1070" spans="8:16" hidden="1">
      <c r="H1070" t="s">
        <v>637</v>
      </c>
      <c r="I1070">
        <v>0</v>
      </c>
      <c r="J1070" s="2" t="s">
        <v>88</v>
      </c>
      <c r="K1070" s="2">
        <v>5</v>
      </c>
      <c r="M1070">
        <f t="shared" si="112"/>
        <v>0</v>
      </c>
      <c r="N1070" t="e">
        <f t="shared" si="110"/>
        <v>#N/A</v>
      </c>
      <c r="O1070" t="e">
        <f t="shared" si="111"/>
        <v>#N/A</v>
      </c>
      <c r="P1070">
        <f>'Nom du personnage'!$U$51</f>
        <v>0</v>
      </c>
    </row>
    <row r="1071" spans="8:16" hidden="1">
      <c r="H1071" t="s">
        <v>638</v>
      </c>
      <c r="I1071">
        <v>0</v>
      </c>
      <c r="J1071" s="2" t="s">
        <v>91</v>
      </c>
      <c r="K1071" s="2">
        <v>5</v>
      </c>
      <c r="M1071">
        <f t="shared" si="112"/>
        <v>0</v>
      </c>
      <c r="N1071" t="e">
        <f t="shared" si="110"/>
        <v>#N/A</v>
      </c>
      <c r="O1071" t="e">
        <f t="shared" si="111"/>
        <v>#N/A</v>
      </c>
      <c r="P1071">
        <f>'Nom du personnage'!$U$51</f>
        <v>0</v>
      </c>
    </row>
    <row r="1072" spans="8:16" hidden="1">
      <c r="H1072" t="s">
        <v>639</v>
      </c>
      <c r="I1072">
        <v>0</v>
      </c>
      <c r="J1072" s="2" t="s">
        <v>94</v>
      </c>
      <c r="K1072" s="2">
        <v>5</v>
      </c>
      <c r="M1072">
        <f t="shared" si="112"/>
        <v>0</v>
      </c>
      <c r="N1072" t="e">
        <f t="shared" si="110"/>
        <v>#N/A</v>
      </c>
      <c r="O1072" t="e">
        <f t="shared" si="111"/>
        <v>#N/A</v>
      </c>
      <c r="P1072">
        <f>'Nom du personnage'!$U$51</f>
        <v>0</v>
      </c>
    </row>
    <row r="1073" spans="8:16" hidden="1">
      <c r="H1073" t="s">
        <v>640</v>
      </c>
      <c r="I1073">
        <v>0</v>
      </c>
      <c r="J1073" s="2" t="s">
        <v>104</v>
      </c>
      <c r="K1073" s="2">
        <v>5</v>
      </c>
      <c r="M1073">
        <f t="shared" si="112"/>
        <v>0</v>
      </c>
      <c r="N1073" t="e">
        <f t="shared" si="110"/>
        <v>#N/A</v>
      </c>
      <c r="O1073" t="e">
        <f t="shared" si="111"/>
        <v>#N/A</v>
      </c>
      <c r="P1073">
        <f>'Nom du personnage'!$U$51</f>
        <v>0</v>
      </c>
    </row>
    <row r="1074" spans="8:16" hidden="1">
      <c r="H1074" t="s">
        <v>641</v>
      </c>
      <c r="I1074">
        <v>0</v>
      </c>
      <c r="J1074" s="2" t="s">
        <v>104</v>
      </c>
      <c r="K1074" s="2">
        <v>5</v>
      </c>
      <c r="M1074">
        <f t="shared" si="112"/>
        <v>0</v>
      </c>
      <c r="N1074" t="e">
        <f t="shared" si="110"/>
        <v>#N/A</v>
      </c>
      <c r="O1074" t="e">
        <f t="shared" si="111"/>
        <v>#N/A</v>
      </c>
      <c r="P1074">
        <f>'Nom du personnage'!$U$51</f>
        <v>0</v>
      </c>
    </row>
    <row r="1075" spans="8:16" hidden="1">
      <c r="H1075" t="s">
        <v>642</v>
      </c>
      <c r="I1075">
        <v>0</v>
      </c>
      <c r="J1075" s="2" t="s">
        <v>107</v>
      </c>
      <c r="K1075" s="2">
        <v>5</v>
      </c>
      <c r="M1075">
        <f t="shared" si="112"/>
        <v>0</v>
      </c>
      <c r="N1075" t="e">
        <f t="shared" si="110"/>
        <v>#N/A</v>
      </c>
      <c r="O1075" t="e">
        <f t="shared" si="111"/>
        <v>#N/A</v>
      </c>
      <c r="P1075">
        <f>'Nom du personnage'!$U$51</f>
        <v>0</v>
      </c>
    </row>
    <row r="1076" spans="8:16" hidden="1">
      <c r="H1076" t="s">
        <v>643</v>
      </c>
      <c r="I1076">
        <v>0</v>
      </c>
      <c r="J1076" s="2" t="s">
        <v>107</v>
      </c>
      <c r="K1076" s="2">
        <v>5</v>
      </c>
      <c r="M1076">
        <f t="shared" si="112"/>
        <v>0</v>
      </c>
      <c r="N1076" t="e">
        <f t="shared" si="110"/>
        <v>#N/A</v>
      </c>
      <c r="O1076" t="e">
        <f t="shared" si="111"/>
        <v>#N/A</v>
      </c>
      <c r="P1076">
        <f>'Nom du personnage'!$U$51</f>
        <v>0</v>
      </c>
    </row>
    <row r="1077" spans="8:16" hidden="1">
      <c r="H1077" t="s">
        <v>644</v>
      </c>
      <c r="I1077">
        <v>0</v>
      </c>
      <c r="J1077" s="2" t="s">
        <v>110</v>
      </c>
      <c r="K1077" s="2">
        <v>5</v>
      </c>
      <c r="M1077">
        <f t="shared" si="112"/>
        <v>0</v>
      </c>
      <c r="N1077" t="e">
        <f t="shared" si="110"/>
        <v>#N/A</v>
      </c>
      <c r="O1077" t="e">
        <f t="shared" si="111"/>
        <v>#N/A</v>
      </c>
      <c r="P1077">
        <f>'Nom du personnage'!$U$51</f>
        <v>0</v>
      </c>
    </row>
    <row r="1078" spans="8:16" hidden="1">
      <c r="H1078" t="s">
        <v>645</v>
      </c>
      <c r="I1078">
        <v>0</v>
      </c>
      <c r="J1078" s="2" t="s">
        <v>113</v>
      </c>
      <c r="K1078" s="2">
        <v>5</v>
      </c>
      <c r="M1078">
        <f t="shared" si="112"/>
        <v>0</v>
      </c>
      <c r="N1078" t="e">
        <f t="shared" si="110"/>
        <v>#N/A</v>
      </c>
      <c r="O1078" t="e">
        <f t="shared" si="111"/>
        <v>#N/A</v>
      </c>
      <c r="P1078">
        <f>'Nom du personnage'!$U$51</f>
        <v>0</v>
      </c>
    </row>
    <row r="1079" spans="8:16" hidden="1">
      <c r="H1079" t="s">
        <v>646</v>
      </c>
      <c r="I1079">
        <v>0</v>
      </c>
      <c r="J1079" s="2" t="s">
        <v>158</v>
      </c>
      <c r="K1079" s="2">
        <v>5</v>
      </c>
      <c r="M1079">
        <f t="shared" si="112"/>
        <v>0</v>
      </c>
      <c r="N1079" t="e">
        <f t="shared" si="110"/>
        <v>#N/A</v>
      </c>
      <c r="O1079" t="e">
        <f t="shared" si="111"/>
        <v>#N/A</v>
      </c>
      <c r="P1079">
        <f>'Nom du personnage'!$U$51</f>
        <v>0</v>
      </c>
    </row>
    <row r="1080" spans="8:16" hidden="1">
      <c r="H1080" t="s">
        <v>647</v>
      </c>
      <c r="I1080">
        <v>0</v>
      </c>
      <c r="J1080" s="2" t="s">
        <v>159</v>
      </c>
      <c r="K1080" s="2">
        <v>5</v>
      </c>
      <c r="M1080">
        <f t="shared" si="112"/>
        <v>0</v>
      </c>
      <c r="N1080" t="e">
        <f t="shared" si="110"/>
        <v>#N/A</v>
      </c>
      <c r="O1080" t="e">
        <f t="shared" si="111"/>
        <v>#N/A</v>
      </c>
      <c r="P1080">
        <f>'Nom du personnage'!$U$51</f>
        <v>0</v>
      </c>
    </row>
    <row r="1081" spans="8:16" hidden="1">
      <c r="H1081" t="s">
        <v>648</v>
      </c>
      <c r="I1081">
        <v>0</v>
      </c>
      <c r="J1081" s="2" t="s">
        <v>118</v>
      </c>
      <c r="K1081" s="2">
        <v>5</v>
      </c>
      <c r="M1081">
        <f t="shared" si="112"/>
        <v>0</v>
      </c>
      <c r="N1081" t="e">
        <f t="shared" si="110"/>
        <v>#N/A</v>
      </c>
      <c r="O1081" t="e">
        <f t="shared" si="111"/>
        <v>#N/A</v>
      </c>
      <c r="P1081">
        <f>'Nom du personnage'!$U$51</f>
        <v>0</v>
      </c>
    </row>
    <row r="1082" spans="8:16">
      <c r="J1082" s="2"/>
      <c r="K1082" s="2"/>
      <c r="M1082">
        <f t="shared" si="112"/>
        <v>0</v>
      </c>
      <c r="N1082" t="e">
        <f t="shared" si="110"/>
        <v>#N/A</v>
      </c>
      <c r="O1082" t="e">
        <f t="shared" ref="O1082:O1145" si="113">VLOOKUP(M1082,H1082:J1139,2,FALSE)+1</f>
        <v>#N/A</v>
      </c>
      <c r="P1082">
        <f>'Nom du personnage'!$U$51</f>
        <v>0</v>
      </c>
    </row>
    <row r="1083" spans="8:16">
      <c r="J1083" s="2"/>
      <c r="K1083" s="2"/>
      <c r="M1083">
        <f t="shared" si="112"/>
        <v>0</v>
      </c>
      <c r="N1083" t="e">
        <f t="shared" si="110"/>
        <v>#N/A</v>
      </c>
      <c r="O1083" t="e">
        <f t="shared" si="113"/>
        <v>#N/A</v>
      </c>
      <c r="P1083">
        <f>'Nom du personnage'!$U$51</f>
        <v>0</v>
      </c>
    </row>
    <row r="1084" spans="8:16">
      <c r="H1084" s="2" t="s">
        <v>956</v>
      </c>
      <c r="I1084" s="2" t="s">
        <v>956</v>
      </c>
      <c r="J1084" s="2" cm="1">
        <f t="array" ref="J1084">IF(OR('Nom du personnage'!$C$65:$L$85=Compétences!$I$1084,'Nom du personnage'!$Q$65:$Z$85=Compétences!$I$1084),$H$1084,0)</f>
        <v>0</v>
      </c>
      <c r="K1084" s="2"/>
      <c r="M1084" t="str">
        <f>IF(P1084=J1084,H1084,)</f>
        <v>Test</v>
      </c>
      <c r="N1084" t="str">
        <f t="shared" si="110"/>
        <v>Test</v>
      </c>
      <c r="O1084" t="e">
        <f t="shared" si="113"/>
        <v>#VALUE!</v>
      </c>
      <c r="P1084">
        <f>'Nom du personnage'!$U$51</f>
        <v>0</v>
      </c>
    </row>
    <row r="1085" spans="8:16">
      <c r="H1085" s="2" t="s">
        <v>179</v>
      </c>
      <c r="J1085">
        <f>IF(AND(Religion!$D$29=TRUE,'Nom du personnage'!$F$60&lt;&gt;Données!$N$4),Compétences!I1085,0)</f>
        <v>0</v>
      </c>
      <c r="K1085" s="2"/>
      <c r="M1085" t="str">
        <f t="shared" si="112"/>
        <v>Religion</v>
      </c>
      <c r="N1085">
        <f t="shared" si="110"/>
        <v>0</v>
      </c>
      <c r="O1085">
        <f t="shared" si="113"/>
        <v>1</v>
      </c>
      <c r="P1085">
        <f>'Nom du personnage'!$U$51</f>
        <v>0</v>
      </c>
    </row>
    <row r="1086" spans="8:16">
      <c r="J1086" s="2"/>
      <c r="K1086" s="2"/>
      <c r="M1086">
        <f t="shared" si="112"/>
        <v>0</v>
      </c>
      <c r="N1086" t="e">
        <f t="shared" si="110"/>
        <v>#N/A</v>
      </c>
      <c r="O1086" t="e">
        <f t="shared" si="113"/>
        <v>#N/A</v>
      </c>
      <c r="P1086">
        <f>'Nom du personnage'!$U$51</f>
        <v>0</v>
      </c>
    </row>
    <row r="1087" spans="8:16">
      <c r="J1087" s="2"/>
      <c r="K1087" s="2"/>
      <c r="M1087">
        <f t="shared" si="112"/>
        <v>0</v>
      </c>
      <c r="N1087" t="e">
        <f t="shared" si="110"/>
        <v>#N/A</v>
      </c>
      <c r="O1087" t="e">
        <f t="shared" si="113"/>
        <v>#N/A</v>
      </c>
      <c r="P1087">
        <f>'Nom du personnage'!$U$51</f>
        <v>0</v>
      </c>
    </row>
    <row r="1088" spans="8:16">
      <c r="J1088" s="2" cm="1">
        <f t="array" ref="J1088">IF(AND(G1088='Nom du personnage'!$U$51,OR('Nom du personnage'!$C$65:$L$85=Compétences!$H$19,'Nom du personnage'!$Q$65:$Z$85=Compétences!$H$19)),E1088,0)</f>
        <v>0</v>
      </c>
      <c r="K1088" s="2"/>
      <c r="M1088">
        <f t="shared" si="112"/>
        <v>0</v>
      </c>
      <c r="N1088" t="e">
        <f t="shared" si="110"/>
        <v>#N/A</v>
      </c>
      <c r="O1088" t="e">
        <f t="shared" si="113"/>
        <v>#N/A</v>
      </c>
      <c r="P1088">
        <f>'Nom du personnage'!$U$51</f>
        <v>0</v>
      </c>
    </row>
    <row r="1089" spans="10:16">
      <c r="J1089" s="2"/>
      <c r="K1089" s="2"/>
      <c r="M1089">
        <f t="shared" si="112"/>
        <v>0</v>
      </c>
      <c r="N1089" t="e">
        <f t="shared" si="110"/>
        <v>#N/A</v>
      </c>
      <c r="O1089" t="e">
        <f t="shared" si="113"/>
        <v>#N/A</v>
      </c>
      <c r="P1089">
        <f>'Nom du personnage'!$U$51</f>
        <v>0</v>
      </c>
    </row>
    <row r="1090" spans="10:16">
      <c r="J1090" s="2"/>
      <c r="K1090" s="2"/>
      <c r="M1090">
        <f t="shared" si="112"/>
        <v>0</v>
      </c>
      <c r="N1090" t="e">
        <f t="shared" si="110"/>
        <v>#N/A</v>
      </c>
      <c r="O1090" t="e">
        <f t="shared" si="113"/>
        <v>#N/A</v>
      </c>
      <c r="P1090">
        <f>'Nom du personnage'!$U$51</f>
        <v>0</v>
      </c>
    </row>
    <row r="1091" spans="10:16">
      <c r="J1091" s="2"/>
      <c r="K1091" s="2"/>
      <c r="M1091">
        <f t="shared" si="112"/>
        <v>0</v>
      </c>
      <c r="N1091" t="e">
        <f t="shared" si="110"/>
        <v>#N/A</v>
      </c>
      <c r="O1091" t="e">
        <f t="shared" si="113"/>
        <v>#N/A</v>
      </c>
      <c r="P1091">
        <f>'Nom du personnage'!$U$51</f>
        <v>0</v>
      </c>
    </row>
    <row r="1092" spans="10:16">
      <c r="J1092" s="2"/>
      <c r="K1092" s="2"/>
      <c r="M1092">
        <f t="shared" si="112"/>
        <v>0</v>
      </c>
      <c r="N1092" t="e">
        <f t="shared" si="110"/>
        <v>#N/A</v>
      </c>
      <c r="O1092" t="e">
        <f t="shared" si="113"/>
        <v>#N/A</v>
      </c>
      <c r="P1092">
        <f>'Nom du personnage'!$U$51</f>
        <v>0</v>
      </c>
    </row>
    <row r="1093" spans="10:16">
      <c r="J1093" s="2"/>
      <c r="K1093" s="2"/>
      <c r="M1093">
        <f t="shared" si="112"/>
        <v>0</v>
      </c>
      <c r="N1093" t="e">
        <f t="shared" si="110"/>
        <v>#N/A</v>
      </c>
      <c r="O1093" t="e">
        <f t="shared" si="113"/>
        <v>#N/A</v>
      </c>
      <c r="P1093">
        <f>'Nom du personnage'!$U$51</f>
        <v>0</v>
      </c>
    </row>
    <row r="1094" spans="10:16">
      <c r="J1094" s="2"/>
      <c r="K1094" s="2"/>
      <c r="M1094">
        <f t="shared" si="112"/>
        <v>0</v>
      </c>
      <c r="N1094" t="e">
        <f t="shared" si="110"/>
        <v>#N/A</v>
      </c>
      <c r="O1094" t="e">
        <f t="shared" si="113"/>
        <v>#N/A</v>
      </c>
      <c r="P1094">
        <f>'Nom du personnage'!$U$51</f>
        <v>0</v>
      </c>
    </row>
    <row r="1095" spans="10:16">
      <c r="J1095" s="2"/>
      <c r="K1095" s="2"/>
      <c r="M1095">
        <f t="shared" si="112"/>
        <v>0</v>
      </c>
      <c r="N1095" t="e">
        <f t="shared" si="110"/>
        <v>#N/A</v>
      </c>
      <c r="O1095" t="e">
        <f t="shared" si="113"/>
        <v>#N/A</v>
      </c>
      <c r="P1095">
        <f>'Nom du personnage'!$U$51</f>
        <v>0</v>
      </c>
    </row>
    <row r="1096" spans="10:16">
      <c r="J1096" s="2"/>
      <c r="K1096" s="2"/>
      <c r="M1096">
        <f t="shared" si="112"/>
        <v>0</v>
      </c>
      <c r="N1096" t="e">
        <f t="shared" si="110"/>
        <v>#N/A</v>
      </c>
      <c r="O1096" t="e">
        <f t="shared" si="113"/>
        <v>#N/A</v>
      </c>
      <c r="P1096">
        <f>'Nom du personnage'!$U$51</f>
        <v>0</v>
      </c>
    </row>
    <row r="1097" spans="10:16">
      <c r="J1097" s="2"/>
      <c r="K1097" s="2"/>
      <c r="M1097">
        <f t="shared" si="112"/>
        <v>0</v>
      </c>
      <c r="N1097" t="e">
        <f t="shared" si="110"/>
        <v>#N/A</v>
      </c>
      <c r="O1097" t="e">
        <f t="shared" si="113"/>
        <v>#N/A</v>
      </c>
      <c r="P1097">
        <f>'Nom du personnage'!$U$51</f>
        <v>0</v>
      </c>
    </row>
    <row r="1098" spans="10:16">
      <c r="J1098" s="2"/>
      <c r="K1098" s="2"/>
      <c r="M1098">
        <f t="shared" si="112"/>
        <v>0</v>
      </c>
      <c r="N1098" t="e">
        <f t="shared" si="110"/>
        <v>#N/A</v>
      </c>
      <c r="O1098" t="e">
        <f t="shared" si="113"/>
        <v>#N/A</v>
      </c>
      <c r="P1098">
        <f>'Nom du personnage'!$U$51</f>
        <v>0</v>
      </c>
    </row>
    <row r="1099" spans="10:16">
      <c r="J1099" s="2"/>
      <c r="K1099" s="2"/>
      <c r="M1099">
        <f t="shared" si="112"/>
        <v>0</v>
      </c>
      <c r="N1099" t="e">
        <f t="shared" si="110"/>
        <v>#N/A</v>
      </c>
      <c r="O1099" t="e">
        <f t="shared" si="113"/>
        <v>#N/A</v>
      </c>
      <c r="P1099">
        <f>'Nom du personnage'!$U$51</f>
        <v>0</v>
      </c>
    </row>
    <row r="1100" spans="10:16">
      <c r="J1100" s="2"/>
      <c r="K1100" s="2"/>
      <c r="M1100">
        <f t="shared" si="112"/>
        <v>0</v>
      </c>
      <c r="N1100" t="e">
        <f t="shared" si="110"/>
        <v>#N/A</v>
      </c>
      <c r="O1100" t="e">
        <f t="shared" si="113"/>
        <v>#N/A</v>
      </c>
      <c r="P1100">
        <f>'Nom du personnage'!$U$51</f>
        <v>0</v>
      </c>
    </row>
    <row r="1101" spans="10:16">
      <c r="J1101" s="2"/>
      <c r="K1101" s="2"/>
      <c r="M1101">
        <f t="shared" si="112"/>
        <v>0</v>
      </c>
      <c r="N1101" t="e">
        <f t="shared" si="110"/>
        <v>#N/A</v>
      </c>
      <c r="O1101" t="e">
        <f t="shared" si="113"/>
        <v>#N/A</v>
      </c>
      <c r="P1101">
        <f>'Nom du personnage'!$U$51</f>
        <v>0</v>
      </c>
    </row>
    <row r="1102" spans="10:16">
      <c r="J1102" s="2"/>
      <c r="K1102" s="2"/>
      <c r="M1102">
        <f t="shared" si="112"/>
        <v>0</v>
      </c>
      <c r="N1102" t="e">
        <f t="shared" si="110"/>
        <v>#N/A</v>
      </c>
      <c r="O1102" t="e">
        <f t="shared" si="113"/>
        <v>#N/A</v>
      </c>
      <c r="P1102">
        <f>'Nom du personnage'!$U$51</f>
        <v>0</v>
      </c>
    </row>
    <row r="1103" spans="10:16">
      <c r="J1103" s="2"/>
      <c r="K1103" s="2"/>
      <c r="M1103">
        <f t="shared" si="112"/>
        <v>0</v>
      </c>
      <c r="N1103" t="e">
        <f t="shared" si="110"/>
        <v>#N/A</v>
      </c>
      <c r="O1103" t="e">
        <f t="shared" si="113"/>
        <v>#N/A</v>
      </c>
      <c r="P1103">
        <f>'Nom du personnage'!$U$51</f>
        <v>0</v>
      </c>
    </row>
    <row r="1104" spans="10:16">
      <c r="J1104" s="2"/>
      <c r="K1104" s="2"/>
      <c r="M1104">
        <f t="shared" si="112"/>
        <v>0</v>
      </c>
      <c r="N1104" t="e">
        <f t="shared" si="110"/>
        <v>#N/A</v>
      </c>
      <c r="O1104" t="e">
        <f t="shared" si="113"/>
        <v>#N/A</v>
      </c>
      <c r="P1104">
        <f>'Nom du personnage'!$U$51</f>
        <v>0</v>
      </c>
    </row>
    <row r="1105" spans="10:16">
      <c r="J1105" s="2"/>
      <c r="K1105" s="2"/>
      <c r="M1105">
        <f t="shared" si="112"/>
        <v>0</v>
      </c>
      <c r="N1105" t="e">
        <f t="shared" si="110"/>
        <v>#N/A</v>
      </c>
      <c r="O1105" t="e">
        <f t="shared" si="113"/>
        <v>#N/A</v>
      </c>
      <c r="P1105">
        <f>'Nom du personnage'!$U$51</f>
        <v>0</v>
      </c>
    </row>
    <row r="1106" spans="10:16">
      <c r="J1106" s="2"/>
      <c r="K1106" s="2"/>
      <c r="M1106">
        <f t="shared" si="112"/>
        <v>0</v>
      </c>
      <c r="N1106" t="e">
        <f t="shared" si="110"/>
        <v>#N/A</v>
      </c>
      <c r="O1106" t="e">
        <f t="shared" si="113"/>
        <v>#N/A</v>
      </c>
      <c r="P1106">
        <f>'Nom du personnage'!$U$51</f>
        <v>0</v>
      </c>
    </row>
    <row r="1107" spans="10:16">
      <c r="J1107" s="2"/>
      <c r="K1107" s="2"/>
      <c r="M1107">
        <f t="shared" si="112"/>
        <v>0</v>
      </c>
      <c r="N1107" t="e">
        <f t="shared" si="110"/>
        <v>#N/A</v>
      </c>
      <c r="O1107" t="e">
        <f t="shared" si="113"/>
        <v>#N/A</v>
      </c>
      <c r="P1107">
        <f>'Nom du personnage'!$U$51</f>
        <v>0</v>
      </c>
    </row>
    <row r="1108" spans="10:16">
      <c r="J1108" s="2"/>
      <c r="K1108" s="2"/>
      <c r="M1108">
        <f t="shared" si="112"/>
        <v>0</v>
      </c>
      <c r="N1108" t="e">
        <f t="shared" si="110"/>
        <v>#N/A</v>
      </c>
      <c r="O1108" t="e">
        <f t="shared" si="113"/>
        <v>#N/A</v>
      </c>
      <c r="P1108">
        <f>'Nom du personnage'!$U$51</f>
        <v>0</v>
      </c>
    </row>
    <row r="1109" spans="10:16">
      <c r="J1109" s="2"/>
      <c r="K1109" s="2"/>
      <c r="M1109">
        <f t="shared" si="112"/>
        <v>0</v>
      </c>
      <c r="N1109" t="e">
        <f t="shared" si="110"/>
        <v>#N/A</v>
      </c>
      <c r="O1109" t="e">
        <f t="shared" si="113"/>
        <v>#N/A</v>
      </c>
      <c r="P1109">
        <f>'Nom du personnage'!$U$51</f>
        <v>0</v>
      </c>
    </row>
    <row r="1110" spans="10:16">
      <c r="J1110" s="2"/>
      <c r="K1110" s="2"/>
      <c r="M1110">
        <f t="shared" si="112"/>
        <v>0</v>
      </c>
      <c r="N1110" t="e">
        <f t="shared" si="110"/>
        <v>#N/A</v>
      </c>
      <c r="O1110" t="e">
        <f t="shared" si="113"/>
        <v>#N/A</v>
      </c>
      <c r="P1110">
        <f>'Nom du personnage'!$U$51</f>
        <v>0</v>
      </c>
    </row>
    <row r="1111" spans="10:16">
      <c r="J1111" s="2"/>
      <c r="K1111" s="2"/>
      <c r="M1111">
        <f t="shared" si="112"/>
        <v>0</v>
      </c>
      <c r="N1111" t="e">
        <f t="shared" si="110"/>
        <v>#N/A</v>
      </c>
      <c r="O1111" t="e">
        <f t="shared" si="113"/>
        <v>#N/A</v>
      </c>
      <c r="P1111">
        <f>'Nom du personnage'!$U$51</f>
        <v>0</v>
      </c>
    </row>
    <row r="1112" spans="10:16">
      <c r="J1112" s="2"/>
      <c r="K1112" s="2"/>
      <c r="M1112">
        <f t="shared" si="112"/>
        <v>0</v>
      </c>
      <c r="N1112" t="e">
        <f t="shared" si="110"/>
        <v>#N/A</v>
      </c>
      <c r="O1112" t="e">
        <f t="shared" si="113"/>
        <v>#N/A</v>
      </c>
      <c r="P1112">
        <f>'Nom du personnage'!$U$51</f>
        <v>0</v>
      </c>
    </row>
    <row r="1113" spans="10:16">
      <c r="J1113" s="2"/>
      <c r="K1113" s="2"/>
      <c r="M1113">
        <f t="shared" si="112"/>
        <v>0</v>
      </c>
      <c r="N1113" t="e">
        <f t="shared" si="110"/>
        <v>#N/A</v>
      </c>
      <c r="O1113" t="e">
        <f t="shared" si="113"/>
        <v>#N/A</v>
      </c>
      <c r="P1113">
        <f>'Nom du personnage'!$U$51</f>
        <v>0</v>
      </c>
    </row>
    <row r="1114" spans="10:16">
      <c r="J1114" s="2"/>
      <c r="K1114" s="2"/>
      <c r="M1114">
        <f t="shared" si="112"/>
        <v>0</v>
      </c>
      <c r="N1114" t="e">
        <f t="shared" si="110"/>
        <v>#N/A</v>
      </c>
      <c r="O1114" t="e">
        <f t="shared" si="113"/>
        <v>#N/A</v>
      </c>
      <c r="P1114">
        <f>'Nom du personnage'!$U$51</f>
        <v>0</v>
      </c>
    </row>
    <row r="1115" spans="10:16">
      <c r="J1115" s="2"/>
      <c r="K1115" s="2"/>
      <c r="M1115">
        <f t="shared" si="112"/>
        <v>0</v>
      </c>
      <c r="N1115" t="e">
        <f t="shared" si="110"/>
        <v>#N/A</v>
      </c>
      <c r="O1115" t="e">
        <f t="shared" si="113"/>
        <v>#N/A</v>
      </c>
      <c r="P1115">
        <f>'Nom du personnage'!$U$51</f>
        <v>0</v>
      </c>
    </row>
    <row r="1116" spans="10:16">
      <c r="J1116" s="2"/>
      <c r="K1116" s="2"/>
      <c r="M1116">
        <f t="shared" si="112"/>
        <v>0</v>
      </c>
      <c r="N1116" t="e">
        <f t="shared" ref="N1116:N1179" si="114">VLOOKUP(M1116,H1116:J1173,2,FALSE)</f>
        <v>#N/A</v>
      </c>
      <c r="O1116" t="e">
        <f t="shared" si="113"/>
        <v>#N/A</v>
      </c>
      <c r="P1116">
        <f>'Nom du personnage'!$U$51</f>
        <v>0</v>
      </c>
    </row>
    <row r="1117" spans="10:16">
      <c r="J1117" s="2"/>
      <c r="K1117" s="2"/>
      <c r="M1117">
        <f t="shared" si="112"/>
        <v>0</v>
      </c>
      <c r="N1117" t="e">
        <f t="shared" si="114"/>
        <v>#N/A</v>
      </c>
      <c r="O1117" t="e">
        <f t="shared" si="113"/>
        <v>#N/A</v>
      </c>
      <c r="P1117">
        <f>'Nom du personnage'!$U$51</f>
        <v>0</v>
      </c>
    </row>
    <row r="1118" spans="10:16">
      <c r="J1118" s="2"/>
      <c r="K1118" s="2"/>
      <c r="M1118">
        <f t="shared" ref="M1118:M1181" si="115">IF(P1118=J1118,H1118,)</f>
        <v>0</v>
      </c>
      <c r="N1118" t="e">
        <f t="shared" si="114"/>
        <v>#N/A</v>
      </c>
      <c r="O1118" t="e">
        <f t="shared" si="113"/>
        <v>#N/A</v>
      </c>
      <c r="P1118">
        <f>'Nom du personnage'!$U$51</f>
        <v>0</v>
      </c>
    </row>
    <row r="1119" spans="10:16">
      <c r="J1119" s="2"/>
      <c r="K1119" s="2"/>
      <c r="M1119">
        <f t="shared" si="115"/>
        <v>0</v>
      </c>
      <c r="N1119" t="e">
        <f t="shared" si="114"/>
        <v>#N/A</v>
      </c>
      <c r="O1119" t="e">
        <f t="shared" si="113"/>
        <v>#N/A</v>
      </c>
      <c r="P1119">
        <f>'Nom du personnage'!$U$51</f>
        <v>0</v>
      </c>
    </row>
    <row r="1120" spans="10:16">
      <c r="J1120" s="2"/>
      <c r="K1120" s="2"/>
      <c r="M1120">
        <f t="shared" si="115"/>
        <v>0</v>
      </c>
      <c r="N1120" t="e">
        <f t="shared" si="114"/>
        <v>#N/A</v>
      </c>
      <c r="O1120" t="e">
        <f t="shared" si="113"/>
        <v>#N/A</v>
      </c>
      <c r="P1120">
        <f>'Nom du personnage'!$U$51</f>
        <v>0</v>
      </c>
    </row>
    <row r="1121" spans="10:16">
      <c r="J1121" s="2"/>
      <c r="K1121" s="2"/>
      <c r="M1121">
        <f t="shared" si="115"/>
        <v>0</v>
      </c>
      <c r="N1121" t="e">
        <f t="shared" si="114"/>
        <v>#N/A</v>
      </c>
      <c r="O1121" t="e">
        <f t="shared" si="113"/>
        <v>#N/A</v>
      </c>
      <c r="P1121">
        <f>'Nom du personnage'!$U$51</f>
        <v>0</v>
      </c>
    </row>
    <row r="1122" spans="10:16">
      <c r="J1122" s="2"/>
      <c r="K1122" s="2"/>
      <c r="M1122">
        <f t="shared" si="115"/>
        <v>0</v>
      </c>
      <c r="N1122" t="e">
        <f t="shared" si="114"/>
        <v>#N/A</v>
      </c>
      <c r="O1122" t="e">
        <f t="shared" si="113"/>
        <v>#N/A</v>
      </c>
      <c r="P1122">
        <f>'Nom du personnage'!$U$51</f>
        <v>0</v>
      </c>
    </row>
    <row r="1123" spans="10:16">
      <c r="J1123" s="2"/>
      <c r="K1123" s="2"/>
      <c r="M1123">
        <f t="shared" si="115"/>
        <v>0</v>
      </c>
      <c r="N1123" t="e">
        <f t="shared" si="114"/>
        <v>#N/A</v>
      </c>
      <c r="O1123" t="e">
        <f t="shared" si="113"/>
        <v>#N/A</v>
      </c>
      <c r="P1123">
        <f>'Nom du personnage'!$U$51</f>
        <v>0</v>
      </c>
    </row>
    <row r="1124" spans="10:16">
      <c r="J1124" s="2"/>
      <c r="K1124" s="2"/>
      <c r="M1124">
        <f t="shared" si="115"/>
        <v>0</v>
      </c>
      <c r="N1124" t="e">
        <f t="shared" si="114"/>
        <v>#N/A</v>
      </c>
      <c r="O1124" t="e">
        <f t="shared" si="113"/>
        <v>#N/A</v>
      </c>
      <c r="P1124">
        <f>'Nom du personnage'!$U$51</f>
        <v>0</v>
      </c>
    </row>
    <row r="1125" spans="10:16">
      <c r="J1125" s="2"/>
      <c r="K1125" s="2"/>
      <c r="M1125">
        <f t="shared" si="115"/>
        <v>0</v>
      </c>
      <c r="N1125" t="e">
        <f t="shared" si="114"/>
        <v>#N/A</v>
      </c>
      <c r="O1125" t="e">
        <f t="shared" si="113"/>
        <v>#N/A</v>
      </c>
      <c r="P1125">
        <f>'Nom du personnage'!$U$51</f>
        <v>0</v>
      </c>
    </row>
    <row r="1126" spans="10:16">
      <c r="J1126" s="2"/>
      <c r="K1126" s="2"/>
      <c r="M1126">
        <f t="shared" si="115"/>
        <v>0</v>
      </c>
      <c r="N1126" t="e">
        <f t="shared" si="114"/>
        <v>#N/A</v>
      </c>
      <c r="O1126" t="e">
        <f t="shared" si="113"/>
        <v>#N/A</v>
      </c>
      <c r="P1126">
        <f>'Nom du personnage'!$U$51</f>
        <v>0</v>
      </c>
    </row>
    <row r="1127" spans="10:16">
      <c r="J1127" s="2"/>
      <c r="K1127" s="2"/>
      <c r="M1127">
        <f t="shared" si="115"/>
        <v>0</v>
      </c>
      <c r="N1127" t="e">
        <f t="shared" si="114"/>
        <v>#N/A</v>
      </c>
      <c r="O1127" t="e">
        <f t="shared" si="113"/>
        <v>#N/A</v>
      </c>
      <c r="P1127">
        <f>'Nom du personnage'!$U$51</f>
        <v>0</v>
      </c>
    </row>
    <row r="1128" spans="10:16">
      <c r="J1128" s="2"/>
      <c r="K1128" s="2"/>
      <c r="M1128">
        <f t="shared" si="115"/>
        <v>0</v>
      </c>
      <c r="N1128" t="e">
        <f t="shared" si="114"/>
        <v>#N/A</v>
      </c>
      <c r="O1128" t="e">
        <f t="shared" si="113"/>
        <v>#N/A</v>
      </c>
      <c r="P1128">
        <f>'Nom du personnage'!$U$51</f>
        <v>0</v>
      </c>
    </row>
    <row r="1129" spans="10:16">
      <c r="J1129" s="2"/>
      <c r="K1129" s="2"/>
      <c r="M1129">
        <f t="shared" si="115"/>
        <v>0</v>
      </c>
      <c r="N1129" t="e">
        <f t="shared" si="114"/>
        <v>#N/A</v>
      </c>
      <c r="O1129" t="e">
        <f t="shared" si="113"/>
        <v>#N/A</v>
      </c>
      <c r="P1129">
        <f>'Nom du personnage'!$U$51</f>
        <v>0</v>
      </c>
    </row>
    <row r="1130" spans="10:16">
      <c r="J1130" s="2"/>
      <c r="K1130" s="2"/>
      <c r="M1130">
        <f t="shared" si="115"/>
        <v>0</v>
      </c>
      <c r="N1130" t="e">
        <f t="shared" si="114"/>
        <v>#N/A</v>
      </c>
      <c r="O1130" t="e">
        <f t="shared" si="113"/>
        <v>#N/A</v>
      </c>
      <c r="P1130">
        <f>'Nom du personnage'!$U$51</f>
        <v>0</v>
      </c>
    </row>
    <row r="1131" spans="10:16">
      <c r="J1131" s="2"/>
      <c r="K1131" s="2"/>
      <c r="M1131">
        <f t="shared" si="115"/>
        <v>0</v>
      </c>
      <c r="N1131" t="e">
        <f t="shared" si="114"/>
        <v>#N/A</v>
      </c>
      <c r="O1131" t="e">
        <f t="shared" si="113"/>
        <v>#N/A</v>
      </c>
      <c r="P1131">
        <f>'Nom du personnage'!$U$51</f>
        <v>0</v>
      </c>
    </row>
    <row r="1132" spans="10:16">
      <c r="J1132" s="2"/>
      <c r="K1132" s="2"/>
      <c r="M1132">
        <f t="shared" si="115"/>
        <v>0</v>
      </c>
      <c r="N1132" t="e">
        <f t="shared" si="114"/>
        <v>#N/A</v>
      </c>
      <c r="O1132" t="e">
        <f t="shared" si="113"/>
        <v>#N/A</v>
      </c>
      <c r="P1132">
        <f>'Nom du personnage'!$U$51</f>
        <v>0</v>
      </c>
    </row>
    <row r="1133" spans="10:16">
      <c r="J1133" s="2"/>
      <c r="K1133" s="2"/>
      <c r="M1133">
        <f t="shared" si="115"/>
        <v>0</v>
      </c>
      <c r="N1133" t="e">
        <f t="shared" si="114"/>
        <v>#N/A</v>
      </c>
      <c r="O1133" t="e">
        <f t="shared" si="113"/>
        <v>#N/A</v>
      </c>
      <c r="P1133">
        <f>'Nom du personnage'!$U$51</f>
        <v>0</v>
      </c>
    </row>
    <row r="1134" spans="10:16">
      <c r="J1134" s="2"/>
      <c r="K1134" s="2"/>
      <c r="M1134">
        <f t="shared" si="115"/>
        <v>0</v>
      </c>
      <c r="N1134" t="e">
        <f t="shared" si="114"/>
        <v>#N/A</v>
      </c>
      <c r="O1134" t="e">
        <f t="shared" si="113"/>
        <v>#N/A</v>
      </c>
      <c r="P1134">
        <f>'Nom du personnage'!$U$51</f>
        <v>0</v>
      </c>
    </row>
    <row r="1135" spans="10:16">
      <c r="J1135" s="2"/>
      <c r="K1135" s="2"/>
      <c r="M1135">
        <f t="shared" si="115"/>
        <v>0</v>
      </c>
      <c r="N1135" t="e">
        <f t="shared" si="114"/>
        <v>#N/A</v>
      </c>
      <c r="O1135" t="e">
        <f t="shared" si="113"/>
        <v>#N/A</v>
      </c>
      <c r="P1135">
        <f>'Nom du personnage'!$U$51</f>
        <v>0</v>
      </c>
    </row>
    <row r="1136" spans="10:16">
      <c r="J1136" s="2"/>
      <c r="K1136" s="2"/>
      <c r="M1136">
        <f t="shared" si="115"/>
        <v>0</v>
      </c>
      <c r="N1136" t="e">
        <f t="shared" si="114"/>
        <v>#N/A</v>
      </c>
      <c r="O1136" t="e">
        <f t="shared" si="113"/>
        <v>#N/A</v>
      </c>
      <c r="P1136">
        <f>'Nom du personnage'!$U$51</f>
        <v>0</v>
      </c>
    </row>
    <row r="1137" spans="10:16">
      <c r="J1137" s="2"/>
      <c r="K1137" s="2"/>
      <c r="M1137">
        <f t="shared" si="115"/>
        <v>0</v>
      </c>
      <c r="N1137" t="e">
        <f t="shared" si="114"/>
        <v>#N/A</v>
      </c>
      <c r="O1137" t="e">
        <f t="shared" si="113"/>
        <v>#N/A</v>
      </c>
      <c r="P1137">
        <f>'Nom du personnage'!$U$51</f>
        <v>0</v>
      </c>
    </row>
    <row r="1138" spans="10:16">
      <c r="J1138" s="2"/>
      <c r="K1138" s="2"/>
      <c r="M1138">
        <f t="shared" si="115"/>
        <v>0</v>
      </c>
      <c r="N1138" t="e">
        <f t="shared" si="114"/>
        <v>#N/A</v>
      </c>
      <c r="O1138" t="e">
        <f t="shared" si="113"/>
        <v>#N/A</v>
      </c>
      <c r="P1138">
        <f>'Nom du personnage'!$U$51</f>
        <v>0</v>
      </c>
    </row>
    <row r="1139" spans="10:16">
      <c r="J1139" s="2"/>
      <c r="K1139" s="2"/>
      <c r="M1139">
        <f t="shared" si="115"/>
        <v>0</v>
      </c>
      <c r="N1139" t="e">
        <f t="shared" si="114"/>
        <v>#N/A</v>
      </c>
      <c r="O1139" t="e">
        <f t="shared" si="113"/>
        <v>#N/A</v>
      </c>
      <c r="P1139">
        <f>'Nom du personnage'!$U$51</f>
        <v>0</v>
      </c>
    </row>
    <row r="1140" spans="10:16">
      <c r="J1140" s="2"/>
      <c r="K1140" s="2"/>
      <c r="M1140">
        <f t="shared" si="115"/>
        <v>0</v>
      </c>
      <c r="N1140" t="e">
        <f t="shared" si="114"/>
        <v>#N/A</v>
      </c>
      <c r="O1140" t="e">
        <f t="shared" si="113"/>
        <v>#N/A</v>
      </c>
      <c r="P1140">
        <f>'Nom du personnage'!$U$51</f>
        <v>0</v>
      </c>
    </row>
    <row r="1141" spans="10:16">
      <c r="J1141" s="2"/>
      <c r="K1141" s="2"/>
      <c r="M1141">
        <f t="shared" si="115"/>
        <v>0</v>
      </c>
      <c r="N1141" t="e">
        <f t="shared" si="114"/>
        <v>#N/A</v>
      </c>
      <c r="O1141" t="e">
        <f t="shared" si="113"/>
        <v>#N/A</v>
      </c>
      <c r="P1141">
        <f>'Nom du personnage'!$U$51</f>
        <v>0</v>
      </c>
    </row>
    <row r="1142" spans="10:16">
      <c r="J1142" s="2"/>
      <c r="K1142" s="2"/>
      <c r="M1142">
        <f t="shared" si="115"/>
        <v>0</v>
      </c>
      <c r="N1142" t="e">
        <f t="shared" si="114"/>
        <v>#N/A</v>
      </c>
      <c r="O1142" t="e">
        <f t="shared" si="113"/>
        <v>#N/A</v>
      </c>
      <c r="P1142">
        <f>'Nom du personnage'!$U$51</f>
        <v>0</v>
      </c>
    </row>
    <row r="1143" spans="10:16">
      <c r="J1143" s="2"/>
      <c r="K1143" s="2"/>
      <c r="M1143">
        <f t="shared" si="115"/>
        <v>0</v>
      </c>
      <c r="N1143" t="e">
        <f t="shared" si="114"/>
        <v>#N/A</v>
      </c>
      <c r="O1143" t="e">
        <f t="shared" si="113"/>
        <v>#N/A</v>
      </c>
      <c r="P1143">
        <f>'Nom du personnage'!$U$51</f>
        <v>0</v>
      </c>
    </row>
    <row r="1144" spans="10:16">
      <c r="J1144" s="2"/>
      <c r="K1144" s="2"/>
      <c r="M1144">
        <f t="shared" si="115"/>
        <v>0</v>
      </c>
      <c r="N1144" t="e">
        <f t="shared" si="114"/>
        <v>#N/A</v>
      </c>
      <c r="O1144" t="e">
        <f t="shared" si="113"/>
        <v>#N/A</v>
      </c>
      <c r="P1144">
        <f>'Nom du personnage'!$U$51</f>
        <v>0</v>
      </c>
    </row>
    <row r="1145" spans="10:16">
      <c r="J1145" s="2"/>
      <c r="K1145" s="2"/>
      <c r="M1145">
        <f t="shared" si="115"/>
        <v>0</v>
      </c>
      <c r="N1145" t="e">
        <f t="shared" si="114"/>
        <v>#N/A</v>
      </c>
      <c r="O1145" t="e">
        <f t="shared" si="113"/>
        <v>#N/A</v>
      </c>
      <c r="P1145">
        <f>'Nom du personnage'!$U$51</f>
        <v>0</v>
      </c>
    </row>
    <row r="1146" spans="10:16">
      <c r="J1146" s="2"/>
      <c r="K1146" s="2"/>
      <c r="M1146">
        <f t="shared" si="115"/>
        <v>0</v>
      </c>
      <c r="N1146" t="e">
        <f t="shared" si="114"/>
        <v>#N/A</v>
      </c>
      <c r="O1146" t="e">
        <f t="shared" ref="O1146:O1209" si="116">VLOOKUP(M1146,H1146:J1203,2,FALSE)+1</f>
        <v>#N/A</v>
      </c>
      <c r="P1146">
        <f>'Nom du personnage'!$U$51</f>
        <v>0</v>
      </c>
    </row>
    <row r="1147" spans="10:16">
      <c r="J1147" s="2"/>
      <c r="K1147" s="2"/>
      <c r="M1147">
        <f t="shared" si="115"/>
        <v>0</v>
      </c>
      <c r="N1147" t="e">
        <f t="shared" si="114"/>
        <v>#N/A</v>
      </c>
      <c r="O1147" t="e">
        <f t="shared" si="116"/>
        <v>#N/A</v>
      </c>
      <c r="P1147">
        <f>'Nom du personnage'!$U$51</f>
        <v>0</v>
      </c>
    </row>
    <row r="1148" spans="10:16">
      <c r="J1148" s="2"/>
      <c r="K1148" s="2"/>
      <c r="M1148">
        <f t="shared" si="115"/>
        <v>0</v>
      </c>
      <c r="N1148" t="e">
        <f t="shared" si="114"/>
        <v>#N/A</v>
      </c>
      <c r="O1148" t="e">
        <f t="shared" si="116"/>
        <v>#N/A</v>
      </c>
      <c r="P1148">
        <f>'Nom du personnage'!$U$51</f>
        <v>0</v>
      </c>
    </row>
    <row r="1149" spans="10:16">
      <c r="J1149" s="2"/>
      <c r="K1149" s="2"/>
      <c r="M1149">
        <f t="shared" si="115"/>
        <v>0</v>
      </c>
      <c r="N1149" t="e">
        <f t="shared" si="114"/>
        <v>#N/A</v>
      </c>
      <c r="O1149" t="e">
        <f t="shared" si="116"/>
        <v>#N/A</v>
      </c>
      <c r="P1149">
        <f>'Nom du personnage'!$U$51</f>
        <v>0</v>
      </c>
    </row>
    <row r="1150" spans="10:16">
      <c r="J1150" s="2"/>
      <c r="K1150" s="2"/>
      <c r="M1150">
        <f t="shared" si="115"/>
        <v>0</v>
      </c>
      <c r="N1150" t="e">
        <f t="shared" si="114"/>
        <v>#N/A</v>
      </c>
      <c r="O1150" t="e">
        <f t="shared" si="116"/>
        <v>#N/A</v>
      </c>
      <c r="P1150">
        <f>'Nom du personnage'!$U$51</f>
        <v>0</v>
      </c>
    </row>
    <row r="1151" spans="10:16">
      <c r="J1151" s="2"/>
      <c r="K1151" s="2"/>
      <c r="M1151">
        <f t="shared" si="115"/>
        <v>0</v>
      </c>
      <c r="N1151" t="e">
        <f t="shared" si="114"/>
        <v>#N/A</v>
      </c>
      <c r="O1151" t="e">
        <f t="shared" si="116"/>
        <v>#N/A</v>
      </c>
      <c r="P1151">
        <f>'Nom du personnage'!$U$51</f>
        <v>0</v>
      </c>
    </row>
    <row r="1152" spans="10:16">
      <c r="J1152" s="2"/>
      <c r="K1152" s="2"/>
      <c r="M1152">
        <f t="shared" si="115"/>
        <v>0</v>
      </c>
      <c r="N1152" t="e">
        <f t="shared" si="114"/>
        <v>#N/A</v>
      </c>
      <c r="O1152" t="e">
        <f t="shared" si="116"/>
        <v>#N/A</v>
      </c>
      <c r="P1152">
        <f>'Nom du personnage'!$U$51</f>
        <v>0</v>
      </c>
    </row>
    <row r="1153" spans="10:16">
      <c r="J1153" s="2"/>
      <c r="K1153" s="2"/>
      <c r="M1153">
        <f t="shared" si="115"/>
        <v>0</v>
      </c>
      <c r="N1153" t="e">
        <f t="shared" si="114"/>
        <v>#N/A</v>
      </c>
      <c r="O1153" t="e">
        <f t="shared" si="116"/>
        <v>#N/A</v>
      </c>
      <c r="P1153">
        <f>'Nom du personnage'!$U$51</f>
        <v>0</v>
      </c>
    </row>
    <row r="1154" spans="10:16">
      <c r="J1154" s="2"/>
      <c r="K1154" s="2"/>
      <c r="M1154">
        <f t="shared" si="115"/>
        <v>0</v>
      </c>
      <c r="N1154" t="e">
        <f t="shared" si="114"/>
        <v>#N/A</v>
      </c>
      <c r="O1154" t="e">
        <f t="shared" si="116"/>
        <v>#N/A</v>
      </c>
      <c r="P1154">
        <f>'Nom du personnage'!$U$51</f>
        <v>0</v>
      </c>
    </row>
    <row r="1155" spans="10:16">
      <c r="J1155" s="2"/>
      <c r="K1155" s="2"/>
      <c r="M1155">
        <f t="shared" si="115"/>
        <v>0</v>
      </c>
      <c r="N1155" t="e">
        <f t="shared" si="114"/>
        <v>#N/A</v>
      </c>
      <c r="O1155" t="e">
        <f t="shared" si="116"/>
        <v>#N/A</v>
      </c>
      <c r="P1155">
        <f>'Nom du personnage'!$U$51</f>
        <v>0</v>
      </c>
    </row>
    <row r="1156" spans="10:16">
      <c r="J1156" s="2"/>
      <c r="K1156" s="2"/>
      <c r="M1156">
        <f t="shared" si="115"/>
        <v>0</v>
      </c>
      <c r="N1156" t="e">
        <f t="shared" si="114"/>
        <v>#N/A</v>
      </c>
      <c r="O1156" t="e">
        <f t="shared" si="116"/>
        <v>#N/A</v>
      </c>
      <c r="P1156">
        <f>'Nom du personnage'!$U$51</f>
        <v>0</v>
      </c>
    </row>
    <row r="1157" spans="10:16">
      <c r="J1157" s="2"/>
      <c r="K1157" s="2"/>
      <c r="M1157">
        <f t="shared" si="115"/>
        <v>0</v>
      </c>
      <c r="N1157" t="e">
        <f t="shared" si="114"/>
        <v>#N/A</v>
      </c>
      <c r="O1157" t="e">
        <f t="shared" si="116"/>
        <v>#N/A</v>
      </c>
      <c r="P1157">
        <f>'Nom du personnage'!$U$51</f>
        <v>0</v>
      </c>
    </row>
    <row r="1158" spans="10:16">
      <c r="J1158" s="2"/>
      <c r="K1158" s="2"/>
      <c r="M1158">
        <f t="shared" si="115"/>
        <v>0</v>
      </c>
      <c r="N1158" t="e">
        <f t="shared" si="114"/>
        <v>#N/A</v>
      </c>
      <c r="O1158" t="e">
        <f t="shared" si="116"/>
        <v>#N/A</v>
      </c>
      <c r="P1158">
        <f>'Nom du personnage'!$U$51</f>
        <v>0</v>
      </c>
    </row>
    <row r="1159" spans="10:16">
      <c r="J1159" s="2"/>
      <c r="K1159" s="2"/>
      <c r="M1159">
        <f t="shared" si="115"/>
        <v>0</v>
      </c>
      <c r="N1159" t="e">
        <f t="shared" si="114"/>
        <v>#N/A</v>
      </c>
      <c r="O1159" t="e">
        <f t="shared" si="116"/>
        <v>#N/A</v>
      </c>
      <c r="P1159">
        <f>'Nom du personnage'!$U$51</f>
        <v>0</v>
      </c>
    </row>
    <row r="1160" spans="10:16">
      <c r="J1160" s="2"/>
      <c r="K1160" s="2"/>
      <c r="M1160">
        <f t="shared" si="115"/>
        <v>0</v>
      </c>
      <c r="N1160" t="e">
        <f t="shared" si="114"/>
        <v>#N/A</v>
      </c>
      <c r="O1160" t="e">
        <f t="shared" si="116"/>
        <v>#N/A</v>
      </c>
      <c r="P1160">
        <f>'Nom du personnage'!$U$51</f>
        <v>0</v>
      </c>
    </row>
    <row r="1161" spans="10:16">
      <c r="J1161" s="2"/>
      <c r="K1161" s="2"/>
      <c r="M1161">
        <f t="shared" si="115"/>
        <v>0</v>
      </c>
      <c r="N1161" t="e">
        <f t="shared" si="114"/>
        <v>#N/A</v>
      </c>
      <c r="O1161" t="e">
        <f t="shared" si="116"/>
        <v>#N/A</v>
      </c>
      <c r="P1161">
        <f>'Nom du personnage'!$U$51</f>
        <v>0</v>
      </c>
    </row>
    <row r="1162" spans="10:16">
      <c r="J1162" s="2"/>
      <c r="K1162" s="2"/>
      <c r="M1162">
        <f t="shared" si="115"/>
        <v>0</v>
      </c>
      <c r="N1162" t="e">
        <f t="shared" si="114"/>
        <v>#N/A</v>
      </c>
      <c r="O1162" t="e">
        <f t="shared" si="116"/>
        <v>#N/A</v>
      </c>
      <c r="P1162">
        <f>'Nom du personnage'!$U$51</f>
        <v>0</v>
      </c>
    </row>
    <row r="1163" spans="10:16">
      <c r="J1163" s="2"/>
      <c r="K1163" s="2"/>
      <c r="M1163">
        <f t="shared" si="115"/>
        <v>0</v>
      </c>
      <c r="N1163" t="e">
        <f t="shared" si="114"/>
        <v>#N/A</v>
      </c>
      <c r="O1163" t="e">
        <f t="shared" si="116"/>
        <v>#N/A</v>
      </c>
      <c r="P1163">
        <f>'Nom du personnage'!$U$51</f>
        <v>0</v>
      </c>
    </row>
    <row r="1164" spans="10:16">
      <c r="J1164" s="2"/>
      <c r="K1164" s="2"/>
      <c r="M1164">
        <f t="shared" si="115"/>
        <v>0</v>
      </c>
      <c r="N1164" t="e">
        <f t="shared" si="114"/>
        <v>#N/A</v>
      </c>
      <c r="O1164" t="e">
        <f t="shared" si="116"/>
        <v>#N/A</v>
      </c>
      <c r="P1164">
        <f>'Nom du personnage'!$U$51</f>
        <v>0</v>
      </c>
    </row>
    <row r="1165" spans="10:16">
      <c r="J1165" s="2"/>
      <c r="K1165" s="2"/>
      <c r="M1165">
        <f t="shared" si="115"/>
        <v>0</v>
      </c>
      <c r="N1165" t="e">
        <f t="shared" si="114"/>
        <v>#N/A</v>
      </c>
      <c r="O1165" t="e">
        <f t="shared" si="116"/>
        <v>#N/A</v>
      </c>
      <c r="P1165">
        <f>'Nom du personnage'!$U$51</f>
        <v>0</v>
      </c>
    </row>
    <row r="1166" spans="10:16">
      <c r="J1166" s="2"/>
      <c r="K1166" s="2"/>
      <c r="M1166">
        <f t="shared" si="115"/>
        <v>0</v>
      </c>
      <c r="N1166" t="e">
        <f t="shared" si="114"/>
        <v>#N/A</v>
      </c>
      <c r="O1166" t="e">
        <f t="shared" si="116"/>
        <v>#N/A</v>
      </c>
      <c r="P1166">
        <f>'Nom du personnage'!$U$51</f>
        <v>0</v>
      </c>
    </row>
    <row r="1167" spans="10:16">
      <c r="J1167" s="2"/>
      <c r="K1167" s="2"/>
      <c r="M1167">
        <f t="shared" si="115"/>
        <v>0</v>
      </c>
      <c r="N1167" t="e">
        <f t="shared" si="114"/>
        <v>#N/A</v>
      </c>
      <c r="O1167" t="e">
        <f t="shared" si="116"/>
        <v>#N/A</v>
      </c>
      <c r="P1167">
        <f>'Nom du personnage'!$U$51</f>
        <v>0</v>
      </c>
    </row>
    <row r="1168" spans="10:16">
      <c r="J1168" s="2"/>
      <c r="K1168" s="2"/>
      <c r="M1168">
        <f t="shared" si="115"/>
        <v>0</v>
      </c>
      <c r="N1168" t="e">
        <f t="shared" si="114"/>
        <v>#N/A</v>
      </c>
      <c r="O1168" t="e">
        <f t="shared" si="116"/>
        <v>#N/A</v>
      </c>
      <c r="P1168">
        <f>'Nom du personnage'!$U$51</f>
        <v>0</v>
      </c>
    </row>
    <row r="1169" spans="10:16">
      <c r="J1169" s="2"/>
      <c r="K1169" s="2"/>
      <c r="M1169">
        <f t="shared" si="115"/>
        <v>0</v>
      </c>
      <c r="N1169" t="e">
        <f t="shared" si="114"/>
        <v>#N/A</v>
      </c>
      <c r="O1169" t="e">
        <f t="shared" si="116"/>
        <v>#N/A</v>
      </c>
      <c r="P1169">
        <f>'Nom du personnage'!$U$51</f>
        <v>0</v>
      </c>
    </row>
    <row r="1170" spans="10:16">
      <c r="J1170" s="2"/>
      <c r="K1170" s="2"/>
      <c r="M1170">
        <f t="shared" si="115"/>
        <v>0</v>
      </c>
      <c r="N1170" t="e">
        <f t="shared" si="114"/>
        <v>#N/A</v>
      </c>
      <c r="O1170" t="e">
        <f t="shared" si="116"/>
        <v>#N/A</v>
      </c>
      <c r="P1170">
        <f>'Nom du personnage'!$U$51</f>
        <v>0</v>
      </c>
    </row>
    <row r="1171" spans="10:16">
      <c r="J1171" s="2"/>
      <c r="K1171" s="2"/>
      <c r="M1171">
        <f t="shared" si="115"/>
        <v>0</v>
      </c>
      <c r="N1171" t="e">
        <f t="shared" si="114"/>
        <v>#N/A</v>
      </c>
      <c r="O1171" t="e">
        <f t="shared" si="116"/>
        <v>#N/A</v>
      </c>
      <c r="P1171">
        <f>'Nom du personnage'!$U$51</f>
        <v>0</v>
      </c>
    </row>
    <row r="1172" spans="10:16">
      <c r="J1172" s="2"/>
      <c r="K1172" s="2"/>
      <c r="M1172">
        <f t="shared" si="115"/>
        <v>0</v>
      </c>
      <c r="N1172" t="e">
        <f t="shared" si="114"/>
        <v>#N/A</v>
      </c>
      <c r="O1172" t="e">
        <f t="shared" si="116"/>
        <v>#N/A</v>
      </c>
      <c r="P1172">
        <f>'Nom du personnage'!$U$51</f>
        <v>0</v>
      </c>
    </row>
    <row r="1173" spans="10:16">
      <c r="J1173" s="2"/>
      <c r="K1173" s="2"/>
      <c r="M1173">
        <f t="shared" si="115"/>
        <v>0</v>
      </c>
      <c r="N1173" t="e">
        <f t="shared" si="114"/>
        <v>#N/A</v>
      </c>
      <c r="O1173" t="e">
        <f t="shared" si="116"/>
        <v>#N/A</v>
      </c>
      <c r="P1173">
        <f>'Nom du personnage'!$U$51</f>
        <v>0</v>
      </c>
    </row>
    <row r="1174" spans="10:16">
      <c r="J1174" s="2"/>
      <c r="K1174" s="2"/>
      <c r="M1174">
        <f t="shared" si="115"/>
        <v>0</v>
      </c>
      <c r="N1174" t="e">
        <f t="shared" si="114"/>
        <v>#N/A</v>
      </c>
      <c r="O1174" t="e">
        <f t="shared" si="116"/>
        <v>#N/A</v>
      </c>
      <c r="P1174">
        <f>'Nom du personnage'!$U$51</f>
        <v>0</v>
      </c>
    </row>
    <row r="1175" spans="10:16">
      <c r="J1175" s="2"/>
      <c r="K1175" s="2"/>
      <c r="M1175">
        <f t="shared" si="115"/>
        <v>0</v>
      </c>
      <c r="N1175" t="e">
        <f t="shared" si="114"/>
        <v>#N/A</v>
      </c>
      <c r="O1175" t="e">
        <f t="shared" si="116"/>
        <v>#N/A</v>
      </c>
      <c r="P1175">
        <f>'Nom du personnage'!$U$51</f>
        <v>0</v>
      </c>
    </row>
    <row r="1176" spans="10:16">
      <c r="J1176" s="2"/>
      <c r="K1176" s="2"/>
      <c r="M1176">
        <f t="shared" si="115"/>
        <v>0</v>
      </c>
      <c r="N1176" t="e">
        <f t="shared" si="114"/>
        <v>#N/A</v>
      </c>
      <c r="O1176" t="e">
        <f t="shared" si="116"/>
        <v>#N/A</v>
      </c>
      <c r="P1176">
        <f>'Nom du personnage'!$U$51</f>
        <v>0</v>
      </c>
    </row>
    <row r="1177" spans="10:16">
      <c r="J1177" s="2"/>
      <c r="K1177" s="2"/>
      <c r="M1177">
        <f t="shared" si="115"/>
        <v>0</v>
      </c>
      <c r="N1177" t="e">
        <f t="shared" si="114"/>
        <v>#N/A</v>
      </c>
      <c r="O1177" t="e">
        <f t="shared" si="116"/>
        <v>#N/A</v>
      </c>
      <c r="P1177">
        <f>'Nom du personnage'!$U$51</f>
        <v>0</v>
      </c>
    </row>
    <row r="1178" spans="10:16">
      <c r="J1178" s="2"/>
      <c r="K1178" s="2"/>
      <c r="M1178">
        <f t="shared" si="115"/>
        <v>0</v>
      </c>
      <c r="N1178" t="e">
        <f t="shared" si="114"/>
        <v>#N/A</v>
      </c>
      <c r="O1178" t="e">
        <f t="shared" si="116"/>
        <v>#N/A</v>
      </c>
      <c r="P1178">
        <f>'Nom du personnage'!$U$51</f>
        <v>0</v>
      </c>
    </row>
    <row r="1179" spans="10:16">
      <c r="J1179" s="2"/>
      <c r="K1179" s="2"/>
      <c r="M1179">
        <f t="shared" si="115"/>
        <v>0</v>
      </c>
      <c r="N1179" t="e">
        <f t="shared" si="114"/>
        <v>#N/A</v>
      </c>
      <c r="O1179" t="e">
        <f t="shared" si="116"/>
        <v>#N/A</v>
      </c>
      <c r="P1179">
        <f>'Nom du personnage'!$U$51</f>
        <v>0</v>
      </c>
    </row>
    <row r="1180" spans="10:16">
      <c r="J1180" s="2"/>
      <c r="K1180" s="2"/>
      <c r="M1180">
        <f t="shared" si="115"/>
        <v>0</v>
      </c>
      <c r="N1180" t="e">
        <f t="shared" ref="N1180:N1243" si="117">VLOOKUP(M1180,H1180:J1237,2,FALSE)</f>
        <v>#N/A</v>
      </c>
      <c r="O1180" t="e">
        <f t="shared" si="116"/>
        <v>#N/A</v>
      </c>
      <c r="P1180">
        <f>'Nom du personnage'!$U$51</f>
        <v>0</v>
      </c>
    </row>
    <row r="1181" spans="10:16">
      <c r="J1181" s="2"/>
      <c r="K1181" s="2"/>
      <c r="M1181">
        <f t="shared" si="115"/>
        <v>0</v>
      </c>
      <c r="N1181" t="e">
        <f t="shared" si="117"/>
        <v>#N/A</v>
      </c>
      <c r="O1181" t="e">
        <f t="shared" si="116"/>
        <v>#N/A</v>
      </c>
      <c r="P1181">
        <f>'Nom du personnage'!$U$51</f>
        <v>0</v>
      </c>
    </row>
    <row r="1182" spans="10:16">
      <c r="J1182" s="2"/>
      <c r="K1182" s="2"/>
      <c r="M1182">
        <f t="shared" ref="M1182:M1245" si="118">IF(P1182=J1182,H1182,)</f>
        <v>0</v>
      </c>
      <c r="N1182" t="e">
        <f t="shared" si="117"/>
        <v>#N/A</v>
      </c>
      <c r="O1182" t="e">
        <f t="shared" si="116"/>
        <v>#N/A</v>
      </c>
      <c r="P1182">
        <f>'Nom du personnage'!$U$51</f>
        <v>0</v>
      </c>
    </row>
    <row r="1183" spans="10:16">
      <c r="J1183" s="2"/>
      <c r="K1183" s="2"/>
      <c r="M1183">
        <f t="shared" si="118"/>
        <v>0</v>
      </c>
      <c r="N1183" t="e">
        <f t="shared" si="117"/>
        <v>#N/A</v>
      </c>
      <c r="O1183" t="e">
        <f t="shared" si="116"/>
        <v>#N/A</v>
      </c>
      <c r="P1183">
        <f>'Nom du personnage'!$U$51</f>
        <v>0</v>
      </c>
    </row>
    <row r="1184" spans="10:16">
      <c r="J1184" s="2"/>
      <c r="K1184" s="2"/>
      <c r="M1184">
        <f t="shared" si="118"/>
        <v>0</v>
      </c>
      <c r="N1184" t="e">
        <f t="shared" si="117"/>
        <v>#N/A</v>
      </c>
      <c r="O1184" t="e">
        <f t="shared" si="116"/>
        <v>#N/A</v>
      </c>
      <c r="P1184">
        <f>'Nom du personnage'!$U$51</f>
        <v>0</v>
      </c>
    </row>
    <row r="1185" spans="10:16">
      <c r="J1185" s="2"/>
      <c r="K1185" s="2"/>
      <c r="M1185">
        <f t="shared" si="118"/>
        <v>0</v>
      </c>
      <c r="N1185" t="e">
        <f t="shared" si="117"/>
        <v>#N/A</v>
      </c>
      <c r="O1185" t="e">
        <f t="shared" si="116"/>
        <v>#N/A</v>
      </c>
      <c r="P1185">
        <f>'Nom du personnage'!$U$51</f>
        <v>0</v>
      </c>
    </row>
    <row r="1186" spans="10:16">
      <c r="J1186" s="2"/>
      <c r="K1186" s="2"/>
      <c r="M1186">
        <f t="shared" si="118"/>
        <v>0</v>
      </c>
      <c r="N1186" t="e">
        <f t="shared" si="117"/>
        <v>#N/A</v>
      </c>
      <c r="O1186" t="e">
        <f t="shared" si="116"/>
        <v>#N/A</v>
      </c>
      <c r="P1186">
        <f>'Nom du personnage'!$U$51</f>
        <v>0</v>
      </c>
    </row>
    <row r="1187" spans="10:16">
      <c r="J1187" s="2"/>
      <c r="K1187" s="2"/>
      <c r="M1187">
        <f t="shared" si="118"/>
        <v>0</v>
      </c>
      <c r="N1187" t="e">
        <f t="shared" si="117"/>
        <v>#N/A</v>
      </c>
      <c r="O1187" t="e">
        <f t="shared" si="116"/>
        <v>#N/A</v>
      </c>
      <c r="P1187">
        <f>'Nom du personnage'!$U$51</f>
        <v>0</v>
      </c>
    </row>
    <row r="1188" spans="10:16">
      <c r="J1188" s="2"/>
      <c r="K1188" s="2"/>
      <c r="M1188">
        <f t="shared" si="118"/>
        <v>0</v>
      </c>
      <c r="N1188" t="e">
        <f t="shared" si="117"/>
        <v>#N/A</v>
      </c>
      <c r="O1188" t="e">
        <f t="shared" si="116"/>
        <v>#N/A</v>
      </c>
      <c r="P1188">
        <f>'Nom du personnage'!$U$51</f>
        <v>0</v>
      </c>
    </row>
    <row r="1189" spans="10:16">
      <c r="J1189" s="2"/>
      <c r="K1189" s="2"/>
      <c r="M1189">
        <f t="shared" si="118"/>
        <v>0</v>
      </c>
      <c r="N1189" t="e">
        <f t="shared" si="117"/>
        <v>#N/A</v>
      </c>
      <c r="O1189" t="e">
        <f t="shared" si="116"/>
        <v>#N/A</v>
      </c>
      <c r="P1189">
        <f>'Nom du personnage'!$U$51</f>
        <v>0</v>
      </c>
    </row>
    <row r="1190" spans="10:16">
      <c r="J1190" s="2"/>
      <c r="K1190" s="2"/>
      <c r="M1190">
        <f t="shared" si="118"/>
        <v>0</v>
      </c>
      <c r="N1190" t="e">
        <f t="shared" si="117"/>
        <v>#N/A</v>
      </c>
      <c r="O1190" t="e">
        <f t="shared" si="116"/>
        <v>#N/A</v>
      </c>
      <c r="P1190">
        <f>'Nom du personnage'!$U$51</f>
        <v>0</v>
      </c>
    </row>
    <row r="1191" spans="10:16">
      <c r="J1191" s="2"/>
      <c r="K1191" s="2"/>
      <c r="M1191">
        <f t="shared" si="118"/>
        <v>0</v>
      </c>
      <c r="N1191" t="e">
        <f t="shared" si="117"/>
        <v>#N/A</v>
      </c>
      <c r="O1191" t="e">
        <f t="shared" si="116"/>
        <v>#N/A</v>
      </c>
      <c r="P1191">
        <f>'Nom du personnage'!$U$51</f>
        <v>0</v>
      </c>
    </row>
    <row r="1192" spans="10:16">
      <c r="J1192" s="2"/>
      <c r="K1192" s="2"/>
      <c r="M1192">
        <f t="shared" si="118"/>
        <v>0</v>
      </c>
      <c r="N1192" t="e">
        <f t="shared" si="117"/>
        <v>#N/A</v>
      </c>
      <c r="O1192" t="e">
        <f t="shared" si="116"/>
        <v>#N/A</v>
      </c>
      <c r="P1192">
        <f>'Nom du personnage'!$U$51</f>
        <v>0</v>
      </c>
    </row>
    <row r="1193" spans="10:16">
      <c r="J1193" s="2"/>
      <c r="K1193" s="2"/>
      <c r="M1193">
        <f t="shared" si="118"/>
        <v>0</v>
      </c>
      <c r="N1193" t="e">
        <f t="shared" si="117"/>
        <v>#N/A</v>
      </c>
      <c r="O1193" t="e">
        <f t="shared" si="116"/>
        <v>#N/A</v>
      </c>
      <c r="P1193">
        <f>'Nom du personnage'!$U$51</f>
        <v>0</v>
      </c>
    </row>
    <row r="1194" spans="10:16">
      <c r="J1194" s="2"/>
      <c r="K1194" s="2"/>
      <c r="M1194">
        <f t="shared" si="118"/>
        <v>0</v>
      </c>
      <c r="N1194" t="e">
        <f t="shared" si="117"/>
        <v>#N/A</v>
      </c>
      <c r="O1194" t="e">
        <f t="shared" si="116"/>
        <v>#N/A</v>
      </c>
      <c r="P1194">
        <f>'Nom du personnage'!$U$51</f>
        <v>0</v>
      </c>
    </row>
    <row r="1195" spans="10:16">
      <c r="J1195" s="2"/>
      <c r="K1195" s="2"/>
      <c r="M1195">
        <f t="shared" si="118"/>
        <v>0</v>
      </c>
      <c r="N1195" t="e">
        <f t="shared" si="117"/>
        <v>#N/A</v>
      </c>
      <c r="O1195" t="e">
        <f t="shared" si="116"/>
        <v>#N/A</v>
      </c>
      <c r="P1195">
        <f>'Nom du personnage'!$U$51</f>
        <v>0</v>
      </c>
    </row>
    <row r="1196" spans="10:16">
      <c r="J1196" s="2"/>
      <c r="K1196" s="2"/>
      <c r="M1196">
        <f t="shared" si="118"/>
        <v>0</v>
      </c>
      <c r="N1196" t="e">
        <f t="shared" si="117"/>
        <v>#N/A</v>
      </c>
      <c r="O1196" t="e">
        <f t="shared" si="116"/>
        <v>#N/A</v>
      </c>
      <c r="P1196">
        <f>'Nom du personnage'!$U$51</f>
        <v>0</v>
      </c>
    </row>
    <row r="1197" spans="10:16">
      <c r="J1197" s="2"/>
      <c r="K1197" s="2"/>
      <c r="M1197">
        <f t="shared" si="118"/>
        <v>0</v>
      </c>
      <c r="N1197" t="e">
        <f t="shared" si="117"/>
        <v>#N/A</v>
      </c>
      <c r="O1197" t="e">
        <f t="shared" si="116"/>
        <v>#N/A</v>
      </c>
      <c r="P1197">
        <f>'Nom du personnage'!$U$51</f>
        <v>0</v>
      </c>
    </row>
    <row r="1198" spans="10:16">
      <c r="J1198" s="2"/>
      <c r="K1198" s="2"/>
      <c r="M1198">
        <f t="shared" si="118"/>
        <v>0</v>
      </c>
      <c r="N1198" t="e">
        <f t="shared" si="117"/>
        <v>#N/A</v>
      </c>
      <c r="O1198" t="e">
        <f t="shared" si="116"/>
        <v>#N/A</v>
      </c>
      <c r="P1198">
        <f>'Nom du personnage'!$U$51</f>
        <v>0</v>
      </c>
    </row>
    <row r="1199" spans="10:16">
      <c r="J1199" s="2"/>
      <c r="K1199" s="2"/>
      <c r="M1199">
        <f t="shared" si="118"/>
        <v>0</v>
      </c>
      <c r="N1199" t="e">
        <f t="shared" si="117"/>
        <v>#N/A</v>
      </c>
      <c r="O1199" t="e">
        <f t="shared" si="116"/>
        <v>#N/A</v>
      </c>
      <c r="P1199">
        <f>'Nom du personnage'!$U$51</f>
        <v>0</v>
      </c>
    </row>
    <row r="1200" spans="10:16">
      <c r="J1200" s="2"/>
      <c r="K1200" s="2"/>
      <c r="M1200">
        <f t="shared" si="118"/>
        <v>0</v>
      </c>
      <c r="N1200" t="e">
        <f t="shared" si="117"/>
        <v>#N/A</v>
      </c>
      <c r="O1200" t="e">
        <f t="shared" si="116"/>
        <v>#N/A</v>
      </c>
      <c r="P1200">
        <f>'Nom du personnage'!$U$51</f>
        <v>0</v>
      </c>
    </row>
    <row r="1201" spans="10:16">
      <c r="J1201" s="2"/>
      <c r="K1201" s="2"/>
      <c r="M1201">
        <f t="shared" si="118"/>
        <v>0</v>
      </c>
      <c r="N1201" t="e">
        <f t="shared" si="117"/>
        <v>#N/A</v>
      </c>
      <c r="O1201" t="e">
        <f t="shared" si="116"/>
        <v>#N/A</v>
      </c>
      <c r="P1201">
        <f>'Nom du personnage'!$U$51</f>
        <v>0</v>
      </c>
    </row>
    <row r="1202" spans="10:16">
      <c r="J1202" s="2"/>
      <c r="K1202" s="2"/>
      <c r="M1202">
        <f t="shared" si="118"/>
        <v>0</v>
      </c>
      <c r="N1202" t="e">
        <f t="shared" si="117"/>
        <v>#N/A</v>
      </c>
      <c r="O1202" t="e">
        <f t="shared" si="116"/>
        <v>#N/A</v>
      </c>
      <c r="P1202">
        <f>'Nom du personnage'!$U$51</f>
        <v>0</v>
      </c>
    </row>
    <row r="1203" spans="10:16">
      <c r="J1203" s="2"/>
      <c r="K1203" s="2"/>
      <c r="M1203">
        <f t="shared" si="118"/>
        <v>0</v>
      </c>
      <c r="N1203" t="e">
        <f t="shared" si="117"/>
        <v>#N/A</v>
      </c>
      <c r="O1203" t="e">
        <f t="shared" si="116"/>
        <v>#N/A</v>
      </c>
      <c r="P1203">
        <f>'Nom du personnage'!$U$51</f>
        <v>0</v>
      </c>
    </row>
    <row r="1204" spans="10:16">
      <c r="J1204" s="2"/>
      <c r="K1204" s="2"/>
      <c r="M1204">
        <f t="shared" si="118"/>
        <v>0</v>
      </c>
      <c r="N1204" t="e">
        <f t="shared" si="117"/>
        <v>#N/A</v>
      </c>
      <c r="O1204" t="e">
        <f t="shared" si="116"/>
        <v>#N/A</v>
      </c>
      <c r="P1204">
        <f>'Nom du personnage'!$U$51</f>
        <v>0</v>
      </c>
    </row>
    <row r="1205" spans="10:16">
      <c r="J1205" s="2"/>
      <c r="K1205" s="2"/>
      <c r="M1205">
        <f t="shared" si="118"/>
        <v>0</v>
      </c>
      <c r="N1205" t="e">
        <f t="shared" si="117"/>
        <v>#N/A</v>
      </c>
      <c r="O1205" t="e">
        <f t="shared" si="116"/>
        <v>#N/A</v>
      </c>
      <c r="P1205">
        <f>'Nom du personnage'!$U$51</f>
        <v>0</v>
      </c>
    </row>
    <row r="1206" spans="10:16">
      <c r="J1206" s="2"/>
      <c r="K1206" s="2"/>
      <c r="M1206">
        <f t="shared" si="118"/>
        <v>0</v>
      </c>
      <c r="N1206" t="e">
        <f t="shared" si="117"/>
        <v>#N/A</v>
      </c>
      <c r="O1206" t="e">
        <f t="shared" si="116"/>
        <v>#N/A</v>
      </c>
      <c r="P1206">
        <f>'Nom du personnage'!$U$51</f>
        <v>0</v>
      </c>
    </row>
    <row r="1207" spans="10:16">
      <c r="J1207" s="2"/>
      <c r="K1207" s="2"/>
      <c r="M1207">
        <f t="shared" si="118"/>
        <v>0</v>
      </c>
      <c r="N1207" t="e">
        <f t="shared" si="117"/>
        <v>#N/A</v>
      </c>
      <c r="O1207" t="e">
        <f t="shared" si="116"/>
        <v>#N/A</v>
      </c>
      <c r="P1207">
        <f>'Nom du personnage'!$U$51</f>
        <v>0</v>
      </c>
    </row>
    <row r="1208" spans="10:16">
      <c r="J1208" s="2"/>
      <c r="K1208" s="2"/>
      <c r="M1208">
        <f t="shared" si="118"/>
        <v>0</v>
      </c>
      <c r="N1208" t="e">
        <f t="shared" si="117"/>
        <v>#N/A</v>
      </c>
      <c r="O1208" t="e">
        <f t="shared" si="116"/>
        <v>#N/A</v>
      </c>
      <c r="P1208">
        <f>'Nom du personnage'!$U$51</f>
        <v>0</v>
      </c>
    </row>
    <row r="1209" spans="10:16">
      <c r="J1209" s="2"/>
      <c r="K1209" s="2"/>
      <c r="M1209">
        <f t="shared" si="118"/>
        <v>0</v>
      </c>
      <c r="N1209" t="e">
        <f t="shared" si="117"/>
        <v>#N/A</v>
      </c>
      <c r="O1209" t="e">
        <f t="shared" si="116"/>
        <v>#N/A</v>
      </c>
      <c r="P1209">
        <f>'Nom du personnage'!$U$51</f>
        <v>0</v>
      </c>
    </row>
    <row r="1210" spans="10:16">
      <c r="J1210" s="2"/>
      <c r="K1210" s="2"/>
      <c r="M1210">
        <f t="shared" si="118"/>
        <v>0</v>
      </c>
      <c r="N1210" t="e">
        <f t="shared" si="117"/>
        <v>#N/A</v>
      </c>
      <c r="O1210" t="e">
        <f t="shared" ref="O1210:O1273" si="119">VLOOKUP(M1210,H1210:J1267,2,FALSE)+1</f>
        <v>#N/A</v>
      </c>
      <c r="P1210">
        <f>'Nom du personnage'!$U$51</f>
        <v>0</v>
      </c>
    </row>
    <row r="1211" spans="10:16">
      <c r="J1211" s="2"/>
      <c r="K1211" s="2"/>
      <c r="M1211">
        <f t="shared" si="118"/>
        <v>0</v>
      </c>
      <c r="N1211" t="e">
        <f t="shared" si="117"/>
        <v>#N/A</v>
      </c>
      <c r="O1211" t="e">
        <f t="shared" si="119"/>
        <v>#N/A</v>
      </c>
      <c r="P1211">
        <f>'Nom du personnage'!$U$51</f>
        <v>0</v>
      </c>
    </row>
    <row r="1212" spans="10:16">
      <c r="J1212" s="2"/>
      <c r="K1212" s="2"/>
      <c r="M1212">
        <f t="shared" si="118"/>
        <v>0</v>
      </c>
      <c r="N1212" t="e">
        <f t="shared" si="117"/>
        <v>#N/A</v>
      </c>
      <c r="O1212" t="e">
        <f t="shared" si="119"/>
        <v>#N/A</v>
      </c>
      <c r="P1212">
        <f>'Nom du personnage'!$U$51</f>
        <v>0</v>
      </c>
    </row>
    <row r="1213" spans="10:16">
      <c r="J1213" s="2"/>
      <c r="K1213" s="2"/>
      <c r="M1213">
        <f t="shared" si="118"/>
        <v>0</v>
      </c>
      <c r="N1213" t="e">
        <f t="shared" si="117"/>
        <v>#N/A</v>
      </c>
      <c r="O1213" t="e">
        <f t="shared" si="119"/>
        <v>#N/A</v>
      </c>
      <c r="P1213">
        <f>'Nom du personnage'!$U$51</f>
        <v>0</v>
      </c>
    </row>
    <row r="1214" spans="10:16">
      <c r="J1214" s="2"/>
      <c r="K1214" s="2"/>
      <c r="M1214">
        <f t="shared" si="118"/>
        <v>0</v>
      </c>
      <c r="N1214" t="e">
        <f t="shared" si="117"/>
        <v>#N/A</v>
      </c>
      <c r="O1214" t="e">
        <f t="shared" si="119"/>
        <v>#N/A</v>
      </c>
      <c r="P1214">
        <f>'Nom du personnage'!$U$51</f>
        <v>0</v>
      </c>
    </row>
    <row r="1215" spans="10:16">
      <c r="J1215" s="2"/>
      <c r="K1215" s="2"/>
      <c r="M1215">
        <f t="shared" si="118"/>
        <v>0</v>
      </c>
      <c r="N1215" t="e">
        <f t="shared" si="117"/>
        <v>#N/A</v>
      </c>
      <c r="O1215" t="e">
        <f t="shared" si="119"/>
        <v>#N/A</v>
      </c>
      <c r="P1215">
        <f>'Nom du personnage'!$U$51</f>
        <v>0</v>
      </c>
    </row>
    <row r="1216" spans="10:16">
      <c r="J1216" s="2"/>
      <c r="K1216" s="2"/>
      <c r="M1216">
        <f t="shared" si="118"/>
        <v>0</v>
      </c>
      <c r="N1216" t="e">
        <f t="shared" si="117"/>
        <v>#N/A</v>
      </c>
      <c r="O1216" t="e">
        <f t="shared" si="119"/>
        <v>#N/A</v>
      </c>
      <c r="P1216">
        <f>'Nom du personnage'!$U$51</f>
        <v>0</v>
      </c>
    </row>
    <row r="1217" spans="10:16">
      <c r="J1217" s="2"/>
      <c r="K1217" s="2"/>
      <c r="M1217">
        <f t="shared" si="118"/>
        <v>0</v>
      </c>
      <c r="N1217" t="e">
        <f t="shared" si="117"/>
        <v>#N/A</v>
      </c>
      <c r="O1217" t="e">
        <f t="shared" si="119"/>
        <v>#N/A</v>
      </c>
      <c r="P1217">
        <f>'Nom du personnage'!$U$51</f>
        <v>0</v>
      </c>
    </row>
    <row r="1218" spans="10:16">
      <c r="J1218" s="2"/>
      <c r="K1218" s="2"/>
      <c r="M1218">
        <f t="shared" si="118"/>
        <v>0</v>
      </c>
      <c r="N1218" t="e">
        <f t="shared" si="117"/>
        <v>#N/A</v>
      </c>
      <c r="O1218" t="e">
        <f t="shared" si="119"/>
        <v>#N/A</v>
      </c>
      <c r="P1218">
        <f>'Nom du personnage'!$U$51</f>
        <v>0</v>
      </c>
    </row>
    <row r="1219" spans="10:16">
      <c r="J1219" s="2"/>
      <c r="K1219" s="2"/>
      <c r="M1219">
        <f t="shared" si="118"/>
        <v>0</v>
      </c>
      <c r="N1219" t="e">
        <f t="shared" si="117"/>
        <v>#N/A</v>
      </c>
      <c r="O1219" t="e">
        <f t="shared" si="119"/>
        <v>#N/A</v>
      </c>
      <c r="P1219">
        <f>'Nom du personnage'!$U$51</f>
        <v>0</v>
      </c>
    </row>
    <row r="1220" spans="10:16">
      <c r="J1220" s="2"/>
      <c r="K1220" s="2"/>
      <c r="M1220">
        <f t="shared" si="118"/>
        <v>0</v>
      </c>
      <c r="N1220" t="e">
        <f t="shared" si="117"/>
        <v>#N/A</v>
      </c>
      <c r="O1220" t="e">
        <f t="shared" si="119"/>
        <v>#N/A</v>
      </c>
      <c r="P1220">
        <f>'Nom du personnage'!$U$51</f>
        <v>0</v>
      </c>
    </row>
    <row r="1221" spans="10:16">
      <c r="J1221" s="2"/>
      <c r="K1221" s="2"/>
      <c r="M1221">
        <f t="shared" si="118"/>
        <v>0</v>
      </c>
      <c r="N1221" t="e">
        <f t="shared" si="117"/>
        <v>#N/A</v>
      </c>
      <c r="O1221" t="e">
        <f t="shared" si="119"/>
        <v>#N/A</v>
      </c>
      <c r="P1221">
        <f>'Nom du personnage'!$U$51</f>
        <v>0</v>
      </c>
    </row>
    <row r="1222" spans="10:16">
      <c r="J1222" s="2"/>
      <c r="K1222" s="2"/>
      <c r="M1222">
        <f t="shared" si="118"/>
        <v>0</v>
      </c>
      <c r="N1222" t="e">
        <f t="shared" si="117"/>
        <v>#N/A</v>
      </c>
      <c r="O1222" t="e">
        <f t="shared" si="119"/>
        <v>#N/A</v>
      </c>
      <c r="P1222">
        <f>'Nom du personnage'!$U$51</f>
        <v>0</v>
      </c>
    </row>
    <row r="1223" spans="10:16">
      <c r="J1223" s="2"/>
      <c r="K1223" s="2"/>
      <c r="M1223">
        <f t="shared" si="118"/>
        <v>0</v>
      </c>
      <c r="N1223" t="e">
        <f t="shared" si="117"/>
        <v>#N/A</v>
      </c>
      <c r="O1223" t="e">
        <f t="shared" si="119"/>
        <v>#N/A</v>
      </c>
      <c r="P1223">
        <f>'Nom du personnage'!$U$51</f>
        <v>0</v>
      </c>
    </row>
    <row r="1224" spans="10:16">
      <c r="J1224" s="2"/>
      <c r="K1224" s="2"/>
      <c r="M1224">
        <f t="shared" si="118"/>
        <v>0</v>
      </c>
      <c r="N1224" t="e">
        <f t="shared" si="117"/>
        <v>#N/A</v>
      </c>
      <c r="O1224" t="e">
        <f t="shared" si="119"/>
        <v>#N/A</v>
      </c>
      <c r="P1224">
        <f>'Nom du personnage'!$U$51</f>
        <v>0</v>
      </c>
    </row>
    <row r="1225" spans="10:16">
      <c r="J1225" s="2"/>
      <c r="K1225" s="2"/>
      <c r="M1225">
        <f t="shared" si="118"/>
        <v>0</v>
      </c>
      <c r="N1225" t="e">
        <f t="shared" si="117"/>
        <v>#N/A</v>
      </c>
      <c r="O1225" t="e">
        <f t="shared" si="119"/>
        <v>#N/A</v>
      </c>
      <c r="P1225">
        <f>'Nom du personnage'!$U$51</f>
        <v>0</v>
      </c>
    </row>
    <row r="1226" spans="10:16">
      <c r="J1226" s="2"/>
      <c r="K1226" s="2"/>
      <c r="M1226">
        <f t="shared" si="118"/>
        <v>0</v>
      </c>
      <c r="N1226" t="e">
        <f t="shared" si="117"/>
        <v>#N/A</v>
      </c>
      <c r="O1226" t="e">
        <f t="shared" si="119"/>
        <v>#N/A</v>
      </c>
      <c r="P1226">
        <f>'Nom du personnage'!$U$51</f>
        <v>0</v>
      </c>
    </row>
    <row r="1227" spans="10:16">
      <c r="J1227" s="2"/>
      <c r="K1227" s="2"/>
      <c r="M1227">
        <f t="shared" si="118"/>
        <v>0</v>
      </c>
      <c r="N1227" t="e">
        <f t="shared" si="117"/>
        <v>#N/A</v>
      </c>
      <c r="O1227" t="e">
        <f t="shared" si="119"/>
        <v>#N/A</v>
      </c>
      <c r="P1227">
        <f>'Nom du personnage'!$U$51</f>
        <v>0</v>
      </c>
    </row>
    <row r="1228" spans="10:16">
      <c r="J1228" s="2"/>
      <c r="K1228" s="2"/>
      <c r="M1228">
        <f t="shared" si="118"/>
        <v>0</v>
      </c>
      <c r="N1228" t="e">
        <f t="shared" si="117"/>
        <v>#N/A</v>
      </c>
      <c r="O1228" t="e">
        <f t="shared" si="119"/>
        <v>#N/A</v>
      </c>
      <c r="P1228">
        <f>'Nom du personnage'!$U$51</f>
        <v>0</v>
      </c>
    </row>
    <row r="1229" spans="10:16">
      <c r="J1229" s="2"/>
      <c r="K1229" s="2"/>
      <c r="M1229">
        <f t="shared" si="118"/>
        <v>0</v>
      </c>
      <c r="N1229" t="e">
        <f t="shared" si="117"/>
        <v>#N/A</v>
      </c>
      <c r="O1229" t="e">
        <f t="shared" si="119"/>
        <v>#N/A</v>
      </c>
      <c r="P1229">
        <f>'Nom du personnage'!$U$51</f>
        <v>0</v>
      </c>
    </row>
    <row r="1230" spans="10:16">
      <c r="J1230" s="2"/>
      <c r="K1230" s="2"/>
      <c r="M1230">
        <f t="shared" si="118"/>
        <v>0</v>
      </c>
      <c r="N1230" t="e">
        <f t="shared" si="117"/>
        <v>#N/A</v>
      </c>
      <c r="O1230" t="e">
        <f t="shared" si="119"/>
        <v>#N/A</v>
      </c>
      <c r="P1230">
        <f>'Nom du personnage'!$U$51</f>
        <v>0</v>
      </c>
    </row>
    <row r="1231" spans="10:16">
      <c r="J1231" s="2"/>
      <c r="K1231" s="2"/>
      <c r="M1231">
        <f t="shared" si="118"/>
        <v>0</v>
      </c>
      <c r="N1231" t="e">
        <f t="shared" si="117"/>
        <v>#N/A</v>
      </c>
      <c r="O1231" t="e">
        <f t="shared" si="119"/>
        <v>#N/A</v>
      </c>
      <c r="P1231">
        <f>'Nom du personnage'!$U$51</f>
        <v>0</v>
      </c>
    </row>
    <row r="1232" spans="10:16">
      <c r="J1232" s="2"/>
      <c r="K1232" s="2"/>
      <c r="M1232">
        <f t="shared" si="118"/>
        <v>0</v>
      </c>
      <c r="N1232" t="e">
        <f t="shared" si="117"/>
        <v>#N/A</v>
      </c>
      <c r="O1232" t="e">
        <f t="shared" si="119"/>
        <v>#N/A</v>
      </c>
      <c r="P1232">
        <f>'Nom du personnage'!$U$51</f>
        <v>0</v>
      </c>
    </row>
    <row r="1233" spans="10:16">
      <c r="J1233" s="2"/>
      <c r="K1233" s="2"/>
      <c r="M1233">
        <f t="shared" si="118"/>
        <v>0</v>
      </c>
      <c r="N1233" t="e">
        <f t="shared" si="117"/>
        <v>#N/A</v>
      </c>
      <c r="O1233" t="e">
        <f t="shared" si="119"/>
        <v>#N/A</v>
      </c>
      <c r="P1233">
        <f>'Nom du personnage'!$U$51</f>
        <v>0</v>
      </c>
    </row>
    <row r="1234" spans="10:16">
      <c r="J1234" s="2"/>
      <c r="K1234" s="2"/>
      <c r="M1234">
        <f t="shared" si="118"/>
        <v>0</v>
      </c>
      <c r="N1234" t="e">
        <f t="shared" si="117"/>
        <v>#N/A</v>
      </c>
      <c r="O1234" t="e">
        <f t="shared" si="119"/>
        <v>#N/A</v>
      </c>
      <c r="P1234">
        <f>'Nom du personnage'!$U$51</f>
        <v>0</v>
      </c>
    </row>
    <row r="1235" spans="10:16">
      <c r="J1235" s="2"/>
      <c r="K1235" s="2"/>
      <c r="M1235">
        <f t="shared" si="118"/>
        <v>0</v>
      </c>
      <c r="N1235" t="e">
        <f t="shared" si="117"/>
        <v>#N/A</v>
      </c>
      <c r="O1235" t="e">
        <f t="shared" si="119"/>
        <v>#N/A</v>
      </c>
      <c r="P1235">
        <f>'Nom du personnage'!$U$51</f>
        <v>0</v>
      </c>
    </row>
    <row r="1236" spans="10:16">
      <c r="J1236" s="2"/>
      <c r="K1236" s="2"/>
      <c r="M1236">
        <f t="shared" si="118"/>
        <v>0</v>
      </c>
      <c r="N1236" t="e">
        <f t="shared" si="117"/>
        <v>#N/A</v>
      </c>
      <c r="O1236" t="e">
        <f t="shared" si="119"/>
        <v>#N/A</v>
      </c>
      <c r="P1236">
        <f>'Nom du personnage'!$U$51</f>
        <v>0</v>
      </c>
    </row>
    <row r="1237" spans="10:16">
      <c r="J1237" s="2"/>
      <c r="K1237" s="2"/>
      <c r="M1237">
        <f t="shared" si="118"/>
        <v>0</v>
      </c>
      <c r="N1237" t="e">
        <f t="shared" si="117"/>
        <v>#N/A</v>
      </c>
      <c r="O1237" t="e">
        <f t="shared" si="119"/>
        <v>#N/A</v>
      </c>
      <c r="P1237">
        <f>'Nom du personnage'!$U$51</f>
        <v>0</v>
      </c>
    </row>
    <row r="1238" spans="10:16">
      <c r="J1238" s="2"/>
      <c r="K1238" s="2"/>
      <c r="M1238">
        <f t="shared" si="118"/>
        <v>0</v>
      </c>
      <c r="N1238" t="e">
        <f t="shared" si="117"/>
        <v>#N/A</v>
      </c>
      <c r="O1238" t="e">
        <f t="shared" si="119"/>
        <v>#N/A</v>
      </c>
      <c r="P1238">
        <f>'Nom du personnage'!$U$51</f>
        <v>0</v>
      </c>
    </row>
    <row r="1239" spans="10:16">
      <c r="J1239" s="2"/>
      <c r="K1239" s="2"/>
      <c r="M1239">
        <f t="shared" si="118"/>
        <v>0</v>
      </c>
      <c r="N1239" t="e">
        <f t="shared" si="117"/>
        <v>#N/A</v>
      </c>
      <c r="O1239" t="e">
        <f t="shared" si="119"/>
        <v>#N/A</v>
      </c>
      <c r="P1239">
        <f>'Nom du personnage'!$U$51</f>
        <v>0</v>
      </c>
    </row>
    <row r="1240" spans="10:16">
      <c r="J1240" s="2"/>
      <c r="K1240" s="2"/>
      <c r="M1240">
        <f t="shared" si="118"/>
        <v>0</v>
      </c>
      <c r="N1240" t="e">
        <f t="shared" si="117"/>
        <v>#N/A</v>
      </c>
      <c r="O1240" t="e">
        <f t="shared" si="119"/>
        <v>#N/A</v>
      </c>
      <c r="P1240">
        <f>'Nom du personnage'!$U$51</f>
        <v>0</v>
      </c>
    </row>
    <row r="1241" spans="10:16">
      <c r="J1241" s="2"/>
      <c r="K1241" s="2"/>
      <c r="M1241">
        <f t="shared" si="118"/>
        <v>0</v>
      </c>
      <c r="N1241" t="e">
        <f t="shared" si="117"/>
        <v>#N/A</v>
      </c>
      <c r="O1241" t="e">
        <f t="shared" si="119"/>
        <v>#N/A</v>
      </c>
      <c r="P1241">
        <f>'Nom du personnage'!$U$51</f>
        <v>0</v>
      </c>
    </row>
    <row r="1242" spans="10:16">
      <c r="J1242" s="2"/>
      <c r="K1242" s="2"/>
      <c r="M1242">
        <f t="shared" si="118"/>
        <v>0</v>
      </c>
      <c r="N1242" t="e">
        <f t="shared" si="117"/>
        <v>#N/A</v>
      </c>
      <c r="O1242" t="e">
        <f t="shared" si="119"/>
        <v>#N/A</v>
      </c>
      <c r="P1242">
        <f>'Nom du personnage'!$U$51</f>
        <v>0</v>
      </c>
    </row>
    <row r="1243" spans="10:16">
      <c r="J1243" s="2"/>
      <c r="K1243" s="2"/>
      <c r="M1243">
        <f t="shared" si="118"/>
        <v>0</v>
      </c>
      <c r="N1243" t="e">
        <f t="shared" si="117"/>
        <v>#N/A</v>
      </c>
      <c r="O1243" t="e">
        <f t="shared" si="119"/>
        <v>#N/A</v>
      </c>
      <c r="P1243">
        <f>'Nom du personnage'!$U$51</f>
        <v>0</v>
      </c>
    </row>
    <row r="1244" spans="10:16">
      <c r="J1244" s="2"/>
      <c r="K1244" s="2"/>
      <c r="M1244">
        <f t="shared" si="118"/>
        <v>0</v>
      </c>
      <c r="N1244" t="e">
        <f t="shared" ref="N1244:N1307" si="120">VLOOKUP(M1244,H1244:J1301,2,FALSE)</f>
        <v>#N/A</v>
      </c>
      <c r="O1244" t="e">
        <f t="shared" si="119"/>
        <v>#N/A</v>
      </c>
      <c r="P1244">
        <f>'Nom du personnage'!$U$51</f>
        <v>0</v>
      </c>
    </row>
    <row r="1245" spans="10:16">
      <c r="J1245" s="2"/>
      <c r="K1245" s="2"/>
      <c r="M1245">
        <f t="shared" si="118"/>
        <v>0</v>
      </c>
      <c r="N1245" t="e">
        <f t="shared" si="120"/>
        <v>#N/A</v>
      </c>
      <c r="O1245" t="e">
        <f t="shared" si="119"/>
        <v>#N/A</v>
      </c>
      <c r="P1245">
        <f>'Nom du personnage'!$U$51</f>
        <v>0</v>
      </c>
    </row>
    <row r="1246" spans="10:16">
      <c r="J1246" s="2"/>
      <c r="K1246" s="2"/>
      <c r="M1246">
        <f t="shared" ref="M1246:M1309" si="121">IF(P1246=J1246,H1246,)</f>
        <v>0</v>
      </c>
      <c r="N1246" t="e">
        <f t="shared" si="120"/>
        <v>#N/A</v>
      </c>
      <c r="O1246" t="e">
        <f t="shared" si="119"/>
        <v>#N/A</v>
      </c>
      <c r="P1246">
        <f>'Nom du personnage'!$U$51</f>
        <v>0</v>
      </c>
    </row>
    <row r="1247" spans="10:16">
      <c r="J1247" s="2"/>
      <c r="K1247" s="2"/>
      <c r="M1247">
        <f t="shared" si="121"/>
        <v>0</v>
      </c>
      <c r="N1247" t="e">
        <f t="shared" si="120"/>
        <v>#N/A</v>
      </c>
      <c r="O1247" t="e">
        <f t="shared" si="119"/>
        <v>#N/A</v>
      </c>
      <c r="P1247">
        <f>'Nom du personnage'!$U$51</f>
        <v>0</v>
      </c>
    </row>
    <row r="1248" spans="10:16">
      <c r="J1248" s="2"/>
      <c r="K1248" s="2"/>
      <c r="M1248">
        <f t="shared" si="121"/>
        <v>0</v>
      </c>
      <c r="N1248" t="e">
        <f t="shared" si="120"/>
        <v>#N/A</v>
      </c>
      <c r="O1248" t="e">
        <f t="shared" si="119"/>
        <v>#N/A</v>
      </c>
      <c r="P1248">
        <f>'Nom du personnage'!$U$51</f>
        <v>0</v>
      </c>
    </row>
    <row r="1249" spans="10:16">
      <c r="J1249" s="2"/>
      <c r="K1249" s="2"/>
      <c r="M1249">
        <f t="shared" si="121"/>
        <v>0</v>
      </c>
      <c r="N1249" t="e">
        <f t="shared" si="120"/>
        <v>#N/A</v>
      </c>
      <c r="O1249" t="e">
        <f t="shared" si="119"/>
        <v>#N/A</v>
      </c>
      <c r="P1249">
        <f>'Nom du personnage'!$U$51</f>
        <v>0</v>
      </c>
    </row>
    <row r="1250" spans="10:16">
      <c r="J1250" s="2"/>
      <c r="K1250" s="2"/>
      <c r="M1250">
        <f t="shared" si="121"/>
        <v>0</v>
      </c>
      <c r="N1250" t="e">
        <f t="shared" si="120"/>
        <v>#N/A</v>
      </c>
      <c r="O1250" t="e">
        <f t="shared" si="119"/>
        <v>#N/A</v>
      </c>
      <c r="P1250">
        <f>'Nom du personnage'!$U$51</f>
        <v>0</v>
      </c>
    </row>
    <row r="1251" spans="10:16">
      <c r="J1251" s="2"/>
      <c r="K1251" s="2"/>
      <c r="M1251">
        <f t="shared" si="121"/>
        <v>0</v>
      </c>
      <c r="N1251" t="e">
        <f t="shared" si="120"/>
        <v>#N/A</v>
      </c>
      <c r="O1251" t="e">
        <f t="shared" si="119"/>
        <v>#N/A</v>
      </c>
      <c r="P1251">
        <f>'Nom du personnage'!$U$51</f>
        <v>0</v>
      </c>
    </row>
    <row r="1252" spans="10:16">
      <c r="J1252" s="2"/>
      <c r="K1252" s="2"/>
      <c r="M1252">
        <f t="shared" si="121"/>
        <v>0</v>
      </c>
      <c r="N1252" t="e">
        <f t="shared" si="120"/>
        <v>#N/A</v>
      </c>
      <c r="O1252" t="e">
        <f t="shared" si="119"/>
        <v>#N/A</v>
      </c>
      <c r="P1252">
        <f>'Nom du personnage'!$U$51</f>
        <v>0</v>
      </c>
    </row>
    <row r="1253" spans="10:16">
      <c r="J1253" s="2"/>
      <c r="K1253" s="2"/>
      <c r="M1253">
        <f t="shared" si="121"/>
        <v>0</v>
      </c>
      <c r="N1253" t="e">
        <f t="shared" si="120"/>
        <v>#N/A</v>
      </c>
      <c r="O1253" t="e">
        <f t="shared" si="119"/>
        <v>#N/A</v>
      </c>
      <c r="P1253">
        <f>'Nom du personnage'!$U$51</f>
        <v>0</v>
      </c>
    </row>
    <row r="1254" spans="10:16">
      <c r="J1254" s="2"/>
      <c r="K1254" s="2"/>
      <c r="M1254">
        <f t="shared" si="121"/>
        <v>0</v>
      </c>
      <c r="N1254" t="e">
        <f t="shared" si="120"/>
        <v>#N/A</v>
      </c>
      <c r="O1254" t="e">
        <f t="shared" si="119"/>
        <v>#N/A</v>
      </c>
      <c r="P1254">
        <f>'Nom du personnage'!$U$51</f>
        <v>0</v>
      </c>
    </row>
    <row r="1255" spans="10:16">
      <c r="J1255" s="2"/>
      <c r="K1255" s="2"/>
      <c r="M1255">
        <f t="shared" si="121"/>
        <v>0</v>
      </c>
      <c r="N1255" t="e">
        <f t="shared" si="120"/>
        <v>#N/A</v>
      </c>
      <c r="O1255" t="e">
        <f t="shared" si="119"/>
        <v>#N/A</v>
      </c>
      <c r="P1255">
        <f>'Nom du personnage'!$U$51</f>
        <v>0</v>
      </c>
    </row>
    <row r="1256" spans="10:16">
      <c r="J1256" s="2"/>
      <c r="K1256" s="2"/>
      <c r="M1256">
        <f t="shared" si="121"/>
        <v>0</v>
      </c>
      <c r="N1256" t="e">
        <f t="shared" si="120"/>
        <v>#N/A</v>
      </c>
      <c r="O1256" t="e">
        <f t="shared" si="119"/>
        <v>#N/A</v>
      </c>
      <c r="P1256">
        <f>'Nom du personnage'!$U$51</f>
        <v>0</v>
      </c>
    </row>
    <row r="1257" spans="10:16">
      <c r="J1257" s="2"/>
      <c r="K1257" s="2"/>
      <c r="M1257">
        <f t="shared" si="121"/>
        <v>0</v>
      </c>
      <c r="N1257" t="e">
        <f t="shared" si="120"/>
        <v>#N/A</v>
      </c>
      <c r="O1257" t="e">
        <f t="shared" si="119"/>
        <v>#N/A</v>
      </c>
      <c r="P1257">
        <f>'Nom du personnage'!$U$51</f>
        <v>0</v>
      </c>
    </row>
    <row r="1258" spans="10:16">
      <c r="J1258" s="2"/>
      <c r="K1258" s="2"/>
      <c r="M1258">
        <f t="shared" si="121"/>
        <v>0</v>
      </c>
      <c r="N1258" t="e">
        <f t="shared" si="120"/>
        <v>#N/A</v>
      </c>
      <c r="O1258" t="e">
        <f t="shared" si="119"/>
        <v>#N/A</v>
      </c>
      <c r="P1258">
        <f>'Nom du personnage'!$U$51</f>
        <v>0</v>
      </c>
    </row>
    <row r="1259" spans="10:16">
      <c r="J1259" s="2"/>
      <c r="K1259" s="2"/>
      <c r="M1259">
        <f t="shared" si="121"/>
        <v>0</v>
      </c>
      <c r="N1259" t="e">
        <f t="shared" si="120"/>
        <v>#N/A</v>
      </c>
      <c r="O1259" t="e">
        <f t="shared" si="119"/>
        <v>#N/A</v>
      </c>
      <c r="P1259">
        <f>'Nom du personnage'!$U$51</f>
        <v>0</v>
      </c>
    </row>
    <row r="1260" spans="10:16">
      <c r="J1260" s="2"/>
      <c r="K1260" s="2"/>
      <c r="M1260">
        <f t="shared" si="121"/>
        <v>0</v>
      </c>
      <c r="N1260" t="e">
        <f t="shared" si="120"/>
        <v>#N/A</v>
      </c>
      <c r="O1260" t="e">
        <f t="shared" si="119"/>
        <v>#N/A</v>
      </c>
      <c r="P1260">
        <f>'Nom du personnage'!$U$51</f>
        <v>0</v>
      </c>
    </row>
    <row r="1261" spans="10:16">
      <c r="J1261" s="2"/>
      <c r="K1261" s="2"/>
      <c r="M1261">
        <f t="shared" si="121"/>
        <v>0</v>
      </c>
      <c r="N1261" t="e">
        <f t="shared" si="120"/>
        <v>#N/A</v>
      </c>
      <c r="O1261" t="e">
        <f t="shared" si="119"/>
        <v>#N/A</v>
      </c>
      <c r="P1261">
        <f>'Nom du personnage'!$U$51</f>
        <v>0</v>
      </c>
    </row>
    <row r="1262" spans="10:16">
      <c r="J1262" s="2"/>
      <c r="K1262" s="2"/>
      <c r="M1262">
        <f t="shared" si="121"/>
        <v>0</v>
      </c>
      <c r="N1262" t="e">
        <f t="shared" si="120"/>
        <v>#N/A</v>
      </c>
      <c r="O1262" t="e">
        <f t="shared" si="119"/>
        <v>#N/A</v>
      </c>
      <c r="P1262">
        <f>'Nom du personnage'!$U$51</f>
        <v>0</v>
      </c>
    </row>
    <row r="1263" spans="10:16">
      <c r="J1263" s="2"/>
      <c r="K1263" s="2"/>
      <c r="M1263">
        <f t="shared" si="121"/>
        <v>0</v>
      </c>
      <c r="N1263" t="e">
        <f t="shared" si="120"/>
        <v>#N/A</v>
      </c>
      <c r="O1263" t="e">
        <f t="shared" si="119"/>
        <v>#N/A</v>
      </c>
      <c r="P1263">
        <f>'Nom du personnage'!$U$51</f>
        <v>0</v>
      </c>
    </row>
    <row r="1264" spans="10:16">
      <c r="J1264" s="2"/>
      <c r="K1264" s="2"/>
      <c r="M1264">
        <f t="shared" si="121"/>
        <v>0</v>
      </c>
      <c r="N1264" t="e">
        <f t="shared" si="120"/>
        <v>#N/A</v>
      </c>
      <c r="O1264" t="e">
        <f t="shared" si="119"/>
        <v>#N/A</v>
      </c>
      <c r="P1264">
        <f>'Nom du personnage'!$U$51</f>
        <v>0</v>
      </c>
    </row>
    <row r="1265" spans="10:16">
      <c r="J1265" s="2"/>
      <c r="K1265" s="2"/>
      <c r="M1265">
        <f t="shared" si="121"/>
        <v>0</v>
      </c>
      <c r="N1265" t="e">
        <f t="shared" si="120"/>
        <v>#N/A</v>
      </c>
      <c r="O1265" t="e">
        <f t="shared" si="119"/>
        <v>#N/A</v>
      </c>
      <c r="P1265">
        <f>'Nom du personnage'!$U$51</f>
        <v>0</v>
      </c>
    </row>
    <row r="1266" spans="10:16">
      <c r="J1266" s="2"/>
      <c r="K1266" s="2"/>
      <c r="M1266">
        <f t="shared" si="121"/>
        <v>0</v>
      </c>
      <c r="N1266" t="e">
        <f t="shared" si="120"/>
        <v>#N/A</v>
      </c>
      <c r="O1266" t="e">
        <f t="shared" si="119"/>
        <v>#N/A</v>
      </c>
      <c r="P1266">
        <f>'Nom du personnage'!$U$51</f>
        <v>0</v>
      </c>
    </row>
    <row r="1267" spans="10:16">
      <c r="J1267" s="2"/>
      <c r="K1267" s="2"/>
      <c r="M1267">
        <f t="shared" si="121"/>
        <v>0</v>
      </c>
      <c r="N1267" t="e">
        <f t="shared" si="120"/>
        <v>#N/A</v>
      </c>
      <c r="O1267" t="e">
        <f t="shared" si="119"/>
        <v>#N/A</v>
      </c>
      <c r="P1267">
        <f>'Nom du personnage'!$U$51</f>
        <v>0</v>
      </c>
    </row>
    <row r="1268" spans="10:16">
      <c r="J1268" s="2"/>
      <c r="K1268" s="2"/>
      <c r="M1268">
        <f t="shared" si="121"/>
        <v>0</v>
      </c>
      <c r="N1268" t="e">
        <f t="shared" si="120"/>
        <v>#N/A</v>
      </c>
      <c r="O1268" t="e">
        <f t="shared" si="119"/>
        <v>#N/A</v>
      </c>
      <c r="P1268">
        <f>'Nom du personnage'!$U$51</f>
        <v>0</v>
      </c>
    </row>
    <row r="1269" spans="10:16">
      <c r="J1269" s="2"/>
      <c r="K1269" s="2"/>
      <c r="M1269">
        <f t="shared" si="121"/>
        <v>0</v>
      </c>
      <c r="N1269" t="e">
        <f t="shared" si="120"/>
        <v>#N/A</v>
      </c>
      <c r="O1269" t="e">
        <f t="shared" si="119"/>
        <v>#N/A</v>
      </c>
      <c r="P1269">
        <f>'Nom du personnage'!$U$51</f>
        <v>0</v>
      </c>
    </row>
    <row r="1270" spans="10:16">
      <c r="J1270" s="2"/>
      <c r="K1270" s="2"/>
      <c r="M1270">
        <f t="shared" si="121"/>
        <v>0</v>
      </c>
      <c r="N1270" t="e">
        <f t="shared" si="120"/>
        <v>#N/A</v>
      </c>
      <c r="O1270" t="e">
        <f t="shared" si="119"/>
        <v>#N/A</v>
      </c>
      <c r="P1270">
        <f>'Nom du personnage'!$U$51</f>
        <v>0</v>
      </c>
    </row>
    <row r="1271" spans="10:16">
      <c r="J1271" s="2"/>
      <c r="K1271" s="2"/>
      <c r="M1271">
        <f t="shared" si="121"/>
        <v>0</v>
      </c>
      <c r="N1271" t="e">
        <f t="shared" si="120"/>
        <v>#N/A</v>
      </c>
      <c r="O1271" t="e">
        <f t="shared" si="119"/>
        <v>#N/A</v>
      </c>
      <c r="P1271">
        <f>'Nom du personnage'!$U$51</f>
        <v>0</v>
      </c>
    </row>
    <row r="1272" spans="10:16">
      <c r="J1272" s="2"/>
      <c r="K1272" s="2"/>
      <c r="M1272">
        <f t="shared" si="121"/>
        <v>0</v>
      </c>
      <c r="N1272" t="e">
        <f t="shared" si="120"/>
        <v>#N/A</v>
      </c>
      <c r="O1272" t="e">
        <f t="shared" si="119"/>
        <v>#N/A</v>
      </c>
      <c r="P1272">
        <f>'Nom du personnage'!$U$51</f>
        <v>0</v>
      </c>
    </row>
    <row r="1273" spans="10:16">
      <c r="J1273" s="2"/>
      <c r="K1273" s="2"/>
      <c r="M1273">
        <f t="shared" si="121"/>
        <v>0</v>
      </c>
      <c r="N1273" t="e">
        <f t="shared" si="120"/>
        <v>#N/A</v>
      </c>
      <c r="O1273" t="e">
        <f t="shared" si="119"/>
        <v>#N/A</v>
      </c>
      <c r="P1273">
        <f>'Nom du personnage'!$U$51</f>
        <v>0</v>
      </c>
    </row>
    <row r="1274" spans="10:16">
      <c r="J1274" s="2"/>
      <c r="K1274" s="2"/>
      <c r="M1274">
        <f t="shared" si="121"/>
        <v>0</v>
      </c>
      <c r="N1274" t="e">
        <f t="shared" si="120"/>
        <v>#N/A</v>
      </c>
      <c r="O1274" t="e">
        <f t="shared" ref="O1274:O1337" si="122">VLOOKUP(M1274,H1274:J1331,2,FALSE)+1</f>
        <v>#N/A</v>
      </c>
      <c r="P1274">
        <f>'Nom du personnage'!$U$51</f>
        <v>0</v>
      </c>
    </row>
    <row r="1275" spans="10:16">
      <c r="J1275" s="2"/>
      <c r="K1275" s="2"/>
      <c r="M1275">
        <f t="shared" si="121"/>
        <v>0</v>
      </c>
      <c r="N1275" t="e">
        <f t="shared" si="120"/>
        <v>#N/A</v>
      </c>
      <c r="O1275" t="e">
        <f t="shared" si="122"/>
        <v>#N/A</v>
      </c>
      <c r="P1275">
        <f>'Nom du personnage'!$U$51</f>
        <v>0</v>
      </c>
    </row>
    <row r="1276" spans="10:16">
      <c r="J1276" s="2"/>
      <c r="K1276" s="2"/>
      <c r="M1276">
        <f t="shared" si="121"/>
        <v>0</v>
      </c>
      <c r="N1276" t="e">
        <f t="shared" si="120"/>
        <v>#N/A</v>
      </c>
      <c r="O1276" t="e">
        <f t="shared" si="122"/>
        <v>#N/A</v>
      </c>
      <c r="P1276">
        <f>'Nom du personnage'!$U$51</f>
        <v>0</v>
      </c>
    </row>
    <row r="1277" spans="10:16">
      <c r="J1277" s="2"/>
      <c r="K1277" s="2"/>
      <c r="M1277">
        <f t="shared" si="121"/>
        <v>0</v>
      </c>
      <c r="N1277" t="e">
        <f t="shared" si="120"/>
        <v>#N/A</v>
      </c>
      <c r="O1277" t="e">
        <f t="shared" si="122"/>
        <v>#N/A</v>
      </c>
      <c r="P1277">
        <f>'Nom du personnage'!$U$51</f>
        <v>0</v>
      </c>
    </row>
    <row r="1278" spans="10:16">
      <c r="J1278" s="2"/>
      <c r="K1278" s="2"/>
      <c r="M1278">
        <f t="shared" si="121"/>
        <v>0</v>
      </c>
      <c r="N1278" t="e">
        <f t="shared" si="120"/>
        <v>#N/A</v>
      </c>
      <c r="O1278" t="e">
        <f t="shared" si="122"/>
        <v>#N/A</v>
      </c>
      <c r="P1278">
        <f>'Nom du personnage'!$U$51</f>
        <v>0</v>
      </c>
    </row>
    <row r="1279" spans="10:16">
      <c r="J1279" s="2"/>
      <c r="K1279" s="2"/>
      <c r="M1279">
        <f t="shared" si="121"/>
        <v>0</v>
      </c>
      <c r="N1279" t="e">
        <f t="shared" si="120"/>
        <v>#N/A</v>
      </c>
      <c r="O1279" t="e">
        <f t="shared" si="122"/>
        <v>#N/A</v>
      </c>
      <c r="P1279">
        <f>'Nom du personnage'!$U$51</f>
        <v>0</v>
      </c>
    </row>
    <row r="1280" spans="10:16">
      <c r="J1280" s="2"/>
      <c r="K1280" s="2"/>
      <c r="M1280">
        <f t="shared" si="121"/>
        <v>0</v>
      </c>
      <c r="N1280" t="e">
        <f t="shared" si="120"/>
        <v>#N/A</v>
      </c>
      <c r="O1280" t="e">
        <f t="shared" si="122"/>
        <v>#N/A</v>
      </c>
      <c r="P1280">
        <f>'Nom du personnage'!$U$51</f>
        <v>0</v>
      </c>
    </row>
    <row r="1281" spans="10:16">
      <c r="J1281" s="2"/>
      <c r="K1281" s="2"/>
      <c r="M1281">
        <f t="shared" si="121"/>
        <v>0</v>
      </c>
      <c r="N1281" t="e">
        <f t="shared" si="120"/>
        <v>#N/A</v>
      </c>
      <c r="O1281" t="e">
        <f t="shared" si="122"/>
        <v>#N/A</v>
      </c>
      <c r="P1281">
        <f>'Nom du personnage'!$U$51</f>
        <v>0</v>
      </c>
    </row>
    <row r="1282" spans="10:16">
      <c r="J1282" s="2"/>
      <c r="K1282" s="2"/>
      <c r="M1282">
        <f t="shared" si="121"/>
        <v>0</v>
      </c>
      <c r="N1282" t="e">
        <f t="shared" si="120"/>
        <v>#N/A</v>
      </c>
      <c r="O1282" t="e">
        <f t="shared" si="122"/>
        <v>#N/A</v>
      </c>
      <c r="P1282">
        <f>'Nom du personnage'!$U$51</f>
        <v>0</v>
      </c>
    </row>
    <row r="1283" spans="10:16">
      <c r="J1283" s="2"/>
      <c r="K1283" s="2"/>
      <c r="M1283">
        <f t="shared" si="121"/>
        <v>0</v>
      </c>
      <c r="N1283" t="e">
        <f t="shared" si="120"/>
        <v>#N/A</v>
      </c>
      <c r="O1283" t="e">
        <f t="shared" si="122"/>
        <v>#N/A</v>
      </c>
      <c r="P1283">
        <f>'Nom du personnage'!$U$51</f>
        <v>0</v>
      </c>
    </row>
    <row r="1284" spans="10:16">
      <c r="J1284" s="2"/>
      <c r="K1284" s="2"/>
      <c r="M1284">
        <f t="shared" si="121"/>
        <v>0</v>
      </c>
      <c r="N1284" t="e">
        <f t="shared" si="120"/>
        <v>#N/A</v>
      </c>
      <c r="O1284" t="e">
        <f t="shared" si="122"/>
        <v>#N/A</v>
      </c>
      <c r="P1284">
        <f>'Nom du personnage'!$U$51</f>
        <v>0</v>
      </c>
    </row>
    <row r="1285" spans="10:16">
      <c r="J1285" s="2"/>
      <c r="K1285" s="2"/>
      <c r="M1285">
        <f t="shared" si="121"/>
        <v>0</v>
      </c>
      <c r="N1285" t="e">
        <f t="shared" si="120"/>
        <v>#N/A</v>
      </c>
      <c r="O1285" t="e">
        <f t="shared" si="122"/>
        <v>#N/A</v>
      </c>
      <c r="P1285">
        <f>'Nom du personnage'!$U$51</f>
        <v>0</v>
      </c>
    </row>
    <row r="1286" spans="10:16">
      <c r="J1286" s="2"/>
      <c r="K1286" s="2"/>
      <c r="M1286">
        <f t="shared" si="121"/>
        <v>0</v>
      </c>
      <c r="N1286" t="e">
        <f t="shared" si="120"/>
        <v>#N/A</v>
      </c>
      <c r="O1286" t="e">
        <f t="shared" si="122"/>
        <v>#N/A</v>
      </c>
      <c r="P1286">
        <f>'Nom du personnage'!$U$51</f>
        <v>0</v>
      </c>
    </row>
    <row r="1287" spans="10:16">
      <c r="J1287" s="2"/>
      <c r="K1287" s="2"/>
      <c r="M1287">
        <f t="shared" si="121"/>
        <v>0</v>
      </c>
      <c r="N1287" t="e">
        <f t="shared" si="120"/>
        <v>#N/A</v>
      </c>
      <c r="O1287" t="e">
        <f t="shared" si="122"/>
        <v>#N/A</v>
      </c>
      <c r="P1287">
        <f>'Nom du personnage'!$U$51</f>
        <v>0</v>
      </c>
    </row>
    <row r="1288" spans="10:16">
      <c r="J1288" s="2"/>
      <c r="K1288" s="2"/>
      <c r="M1288">
        <f t="shared" si="121"/>
        <v>0</v>
      </c>
      <c r="N1288" t="e">
        <f t="shared" si="120"/>
        <v>#N/A</v>
      </c>
      <c r="O1288" t="e">
        <f t="shared" si="122"/>
        <v>#N/A</v>
      </c>
      <c r="P1288">
        <f>'Nom du personnage'!$U$51</f>
        <v>0</v>
      </c>
    </row>
    <row r="1289" spans="10:16">
      <c r="J1289" s="2"/>
      <c r="K1289" s="2"/>
      <c r="M1289">
        <f t="shared" si="121"/>
        <v>0</v>
      </c>
      <c r="N1289" t="e">
        <f t="shared" si="120"/>
        <v>#N/A</v>
      </c>
      <c r="O1289" t="e">
        <f t="shared" si="122"/>
        <v>#N/A</v>
      </c>
      <c r="P1289">
        <f>'Nom du personnage'!$U$51</f>
        <v>0</v>
      </c>
    </row>
    <row r="1290" spans="10:16">
      <c r="J1290" s="2"/>
      <c r="K1290" s="2"/>
      <c r="M1290">
        <f t="shared" si="121"/>
        <v>0</v>
      </c>
      <c r="N1290" t="e">
        <f t="shared" si="120"/>
        <v>#N/A</v>
      </c>
      <c r="O1290" t="e">
        <f t="shared" si="122"/>
        <v>#N/A</v>
      </c>
      <c r="P1290">
        <f>'Nom du personnage'!$U$51</f>
        <v>0</v>
      </c>
    </row>
    <row r="1291" spans="10:16">
      <c r="J1291" s="2"/>
      <c r="K1291" s="2"/>
      <c r="M1291">
        <f t="shared" si="121"/>
        <v>0</v>
      </c>
      <c r="N1291" t="e">
        <f t="shared" si="120"/>
        <v>#N/A</v>
      </c>
      <c r="O1291" t="e">
        <f t="shared" si="122"/>
        <v>#N/A</v>
      </c>
      <c r="P1291">
        <f>'Nom du personnage'!$U$51</f>
        <v>0</v>
      </c>
    </row>
    <row r="1292" spans="10:16">
      <c r="J1292" s="2"/>
      <c r="K1292" s="2"/>
      <c r="M1292">
        <f t="shared" si="121"/>
        <v>0</v>
      </c>
      <c r="N1292" t="e">
        <f t="shared" si="120"/>
        <v>#N/A</v>
      </c>
      <c r="O1292" t="e">
        <f t="shared" si="122"/>
        <v>#N/A</v>
      </c>
      <c r="P1292">
        <f>'Nom du personnage'!$U$51</f>
        <v>0</v>
      </c>
    </row>
    <row r="1293" spans="10:16">
      <c r="J1293" s="2"/>
      <c r="K1293" s="2"/>
      <c r="M1293">
        <f t="shared" si="121"/>
        <v>0</v>
      </c>
      <c r="N1293" t="e">
        <f t="shared" si="120"/>
        <v>#N/A</v>
      </c>
      <c r="O1293" t="e">
        <f t="shared" si="122"/>
        <v>#N/A</v>
      </c>
      <c r="P1293">
        <f>'Nom du personnage'!$U$51</f>
        <v>0</v>
      </c>
    </row>
    <row r="1294" spans="10:16">
      <c r="J1294" s="2"/>
      <c r="K1294" s="2"/>
      <c r="M1294">
        <f t="shared" si="121"/>
        <v>0</v>
      </c>
      <c r="N1294" t="e">
        <f t="shared" si="120"/>
        <v>#N/A</v>
      </c>
      <c r="O1294" t="e">
        <f t="shared" si="122"/>
        <v>#N/A</v>
      </c>
      <c r="P1294">
        <f>'Nom du personnage'!$U$51</f>
        <v>0</v>
      </c>
    </row>
    <row r="1295" spans="10:16">
      <c r="J1295" s="2"/>
      <c r="K1295" s="2"/>
      <c r="M1295">
        <f t="shared" si="121"/>
        <v>0</v>
      </c>
      <c r="N1295" t="e">
        <f t="shared" si="120"/>
        <v>#N/A</v>
      </c>
      <c r="O1295" t="e">
        <f t="shared" si="122"/>
        <v>#N/A</v>
      </c>
      <c r="P1295">
        <f>'Nom du personnage'!$U$51</f>
        <v>0</v>
      </c>
    </row>
    <row r="1296" spans="10:16">
      <c r="J1296" s="2"/>
      <c r="K1296" s="2"/>
      <c r="M1296">
        <f t="shared" si="121"/>
        <v>0</v>
      </c>
      <c r="N1296" t="e">
        <f t="shared" si="120"/>
        <v>#N/A</v>
      </c>
      <c r="O1296" t="e">
        <f t="shared" si="122"/>
        <v>#N/A</v>
      </c>
      <c r="P1296">
        <f>'Nom du personnage'!$U$51</f>
        <v>0</v>
      </c>
    </row>
    <row r="1297" spans="10:16">
      <c r="J1297" s="2"/>
      <c r="K1297" s="2"/>
      <c r="M1297">
        <f t="shared" si="121"/>
        <v>0</v>
      </c>
      <c r="N1297" t="e">
        <f t="shared" si="120"/>
        <v>#N/A</v>
      </c>
      <c r="O1297" t="e">
        <f t="shared" si="122"/>
        <v>#N/A</v>
      </c>
      <c r="P1297">
        <f>'Nom du personnage'!$U$51</f>
        <v>0</v>
      </c>
    </row>
    <row r="1298" spans="10:16">
      <c r="J1298" s="2"/>
      <c r="K1298" s="2"/>
      <c r="M1298">
        <f t="shared" si="121"/>
        <v>0</v>
      </c>
      <c r="N1298" t="e">
        <f t="shared" si="120"/>
        <v>#N/A</v>
      </c>
      <c r="O1298" t="e">
        <f t="shared" si="122"/>
        <v>#N/A</v>
      </c>
      <c r="P1298">
        <f>'Nom du personnage'!$U$51</f>
        <v>0</v>
      </c>
    </row>
    <row r="1299" spans="10:16">
      <c r="J1299" s="2"/>
      <c r="K1299" s="2"/>
      <c r="M1299">
        <f t="shared" si="121"/>
        <v>0</v>
      </c>
      <c r="N1299" t="e">
        <f t="shared" si="120"/>
        <v>#N/A</v>
      </c>
      <c r="O1299" t="e">
        <f t="shared" si="122"/>
        <v>#N/A</v>
      </c>
      <c r="P1299">
        <f>'Nom du personnage'!$U$51</f>
        <v>0</v>
      </c>
    </row>
    <row r="1300" spans="10:16">
      <c r="J1300" s="2"/>
      <c r="K1300" s="2"/>
      <c r="M1300">
        <f t="shared" si="121"/>
        <v>0</v>
      </c>
      <c r="N1300" t="e">
        <f t="shared" si="120"/>
        <v>#N/A</v>
      </c>
      <c r="O1300" t="e">
        <f t="shared" si="122"/>
        <v>#N/A</v>
      </c>
      <c r="P1300">
        <f>'Nom du personnage'!$U$51</f>
        <v>0</v>
      </c>
    </row>
    <row r="1301" spans="10:16">
      <c r="J1301" s="2"/>
      <c r="K1301" s="2"/>
      <c r="M1301">
        <f t="shared" si="121"/>
        <v>0</v>
      </c>
      <c r="N1301" t="e">
        <f t="shared" si="120"/>
        <v>#N/A</v>
      </c>
      <c r="O1301" t="e">
        <f t="shared" si="122"/>
        <v>#N/A</v>
      </c>
      <c r="P1301">
        <f>'Nom du personnage'!$U$51</f>
        <v>0</v>
      </c>
    </row>
    <row r="1302" spans="10:16">
      <c r="J1302" s="2"/>
      <c r="K1302" s="2"/>
      <c r="M1302">
        <f t="shared" si="121"/>
        <v>0</v>
      </c>
      <c r="N1302" t="e">
        <f t="shared" si="120"/>
        <v>#N/A</v>
      </c>
      <c r="O1302" t="e">
        <f t="shared" si="122"/>
        <v>#N/A</v>
      </c>
      <c r="P1302">
        <f>'Nom du personnage'!$U$51</f>
        <v>0</v>
      </c>
    </row>
    <row r="1303" spans="10:16">
      <c r="J1303" s="2"/>
      <c r="K1303" s="2"/>
      <c r="M1303">
        <f t="shared" si="121"/>
        <v>0</v>
      </c>
      <c r="N1303" t="e">
        <f t="shared" si="120"/>
        <v>#N/A</v>
      </c>
      <c r="O1303" t="e">
        <f t="shared" si="122"/>
        <v>#N/A</v>
      </c>
      <c r="P1303">
        <f>'Nom du personnage'!$U$51</f>
        <v>0</v>
      </c>
    </row>
    <row r="1304" spans="10:16">
      <c r="J1304" s="2"/>
      <c r="K1304" s="2"/>
      <c r="M1304">
        <f t="shared" si="121"/>
        <v>0</v>
      </c>
      <c r="N1304" t="e">
        <f t="shared" si="120"/>
        <v>#N/A</v>
      </c>
      <c r="O1304" t="e">
        <f t="shared" si="122"/>
        <v>#N/A</v>
      </c>
      <c r="P1304">
        <f>'Nom du personnage'!$U$51</f>
        <v>0</v>
      </c>
    </row>
    <row r="1305" spans="10:16">
      <c r="J1305" s="2"/>
      <c r="K1305" s="2"/>
      <c r="M1305">
        <f t="shared" si="121"/>
        <v>0</v>
      </c>
      <c r="N1305" t="e">
        <f t="shared" si="120"/>
        <v>#N/A</v>
      </c>
      <c r="O1305" t="e">
        <f t="shared" si="122"/>
        <v>#N/A</v>
      </c>
      <c r="P1305">
        <f>'Nom du personnage'!$U$51</f>
        <v>0</v>
      </c>
    </row>
    <row r="1306" spans="10:16">
      <c r="J1306" s="2"/>
      <c r="K1306" s="2"/>
      <c r="M1306">
        <f t="shared" si="121"/>
        <v>0</v>
      </c>
      <c r="N1306" t="e">
        <f t="shared" si="120"/>
        <v>#N/A</v>
      </c>
      <c r="O1306" t="e">
        <f t="shared" si="122"/>
        <v>#N/A</v>
      </c>
      <c r="P1306">
        <f>'Nom du personnage'!$U$51</f>
        <v>0</v>
      </c>
    </row>
    <row r="1307" spans="10:16">
      <c r="J1307" s="2"/>
      <c r="K1307" s="2"/>
      <c r="M1307">
        <f t="shared" si="121"/>
        <v>0</v>
      </c>
      <c r="N1307" t="e">
        <f t="shared" si="120"/>
        <v>#N/A</v>
      </c>
      <c r="O1307" t="e">
        <f t="shared" si="122"/>
        <v>#N/A</v>
      </c>
      <c r="P1307">
        <f>'Nom du personnage'!$U$51</f>
        <v>0</v>
      </c>
    </row>
    <row r="1308" spans="10:16">
      <c r="J1308" s="2"/>
      <c r="K1308" s="2"/>
      <c r="M1308">
        <f t="shared" si="121"/>
        <v>0</v>
      </c>
      <c r="N1308" t="e">
        <f t="shared" ref="N1308:N1371" si="123">VLOOKUP(M1308,H1308:J1365,2,FALSE)</f>
        <v>#N/A</v>
      </c>
      <c r="O1308" t="e">
        <f t="shared" si="122"/>
        <v>#N/A</v>
      </c>
      <c r="P1308">
        <f>'Nom du personnage'!$U$51</f>
        <v>0</v>
      </c>
    </row>
    <row r="1309" spans="10:16">
      <c r="J1309" s="2"/>
      <c r="K1309" s="2"/>
      <c r="M1309">
        <f t="shared" si="121"/>
        <v>0</v>
      </c>
      <c r="N1309" t="e">
        <f t="shared" si="123"/>
        <v>#N/A</v>
      </c>
      <c r="O1309" t="e">
        <f t="shared" si="122"/>
        <v>#N/A</v>
      </c>
      <c r="P1309">
        <f>'Nom du personnage'!$U$51</f>
        <v>0</v>
      </c>
    </row>
    <row r="1310" spans="10:16">
      <c r="J1310" s="2"/>
      <c r="K1310" s="2"/>
      <c r="M1310">
        <f t="shared" ref="M1310:M1373" si="124">IF(P1310=J1310,H1310,)</f>
        <v>0</v>
      </c>
      <c r="N1310" t="e">
        <f t="shared" si="123"/>
        <v>#N/A</v>
      </c>
      <c r="O1310" t="e">
        <f t="shared" si="122"/>
        <v>#N/A</v>
      </c>
      <c r="P1310">
        <f>'Nom du personnage'!$U$51</f>
        <v>0</v>
      </c>
    </row>
    <row r="1311" spans="10:16">
      <c r="J1311" s="2"/>
      <c r="K1311" s="2"/>
      <c r="M1311">
        <f t="shared" si="124"/>
        <v>0</v>
      </c>
      <c r="N1311" t="e">
        <f t="shared" si="123"/>
        <v>#N/A</v>
      </c>
      <c r="O1311" t="e">
        <f t="shared" si="122"/>
        <v>#N/A</v>
      </c>
      <c r="P1311">
        <f>'Nom du personnage'!$U$51</f>
        <v>0</v>
      </c>
    </row>
    <row r="1312" spans="10:16">
      <c r="J1312" s="2"/>
      <c r="K1312" s="2"/>
      <c r="M1312">
        <f t="shared" si="124"/>
        <v>0</v>
      </c>
      <c r="N1312" t="e">
        <f t="shared" si="123"/>
        <v>#N/A</v>
      </c>
      <c r="O1312" t="e">
        <f t="shared" si="122"/>
        <v>#N/A</v>
      </c>
      <c r="P1312">
        <f>'Nom du personnage'!$U$51</f>
        <v>0</v>
      </c>
    </row>
    <row r="1313" spans="10:16">
      <c r="J1313" s="2"/>
      <c r="K1313" s="2"/>
      <c r="M1313">
        <f t="shared" si="124"/>
        <v>0</v>
      </c>
      <c r="N1313" t="e">
        <f t="shared" si="123"/>
        <v>#N/A</v>
      </c>
      <c r="O1313" t="e">
        <f t="shared" si="122"/>
        <v>#N/A</v>
      </c>
      <c r="P1313">
        <f>'Nom du personnage'!$U$51</f>
        <v>0</v>
      </c>
    </row>
    <row r="1314" spans="10:16">
      <c r="J1314" s="2"/>
      <c r="K1314" s="2"/>
      <c r="M1314">
        <f t="shared" si="124"/>
        <v>0</v>
      </c>
      <c r="N1314" t="e">
        <f t="shared" si="123"/>
        <v>#N/A</v>
      </c>
      <c r="O1314" t="e">
        <f t="shared" si="122"/>
        <v>#N/A</v>
      </c>
      <c r="P1314">
        <f>'Nom du personnage'!$U$51</f>
        <v>0</v>
      </c>
    </row>
    <row r="1315" spans="10:16">
      <c r="J1315" s="2"/>
      <c r="K1315" s="2"/>
      <c r="M1315">
        <f t="shared" si="124"/>
        <v>0</v>
      </c>
      <c r="N1315" t="e">
        <f t="shared" si="123"/>
        <v>#N/A</v>
      </c>
      <c r="O1315" t="e">
        <f t="shared" si="122"/>
        <v>#N/A</v>
      </c>
      <c r="P1315">
        <f>'Nom du personnage'!$U$51</f>
        <v>0</v>
      </c>
    </row>
    <row r="1316" spans="10:16">
      <c r="J1316" s="2"/>
      <c r="K1316" s="2"/>
      <c r="M1316">
        <f t="shared" si="124"/>
        <v>0</v>
      </c>
      <c r="N1316" t="e">
        <f t="shared" si="123"/>
        <v>#N/A</v>
      </c>
      <c r="O1316" t="e">
        <f t="shared" si="122"/>
        <v>#N/A</v>
      </c>
      <c r="P1316">
        <f>'Nom du personnage'!$U$51</f>
        <v>0</v>
      </c>
    </row>
    <row r="1317" spans="10:16">
      <c r="J1317" s="2"/>
      <c r="K1317" s="2"/>
      <c r="M1317">
        <f t="shared" si="124"/>
        <v>0</v>
      </c>
      <c r="N1317" t="e">
        <f t="shared" si="123"/>
        <v>#N/A</v>
      </c>
      <c r="O1317" t="e">
        <f t="shared" si="122"/>
        <v>#N/A</v>
      </c>
      <c r="P1317">
        <f>'Nom du personnage'!$U$51</f>
        <v>0</v>
      </c>
    </row>
    <row r="1318" spans="10:16">
      <c r="J1318" s="2"/>
      <c r="K1318" s="2"/>
      <c r="M1318">
        <f t="shared" si="124"/>
        <v>0</v>
      </c>
      <c r="N1318" t="e">
        <f t="shared" si="123"/>
        <v>#N/A</v>
      </c>
      <c r="O1318" t="e">
        <f t="shared" si="122"/>
        <v>#N/A</v>
      </c>
      <c r="P1318">
        <f>'Nom du personnage'!$U$51</f>
        <v>0</v>
      </c>
    </row>
    <row r="1319" spans="10:16">
      <c r="J1319" s="2"/>
      <c r="K1319" s="2"/>
      <c r="M1319">
        <f t="shared" si="124"/>
        <v>0</v>
      </c>
      <c r="N1319" t="e">
        <f t="shared" si="123"/>
        <v>#N/A</v>
      </c>
      <c r="O1319" t="e">
        <f t="shared" si="122"/>
        <v>#N/A</v>
      </c>
      <c r="P1319">
        <f>'Nom du personnage'!$U$51</f>
        <v>0</v>
      </c>
    </row>
    <row r="1320" spans="10:16">
      <c r="J1320" s="2"/>
      <c r="K1320" s="2"/>
      <c r="M1320">
        <f t="shared" si="124"/>
        <v>0</v>
      </c>
      <c r="N1320" t="e">
        <f t="shared" si="123"/>
        <v>#N/A</v>
      </c>
      <c r="O1320" t="e">
        <f t="shared" si="122"/>
        <v>#N/A</v>
      </c>
      <c r="P1320">
        <f>'Nom du personnage'!$U$51</f>
        <v>0</v>
      </c>
    </row>
    <row r="1321" spans="10:16">
      <c r="J1321" s="2"/>
      <c r="K1321" s="2"/>
      <c r="M1321">
        <f t="shared" si="124"/>
        <v>0</v>
      </c>
      <c r="N1321" t="e">
        <f t="shared" si="123"/>
        <v>#N/A</v>
      </c>
      <c r="O1321" t="e">
        <f t="shared" si="122"/>
        <v>#N/A</v>
      </c>
      <c r="P1321">
        <f>'Nom du personnage'!$U$51</f>
        <v>0</v>
      </c>
    </row>
    <row r="1322" spans="10:16">
      <c r="J1322" s="2"/>
      <c r="K1322" s="2"/>
      <c r="M1322">
        <f t="shared" si="124"/>
        <v>0</v>
      </c>
      <c r="N1322" t="e">
        <f t="shared" si="123"/>
        <v>#N/A</v>
      </c>
      <c r="O1322" t="e">
        <f t="shared" si="122"/>
        <v>#N/A</v>
      </c>
      <c r="P1322">
        <f>'Nom du personnage'!$U$51</f>
        <v>0</v>
      </c>
    </row>
    <row r="1323" spans="10:16">
      <c r="J1323" s="2"/>
      <c r="K1323" s="2"/>
      <c r="M1323">
        <f t="shared" si="124"/>
        <v>0</v>
      </c>
      <c r="N1323" t="e">
        <f t="shared" si="123"/>
        <v>#N/A</v>
      </c>
      <c r="O1323" t="e">
        <f t="shared" si="122"/>
        <v>#N/A</v>
      </c>
      <c r="P1323">
        <f>'Nom du personnage'!$U$51</f>
        <v>0</v>
      </c>
    </row>
    <row r="1324" spans="10:16">
      <c r="J1324" s="2"/>
      <c r="K1324" s="2"/>
      <c r="M1324">
        <f t="shared" si="124"/>
        <v>0</v>
      </c>
      <c r="N1324" t="e">
        <f t="shared" si="123"/>
        <v>#N/A</v>
      </c>
      <c r="O1324" t="e">
        <f t="shared" si="122"/>
        <v>#N/A</v>
      </c>
      <c r="P1324">
        <f>'Nom du personnage'!$U$51</f>
        <v>0</v>
      </c>
    </row>
    <row r="1325" spans="10:16">
      <c r="J1325" s="2"/>
      <c r="K1325" s="2"/>
      <c r="M1325">
        <f t="shared" si="124"/>
        <v>0</v>
      </c>
      <c r="N1325" t="e">
        <f t="shared" si="123"/>
        <v>#N/A</v>
      </c>
      <c r="O1325" t="e">
        <f t="shared" si="122"/>
        <v>#N/A</v>
      </c>
      <c r="P1325">
        <f>'Nom du personnage'!$U$51</f>
        <v>0</v>
      </c>
    </row>
    <row r="1326" spans="10:16">
      <c r="J1326" s="2"/>
      <c r="K1326" s="2"/>
      <c r="M1326">
        <f t="shared" si="124"/>
        <v>0</v>
      </c>
      <c r="N1326" t="e">
        <f t="shared" si="123"/>
        <v>#N/A</v>
      </c>
      <c r="O1326" t="e">
        <f t="shared" si="122"/>
        <v>#N/A</v>
      </c>
      <c r="P1326">
        <f>'Nom du personnage'!$U$51</f>
        <v>0</v>
      </c>
    </row>
    <row r="1327" spans="10:16">
      <c r="J1327" s="2"/>
      <c r="K1327" s="2"/>
      <c r="M1327">
        <f t="shared" si="124"/>
        <v>0</v>
      </c>
      <c r="N1327" t="e">
        <f t="shared" si="123"/>
        <v>#N/A</v>
      </c>
      <c r="O1327" t="e">
        <f t="shared" si="122"/>
        <v>#N/A</v>
      </c>
      <c r="P1327">
        <f>'Nom du personnage'!$U$51</f>
        <v>0</v>
      </c>
    </row>
    <row r="1328" spans="10:16">
      <c r="J1328" s="2"/>
      <c r="K1328" s="2"/>
      <c r="M1328">
        <f t="shared" si="124"/>
        <v>0</v>
      </c>
      <c r="N1328" t="e">
        <f t="shared" si="123"/>
        <v>#N/A</v>
      </c>
      <c r="O1328" t="e">
        <f t="shared" si="122"/>
        <v>#N/A</v>
      </c>
      <c r="P1328">
        <f>'Nom du personnage'!$U$51</f>
        <v>0</v>
      </c>
    </row>
    <row r="1329" spans="10:16">
      <c r="J1329" s="2"/>
      <c r="K1329" s="2"/>
      <c r="M1329">
        <f t="shared" si="124"/>
        <v>0</v>
      </c>
      <c r="N1329" t="e">
        <f t="shared" si="123"/>
        <v>#N/A</v>
      </c>
      <c r="O1329" t="e">
        <f t="shared" si="122"/>
        <v>#N/A</v>
      </c>
      <c r="P1329">
        <f>'Nom du personnage'!$U$51</f>
        <v>0</v>
      </c>
    </row>
    <row r="1330" spans="10:16">
      <c r="J1330" s="2"/>
      <c r="K1330" s="2"/>
      <c r="M1330">
        <f t="shared" si="124"/>
        <v>0</v>
      </c>
      <c r="N1330" t="e">
        <f t="shared" si="123"/>
        <v>#N/A</v>
      </c>
      <c r="O1330" t="e">
        <f t="shared" si="122"/>
        <v>#N/A</v>
      </c>
      <c r="P1330">
        <f>'Nom du personnage'!$U$51</f>
        <v>0</v>
      </c>
    </row>
    <row r="1331" spans="10:16">
      <c r="J1331" s="2"/>
      <c r="K1331" s="2"/>
      <c r="M1331">
        <f t="shared" si="124"/>
        <v>0</v>
      </c>
      <c r="N1331" t="e">
        <f t="shared" si="123"/>
        <v>#N/A</v>
      </c>
      <c r="O1331" t="e">
        <f t="shared" si="122"/>
        <v>#N/A</v>
      </c>
      <c r="P1331">
        <f>'Nom du personnage'!$U$51</f>
        <v>0</v>
      </c>
    </row>
    <row r="1332" spans="10:16">
      <c r="J1332" s="2"/>
      <c r="K1332" s="2"/>
      <c r="M1332">
        <f t="shared" si="124"/>
        <v>0</v>
      </c>
      <c r="N1332" t="e">
        <f t="shared" si="123"/>
        <v>#N/A</v>
      </c>
      <c r="O1332" t="e">
        <f t="shared" si="122"/>
        <v>#N/A</v>
      </c>
      <c r="P1332">
        <f>'Nom du personnage'!$U$51</f>
        <v>0</v>
      </c>
    </row>
    <row r="1333" spans="10:16">
      <c r="J1333" s="2"/>
      <c r="K1333" s="2"/>
      <c r="M1333">
        <f t="shared" si="124"/>
        <v>0</v>
      </c>
      <c r="N1333" t="e">
        <f t="shared" si="123"/>
        <v>#N/A</v>
      </c>
      <c r="O1333" t="e">
        <f t="shared" si="122"/>
        <v>#N/A</v>
      </c>
      <c r="P1333">
        <f>'Nom du personnage'!$U$51</f>
        <v>0</v>
      </c>
    </row>
    <row r="1334" spans="10:16">
      <c r="J1334" s="2"/>
      <c r="K1334" s="2"/>
      <c r="M1334">
        <f t="shared" si="124"/>
        <v>0</v>
      </c>
      <c r="N1334" t="e">
        <f t="shared" si="123"/>
        <v>#N/A</v>
      </c>
      <c r="O1334" t="e">
        <f t="shared" si="122"/>
        <v>#N/A</v>
      </c>
      <c r="P1334">
        <f>'Nom du personnage'!$U$51</f>
        <v>0</v>
      </c>
    </row>
    <row r="1335" spans="10:16">
      <c r="J1335" s="2"/>
      <c r="K1335" s="2"/>
      <c r="M1335">
        <f t="shared" si="124"/>
        <v>0</v>
      </c>
      <c r="N1335" t="e">
        <f t="shared" si="123"/>
        <v>#N/A</v>
      </c>
      <c r="O1335" t="e">
        <f t="shared" si="122"/>
        <v>#N/A</v>
      </c>
      <c r="P1335">
        <f>'Nom du personnage'!$U$51</f>
        <v>0</v>
      </c>
    </row>
    <row r="1336" spans="10:16">
      <c r="J1336" s="2"/>
      <c r="K1336" s="2"/>
      <c r="M1336">
        <f t="shared" si="124"/>
        <v>0</v>
      </c>
      <c r="N1336" t="e">
        <f t="shared" si="123"/>
        <v>#N/A</v>
      </c>
      <c r="O1336" t="e">
        <f t="shared" si="122"/>
        <v>#N/A</v>
      </c>
      <c r="P1336">
        <f>'Nom du personnage'!$U$51</f>
        <v>0</v>
      </c>
    </row>
    <row r="1337" spans="10:16">
      <c r="J1337" s="2"/>
      <c r="K1337" s="2"/>
      <c r="M1337">
        <f t="shared" si="124"/>
        <v>0</v>
      </c>
      <c r="N1337" t="e">
        <f t="shared" si="123"/>
        <v>#N/A</v>
      </c>
      <c r="O1337" t="e">
        <f t="shared" si="122"/>
        <v>#N/A</v>
      </c>
      <c r="P1337">
        <f>'Nom du personnage'!$U$51</f>
        <v>0</v>
      </c>
    </row>
    <row r="1338" spans="10:16">
      <c r="J1338" s="2"/>
      <c r="K1338" s="2"/>
      <c r="M1338">
        <f t="shared" si="124"/>
        <v>0</v>
      </c>
      <c r="N1338" t="e">
        <f t="shared" si="123"/>
        <v>#N/A</v>
      </c>
      <c r="O1338" t="e">
        <f t="shared" ref="O1338:O1401" si="125">VLOOKUP(M1338,H1338:J1395,2,FALSE)+1</f>
        <v>#N/A</v>
      </c>
      <c r="P1338">
        <f>'Nom du personnage'!$U$51</f>
        <v>0</v>
      </c>
    </row>
    <row r="1339" spans="10:16">
      <c r="J1339" s="2"/>
      <c r="K1339" s="2"/>
      <c r="M1339">
        <f t="shared" si="124"/>
        <v>0</v>
      </c>
      <c r="N1339" t="e">
        <f t="shared" si="123"/>
        <v>#N/A</v>
      </c>
      <c r="O1339" t="e">
        <f t="shared" si="125"/>
        <v>#N/A</v>
      </c>
      <c r="P1339">
        <f>'Nom du personnage'!$U$51</f>
        <v>0</v>
      </c>
    </row>
    <row r="1340" spans="10:16">
      <c r="J1340" s="2"/>
      <c r="K1340" s="2"/>
      <c r="M1340">
        <f t="shared" si="124"/>
        <v>0</v>
      </c>
      <c r="N1340" t="e">
        <f t="shared" si="123"/>
        <v>#N/A</v>
      </c>
      <c r="O1340" t="e">
        <f t="shared" si="125"/>
        <v>#N/A</v>
      </c>
      <c r="P1340">
        <f>'Nom du personnage'!$U$51</f>
        <v>0</v>
      </c>
    </row>
    <row r="1341" spans="10:16">
      <c r="J1341" s="2"/>
      <c r="K1341" s="2"/>
      <c r="M1341">
        <f t="shared" si="124"/>
        <v>0</v>
      </c>
      <c r="N1341" t="e">
        <f t="shared" si="123"/>
        <v>#N/A</v>
      </c>
      <c r="O1341" t="e">
        <f t="shared" si="125"/>
        <v>#N/A</v>
      </c>
      <c r="P1341">
        <f>'Nom du personnage'!$U$51</f>
        <v>0</v>
      </c>
    </row>
    <row r="1342" spans="10:16">
      <c r="J1342" s="2"/>
      <c r="K1342" s="2"/>
      <c r="M1342">
        <f t="shared" si="124"/>
        <v>0</v>
      </c>
      <c r="N1342" t="e">
        <f t="shared" si="123"/>
        <v>#N/A</v>
      </c>
      <c r="O1342" t="e">
        <f t="shared" si="125"/>
        <v>#N/A</v>
      </c>
      <c r="P1342">
        <f>'Nom du personnage'!$U$51</f>
        <v>0</v>
      </c>
    </row>
    <row r="1343" spans="10:16">
      <c r="J1343" s="2"/>
      <c r="K1343" s="2"/>
      <c r="M1343">
        <f t="shared" si="124"/>
        <v>0</v>
      </c>
      <c r="N1343" t="e">
        <f t="shared" si="123"/>
        <v>#N/A</v>
      </c>
      <c r="O1343" t="e">
        <f t="shared" si="125"/>
        <v>#N/A</v>
      </c>
      <c r="P1343">
        <f>'Nom du personnage'!$U$51</f>
        <v>0</v>
      </c>
    </row>
    <row r="1344" spans="10:16">
      <c r="J1344" s="2"/>
      <c r="K1344" s="2"/>
      <c r="M1344">
        <f t="shared" si="124"/>
        <v>0</v>
      </c>
      <c r="N1344" t="e">
        <f t="shared" si="123"/>
        <v>#N/A</v>
      </c>
      <c r="O1344" t="e">
        <f t="shared" si="125"/>
        <v>#N/A</v>
      </c>
      <c r="P1344">
        <f>'Nom du personnage'!$U$51</f>
        <v>0</v>
      </c>
    </row>
    <row r="1345" spans="10:16">
      <c r="J1345" s="2"/>
      <c r="K1345" s="2"/>
      <c r="M1345">
        <f t="shared" si="124"/>
        <v>0</v>
      </c>
      <c r="N1345" t="e">
        <f t="shared" si="123"/>
        <v>#N/A</v>
      </c>
      <c r="O1345" t="e">
        <f t="shared" si="125"/>
        <v>#N/A</v>
      </c>
      <c r="P1345">
        <f>'Nom du personnage'!$U$51</f>
        <v>0</v>
      </c>
    </row>
    <row r="1346" spans="10:16">
      <c r="J1346" s="2"/>
      <c r="K1346" s="2"/>
      <c r="M1346">
        <f t="shared" si="124"/>
        <v>0</v>
      </c>
      <c r="N1346" t="e">
        <f t="shared" si="123"/>
        <v>#N/A</v>
      </c>
      <c r="O1346" t="e">
        <f t="shared" si="125"/>
        <v>#N/A</v>
      </c>
      <c r="P1346">
        <f>'Nom du personnage'!$U$51</f>
        <v>0</v>
      </c>
    </row>
    <row r="1347" spans="10:16">
      <c r="J1347" s="2"/>
      <c r="K1347" s="2"/>
      <c r="M1347">
        <f t="shared" si="124"/>
        <v>0</v>
      </c>
      <c r="N1347" t="e">
        <f t="shared" si="123"/>
        <v>#N/A</v>
      </c>
      <c r="O1347" t="e">
        <f t="shared" si="125"/>
        <v>#N/A</v>
      </c>
      <c r="P1347">
        <f>'Nom du personnage'!$U$51</f>
        <v>0</v>
      </c>
    </row>
    <row r="1348" spans="10:16">
      <c r="J1348" s="2"/>
      <c r="K1348" s="2"/>
      <c r="M1348">
        <f t="shared" si="124"/>
        <v>0</v>
      </c>
      <c r="N1348" t="e">
        <f t="shared" si="123"/>
        <v>#N/A</v>
      </c>
      <c r="O1348" t="e">
        <f t="shared" si="125"/>
        <v>#N/A</v>
      </c>
      <c r="P1348">
        <f>'Nom du personnage'!$U$51</f>
        <v>0</v>
      </c>
    </row>
    <row r="1349" spans="10:16">
      <c r="J1349" s="2"/>
      <c r="K1349" s="2"/>
      <c r="M1349">
        <f t="shared" si="124"/>
        <v>0</v>
      </c>
      <c r="N1349" t="e">
        <f t="shared" si="123"/>
        <v>#N/A</v>
      </c>
      <c r="O1349" t="e">
        <f t="shared" si="125"/>
        <v>#N/A</v>
      </c>
      <c r="P1349">
        <f>'Nom du personnage'!$U$51</f>
        <v>0</v>
      </c>
    </row>
    <row r="1350" spans="10:16">
      <c r="J1350" s="2"/>
      <c r="K1350" s="2"/>
      <c r="M1350">
        <f t="shared" si="124"/>
        <v>0</v>
      </c>
      <c r="N1350" t="e">
        <f t="shared" si="123"/>
        <v>#N/A</v>
      </c>
      <c r="O1350" t="e">
        <f t="shared" si="125"/>
        <v>#N/A</v>
      </c>
      <c r="P1350">
        <f>'Nom du personnage'!$U$51</f>
        <v>0</v>
      </c>
    </row>
    <row r="1351" spans="10:16">
      <c r="J1351" s="2"/>
      <c r="K1351" s="2"/>
      <c r="M1351">
        <f t="shared" si="124"/>
        <v>0</v>
      </c>
      <c r="N1351" t="e">
        <f t="shared" si="123"/>
        <v>#N/A</v>
      </c>
      <c r="O1351" t="e">
        <f t="shared" si="125"/>
        <v>#N/A</v>
      </c>
      <c r="P1351">
        <f>'Nom du personnage'!$U$51</f>
        <v>0</v>
      </c>
    </row>
    <row r="1352" spans="10:16">
      <c r="J1352" s="2"/>
      <c r="K1352" s="2"/>
      <c r="M1352">
        <f t="shared" si="124"/>
        <v>0</v>
      </c>
      <c r="N1352" t="e">
        <f t="shared" si="123"/>
        <v>#N/A</v>
      </c>
      <c r="O1352" t="e">
        <f t="shared" si="125"/>
        <v>#N/A</v>
      </c>
      <c r="P1352">
        <f>'Nom du personnage'!$U$51</f>
        <v>0</v>
      </c>
    </row>
    <row r="1353" spans="10:16">
      <c r="J1353" s="2"/>
      <c r="K1353" s="2"/>
      <c r="M1353">
        <f t="shared" si="124"/>
        <v>0</v>
      </c>
      <c r="N1353" t="e">
        <f t="shared" si="123"/>
        <v>#N/A</v>
      </c>
      <c r="O1353" t="e">
        <f t="shared" si="125"/>
        <v>#N/A</v>
      </c>
      <c r="P1353">
        <f>'Nom du personnage'!$U$51</f>
        <v>0</v>
      </c>
    </row>
    <row r="1354" spans="10:16">
      <c r="J1354" s="2"/>
      <c r="K1354" s="2"/>
      <c r="M1354">
        <f t="shared" si="124"/>
        <v>0</v>
      </c>
      <c r="N1354" t="e">
        <f t="shared" si="123"/>
        <v>#N/A</v>
      </c>
      <c r="O1354" t="e">
        <f t="shared" si="125"/>
        <v>#N/A</v>
      </c>
      <c r="P1354">
        <f>'Nom du personnage'!$U$51</f>
        <v>0</v>
      </c>
    </row>
    <row r="1355" spans="10:16">
      <c r="J1355" s="2"/>
      <c r="K1355" s="2"/>
      <c r="M1355">
        <f t="shared" si="124"/>
        <v>0</v>
      </c>
      <c r="N1355" t="e">
        <f t="shared" si="123"/>
        <v>#N/A</v>
      </c>
      <c r="O1355" t="e">
        <f t="shared" si="125"/>
        <v>#N/A</v>
      </c>
      <c r="P1355">
        <f>'Nom du personnage'!$U$51</f>
        <v>0</v>
      </c>
    </row>
    <row r="1356" spans="10:16">
      <c r="J1356" s="2"/>
      <c r="K1356" s="2"/>
      <c r="M1356">
        <f t="shared" si="124"/>
        <v>0</v>
      </c>
      <c r="N1356" t="e">
        <f t="shared" si="123"/>
        <v>#N/A</v>
      </c>
      <c r="O1356" t="e">
        <f t="shared" si="125"/>
        <v>#N/A</v>
      </c>
      <c r="P1356">
        <f>'Nom du personnage'!$U$51</f>
        <v>0</v>
      </c>
    </row>
    <row r="1357" spans="10:16">
      <c r="J1357" s="2"/>
      <c r="K1357" s="2"/>
      <c r="M1357">
        <f t="shared" si="124"/>
        <v>0</v>
      </c>
      <c r="N1357" t="e">
        <f t="shared" si="123"/>
        <v>#N/A</v>
      </c>
      <c r="O1357" t="e">
        <f t="shared" si="125"/>
        <v>#N/A</v>
      </c>
      <c r="P1357">
        <f>'Nom du personnage'!$U$51</f>
        <v>0</v>
      </c>
    </row>
    <row r="1358" spans="10:16">
      <c r="J1358" s="2"/>
      <c r="K1358" s="2"/>
      <c r="M1358">
        <f t="shared" si="124"/>
        <v>0</v>
      </c>
      <c r="N1358" t="e">
        <f t="shared" si="123"/>
        <v>#N/A</v>
      </c>
      <c r="O1358" t="e">
        <f t="shared" si="125"/>
        <v>#N/A</v>
      </c>
      <c r="P1358">
        <f>'Nom du personnage'!$U$51</f>
        <v>0</v>
      </c>
    </row>
    <row r="1359" spans="10:16">
      <c r="J1359" s="2"/>
      <c r="K1359" s="2"/>
      <c r="M1359">
        <f t="shared" si="124"/>
        <v>0</v>
      </c>
      <c r="N1359" t="e">
        <f t="shared" si="123"/>
        <v>#N/A</v>
      </c>
      <c r="O1359" t="e">
        <f t="shared" si="125"/>
        <v>#N/A</v>
      </c>
      <c r="P1359">
        <f>'Nom du personnage'!$U$51</f>
        <v>0</v>
      </c>
    </row>
    <row r="1360" spans="10:16">
      <c r="J1360" s="2"/>
      <c r="K1360" s="2"/>
      <c r="M1360">
        <f t="shared" si="124"/>
        <v>0</v>
      </c>
      <c r="N1360" t="e">
        <f t="shared" si="123"/>
        <v>#N/A</v>
      </c>
      <c r="O1360" t="e">
        <f t="shared" si="125"/>
        <v>#N/A</v>
      </c>
      <c r="P1360">
        <f>'Nom du personnage'!$U$51</f>
        <v>0</v>
      </c>
    </row>
    <row r="1361" spans="10:16">
      <c r="J1361" s="2"/>
      <c r="K1361" s="2"/>
      <c r="M1361">
        <f t="shared" si="124"/>
        <v>0</v>
      </c>
      <c r="N1361" t="e">
        <f t="shared" si="123"/>
        <v>#N/A</v>
      </c>
      <c r="O1361" t="e">
        <f t="shared" si="125"/>
        <v>#N/A</v>
      </c>
      <c r="P1361">
        <f>'Nom du personnage'!$U$51</f>
        <v>0</v>
      </c>
    </row>
    <row r="1362" spans="10:16">
      <c r="J1362" s="2"/>
      <c r="K1362" s="2"/>
      <c r="M1362">
        <f t="shared" si="124"/>
        <v>0</v>
      </c>
      <c r="N1362" t="e">
        <f t="shared" si="123"/>
        <v>#N/A</v>
      </c>
      <c r="O1362" t="e">
        <f t="shared" si="125"/>
        <v>#N/A</v>
      </c>
      <c r="P1362">
        <f>'Nom du personnage'!$U$51</f>
        <v>0</v>
      </c>
    </row>
    <row r="1363" spans="10:16">
      <c r="J1363" s="2"/>
      <c r="K1363" s="2"/>
      <c r="M1363">
        <f t="shared" si="124"/>
        <v>0</v>
      </c>
      <c r="N1363" t="e">
        <f t="shared" si="123"/>
        <v>#N/A</v>
      </c>
      <c r="O1363" t="e">
        <f t="shared" si="125"/>
        <v>#N/A</v>
      </c>
      <c r="P1363">
        <f>'Nom du personnage'!$U$51</f>
        <v>0</v>
      </c>
    </row>
    <row r="1364" spans="10:16">
      <c r="J1364" s="2"/>
      <c r="K1364" s="2"/>
      <c r="M1364">
        <f t="shared" si="124"/>
        <v>0</v>
      </c>
      <c r="N1364" t="e">
        <f t="shared" si="123"/>
        <v>#N/A</v>
      </c>
      <c r="O1364" t="e">
        <f t="shared" si="125"/>
        <v>#N/A</v>
      </c>
      <c r="P1364">
        <f>'Nom du personnage'!$U$51</f>
        <v>0</v>
      </c>
    </row>
    <row r="1365" spans="10:16">
      <c r="J1365" s="2"/>
      <c r="K1365" s="2"/>
      <c r="M1365">
        <f t="shared" si="124"/>
        <v>0</v>
      </c>
      <c r="N1365" t="e">
        <f t="shared" si="123"/>
        <v>#N/A</v>
      </c>
      <c r="O1365" t="e">
        <f t="shared" si="125"/>
        <v>#N/A</v>
      </c>
      <c r="P1365">
        <f>'Nom du personnage'!$U$51</f>
        <v>0</v>
      </c>
    </row>
    <row r="1366" spans="10:16">
      <c r="J1366" s="2"/>
      <c r="K1366" s="2"/>
      <c r="M1366">
        <f t="shared" si="124"/>
        <v>0</v>
      </c>
      <c r="N1366" t="e">
        <f t="shared" si="123"/>
        <v>#N/A</v>
      </c>
      <c r="O1366" t="e">
        <f t="shared" si="125"/>
        <v>#N/A</v>
      </c>
      <c r="P1366">
        <f>'Nom du personnage'!$U$51</f>
        <v>0</v>
      </c>
    </row>
    <row r="1367" spans="10:16">
      <c r="J1367" s="2"/>
      <c r="K1367" s="2"/>
      <c r="M1367">
        <f t="shared" si="124"/>
        <v>0</v>
      </c>
      <c r="N1367" t="e">
        <f t="shared" si="123"/>
        <v>#N/A</v>
      </c>
      <c r="O1367" t="e">
        <f t="shared" si="125"/>
        <v>#N/A</v>
      </c>
      <c r="P1367">
        <f>'Nom du personnage'!$U$51</f>
        <v>0</v>
      </c>
    </row>
    <row r="1368" spans="10:16">
      <c r="J1368" s="2"/>
      <c r="K1368" s="2"/>
      <c r="M1368">
        <f t="shared" si="124"/>
        <v>0</v>
      </c>
      <c r="N1368" t="e">
        <f t="shared" si="123"/>
        <v>#N/A</v>
      </c>
      <c r="O1368" t="e">
        <f t="shared" si="125"/>
        <v>#N/A</v>
      </c>
      <c r="P1368">
        <f>'Nom du personnage'!$U$51</f>
        <v>0</v>
      </c>
    </row>
    <row r="1369" spans="10:16">
      <c r="J1369" s="2"/>
      <c r="K1369" s="2"/>
      <c r="M1369">
        <f t="shared" si="124"/>
        <v>0</v>
      </c>
      <c r="N1369" t="e">
        <f t="shared" si="123"/>
        <v>#N/A</v>
      </c>
      <c r="O1369" t="e">
        <f t="shared" si="125"/>
        <v>#N/A</v>
      </c>
      <c r="P1369">
        <f>'Nom du personnage'!$U$51</f>
        <v>0</v>
      </c>
    </row>
    <row r="1370" spans="10:16">
      <c r="J1370" s="2"/>
      <c r="K1370" s="2"/>
      <c r="M1370">
        <f t="shared" si="124"/>
        <v>0</v>
      </c>
      <c r="N1370" t="e">
        <f t="shared" si="123"/>
        <v>#N/A</v>
      </c>
      <c r="O1370" t="e">
        <f t="shared" si="125"/>
        <v>#N/A</v>
      </c>
      <c r="P1370">
        <f>'Nom du personnage'!$U$51</f>
        <v>0</v>
      </c>
    </row>
    <row r="1371" spans="10:16">
      <c r="J1371" s="2"/>
      <c r="K1371" s="2"/>
      <c r="M1371">
        <f t="shared" si="124"/>
        <v>0</v>
      </c>
      <c r="N1371" t="e">
        <f t="shared" si="123"/>
        <v>#N/A</v>
      </c>
      <c r="O1371" t="e">
        <f t="shared" si="125"/>
        <v>#N/A</v>
      </c>
      <c r="P1371">
        <f>'Nom du personnage'!$U$51</f>
        <v>0</v>
      </c>
    </row>
    <row r="1372" spans="10:16">
      <c r="J1372" s="2"/>
      <c r="K1372" s="2"/>
      <c r="M1372">
        <f t="shared" si="124"/>
        <v>0</v>
      </c>
      <c r="N1372" t="e">
        <f t="shared" ref="N1372:N1435" si="126">VLOOKUP(M1372,H1372:J1429,2,FALSE)</f>
        <v>#N/A</v>
      </c>
      <c r="O1372" t="e">
        <f t="shared" si="125"/>
        <v>#N/A</v>
      </c>
      <c r="P1372">
        <f>'Nom du personnage'!$U$51</f>
        <v>0</v>
      </c>
    </row>
    <row r="1373" spans="10:16">
      <c r="J1373" s="2"/>
      <c r="K1373" s="2"/>
      <c r="M1373">
        <f t="shared" si="124"/>
        <v>0</v>
      </c>
      <c r="N1373" t="e">
        <f t="shared" si="126"/>
        <v>#N/A</v>
      </c>
      <c r="O1373" t="e">
        <f t="shared" si="125"/>
        <v>#N/A</v>
      </c>
      <c r="P1373">
        <f>'Nom du personnage'!$U$51</f>
        <v>0</v>
      </c>
    </row>
    <row r="1374" spans="10:16">
      <c r="J1374" s="2"/>
      <c r="K1374" s="2"/>
      <c r="M1374">
        <f t="shared" ref="M1374:M1437" si="127">IF(P1374=J1374,H1374,)</f>
        <v>0</v>
      </c>
      <c r="N1374" t="e">
        <f t="shared" si="126"/>
        <v>#N/A</v>
      </c>
      <c r="O1374" t="e">
        <f t="shared" si="125"/>
        <v>#N/A</v>
      </c>
      <c r="P1374">
        <f>'Nom du personnage'!$U$51</f>
        <v>0</v>
      </c>
    </row>
    <row r="1375" spans="10:16">
      <c r="J1375" s="2"/>
      <c r="K1375" s="2"/>
      <c r="M1375">
        <f t="shared" si="127"/>
        <v>0</v>
      </c>
      <c r="N1375" t="e">
        <f t="shared" si="126"/>
        <v>#N/A</v>
      </c>
      <c r="O1375" t="e">
        <f t="shared" si="125"/>
        <v>#N/A</v>
      </c>
      <c r="P1375">
        <f>'Nom du personnage'!$U$51</f>
        <v>0</v>
      </c>
    </row>
    <row r="1376" spans="10:16">
      <c r="J1376" s="2"/>
      <c r="K1376" s="2"/>
      <c r="M1376">
        <f t="shared" si="127"/>
        <v>0</v>
      </c>
      <c r="N1376" t="e">
        <f t="shared" si="126"/>
        <v>#N/A</v>
      </c>
      <c r="O1376" t="e">
        <f t="shared" si="125"/>
        <v>#N/A</v>
      </c>
      <c r="P1376">
        <f>'Nom du personnage'!$U$51</f>
        <v>0</v>
      </c>
    </row>
    <row r="1377" spans="10:16">
      <c r="J1377" s="2"/>
      <c r="K1377" s="2"/>
      <c r="M1377">
        <f t="shared" si="127"/>
        <v>0</v>
      </c>
      <c r="N1377" t="e">
        <f t="shared" si="126"/>
        <v>#N/A</v>
      </c>
      <c r="O1377" t="e">
        <f t="shared" si="125"/>
        <v>#N/A</v>
      </c>
      <c r="P1377">
        <f>'Nom du personnage'!$U$51</f>
        <v>0</v>
      </c>
    </row>
    <row r="1378" spans="10:16">
      <c r="J1378" s="2"/>
      <c r="K1378" s="2"/>
      <c r="M1378">
        <f t="shared" si="127"/>
        <v>0</v>
      </c>
      <c r="N1378" t="e">
        <f t="shared" si="126"/>
        <v>#N/A</v>
      </c>
      <c r="O1378" t="e">
        <f t="shared" si="125"/>
        <v>#N/A</v>
      </c>
      <c r="P1378">
        <f>'Nom du personnage'!$U$51</f>
        <v>0</v>
      </c>
    </row>
    <row r="1379" spans="10:16">
      <c r="J1379" s="2"/>
      <c r="K1379" s="2"/>
      <c r="M1379">
        <f t="shared" si="127"/>
        <v>0</v>
      </c>
      <c r="N1379" t="e">
        <f t="shared" si="126"/>
        <v>#N/A</v>
      </c>
      <c r="O1379" t="e">
        <f t="shared" si="125"/>
        <v>#N/A</v>
      </c>
      <c r="P1379">
        <f>'Nom du personnage'!$U$51</f>
        <v>0</v>
      </c>
    </row>
    <row r="1380" spans="10:16">
      <c r="J1380" s="2"/>
      <c r="K1380" s="2"/>
      <c r="M1380">
        <f t="shared" si="127"/>
        <v>0</v>
      </c>
      <c r="N1380" t="e">
        <f t="shared" si="126"/>
        <v>#N/A</v>
      </c>
      <c r="O1380" t="e">
        <f t="shared" si="125"/>
        <v>#N/A</v>
      </c>
      <c r="P1380">
        <f>'Nom du personnage'!$U$51</f>
        <v>0</v>
      </c>
    </row>
    <row r="1381" spans="10:16">
      <c r="J1381" s="2"/>
      <c r="K1381" s="2"/>
      <c r="M1381">
        <f t="shared" si="127"/>
        <v>0</v>
      </c>
      <c r="N1381" t="e">
        <f t="shared" si="126"/>
        <v>#N/A</v>
      </c>
      <c r="O1381" t="e">
        <f t="shared" si="125"/>
        <v>#N/A</v>
      </c>
      <c r="P1381">
        <f>'Nom du personnage'!$U$51</f>
        <v>0</v>
      </c>
    </row>
    <row r="1382" spans="10:16">
      <c r="J1382" s="2"/>
      <c r="K1382" s="2"/>
      <c r="M1382">
        <f t="shared" si="127"/>
        <v>0</v>
      </c>
      <c r="N1382" t="e">
        <f t="shared" si="126"/>
        <v>#N/A</v>
      </c>
      <c r="O1382" t="e">
        <f t="shared" si="125"/>
        <v>#N/A</v>
      </c>
      <c r="P1382">
        <f>'Nom du personnage'!$U$51</f>
        <v>0</v>
      </c>
    </row>
    <row r="1383" spans="10:16">
      <c r="J1383" s="2"/>
      <c r="K1383" s="2"/>
      <c r="M1383">
        <f t="shared" si="127"/>
        <v>0</v>
      </c>
      <c r="N1383" t="e">
        <f t="shared" si="126"/>
        <v>#N/A</v>
      </c>
      <c r="O1383" t="e">
        <f t="shared" si="125"/>
        <v>#N/A</v>
      </c>
      <c r="P1383">
        <f>'Nom du personnage'!$U$51</f>
        <v>0</v>
      </c>
    </row>
    <row r="1384" spans="10:16">
      <c r="J1384" s="2"/>
      <c r="K1384" s="2"/>
      <c r="M1384">
        <f t="shared" si="127"/>
        <v>0</v>
      </c>
      <c r="N1384" t="e">
        <f t="shared" si="126"/>
        <v>#N/A</v>
      </c>
      <c r="O1384" t="e">
        <f t="shared" si="125"/>
        <v>#N/A</v>
      </c>
      <c r="P1384">
        <f>'Nom du personnage'!$U$51</f>
        <v>0</v>
      </c>
    </row>
    <row r="1385" spans="10:16">
      <c r="J1385" s="2"/>
      <c r="K1385" s="2"/>
      <c r="M1385">
        <f t="shared" si="127"/>
        <v>0</v>
      </c>
      <c r="N1385" t="e">
        <f t="shared" si="126"/>
        <v>#N/A</v>
      </c>
      <c r="O1385" t="e">
        <f t="shared" si="125"/>
        <v>#N/A</v>
      </c>
      <c r="P1385">
        <f>'Nom du personnage'!$U$51</f>
        <v>0</v>
      </c>
    </row>
    <row r="1386" spans="10:16">
      <c r="J1386" s="2"/>
      <c r="K1386" s="2"/>
      <c r="M1386">
        <f t="shared" si="127"/>
        <v>0</v>
      </c>
      <c r="N1386" t="e">
        <f t="shared" si="126"/>
        <v>#N/A</v>
      </c>
      <c r="O1386" t="e">
        <f t="shared" si="125"/>
        <v>#N/A</v>
      </c>
      <c r="P1386">
        <f>'Nom du personnage'!$U$51</f>
        <v>0</v>
      </c>
    </row>
    <row r="1387" spans="10:16">
      <c r="J1387" s="2"/>
      <c r="K1387" s="2"/>
      <c r="M1387">
        <f t="shared" si="127"/>
        <v>0</v>
      </c>
      <c r="N1387" t="e">
        <f t="shared" si="126"/>
        <v>#N/A</v>
      </c>
      <c r="O1387" t="e">
        <f t="shared" si="125"/>
        <v>#N/A</v>
      </c>
      <c r="P1387">
        <f>'Nom du personnage'!$U$51</f>
        <v>0</v>
      </c>
    </row>
    <row r="1388" spans="10:16">
      <c r="J1388" s="2"/>
      <c r="K1388" s="2"/>
      <c r="M1388">
        <f t="shared" si="127"/>
        <v>0</v>
      </c>
      <c r="N1388" t="e">
        <f t="shared" si="126"/>
        <v>#N/A</v>
      </c>
      <c r="O1388" t="e">
        <f t="shared" si="125"/>
        <v>#N/A</v>
      </c>
      <c r="P1388">
        <f>'Nom du personnage'!$U$51</f>
        <v>0</v>
      </c>
    </row>
    <row r="1389" spans="10:16">
      <c r="J1389" s="2"/>
      <c r="K1389" s="2"/>
      <c r="M1389">
        <f t="shared" si="127"/>
        <v>0</v>
      </c>
      <c r="N1389" t="e">
        <f t="shared" si="126"/>
        <v>#N/A</v>
      </c>
      <c r="O1389" t="e">
        <f t="shared" si="125"/>
        <v>#N/A</v>
      </c>
      <c r="P1389">
        <f>'Nom du personnage'!$U$51</f>
        <v>0</v>
      </c>
    </row>
    <row r="1390" spans="10:16">
      <c r="J1390" s="2"/>
      <c r="K1390" s="2"/>
      <c r="M1390">
        <f t="shared" si="127"/>
        <v>0</v>
      </c>
      <c r="N1390" t="e">
        <f t="shared" si="126"/>
        <v>#N/A</v>
      </c>
      <c r="O1390" t="e">
        <f t="shared" si="125"/>
        <v>#N/A</v>
      </c>
      <c r="P1390">
        <f>'Nom du personnage'!$U$51</f>
        <v>0</v>
      </c>
    </row>
    <row r="1391" spans="10:16">
      <c r="J1391" s="2"/>
      <c r="K1391" s="2"/>
      <c r="M1391">
        <f t="shared" si="127"/>
        <v>0</v>
      </c>
      <c r="N1391" t="e">
        <f t="shared" si="126"/>
        <v>#N/A</v>
      </c>
      <c r="O1391" t="e">
        <f t="shared" si="125"/>
        <v>#N/A</v>
      </c>
      <c r="P1391">
        <f>'Nom du personnage'!$U$51</f>
        <v>0</v>
      </c>
    </row>
    <row r="1392" spans="10:16">
      <c r="J1392" s="2"/>
      <c r="K1392" s="2"/>
      <c r="M1392">
        <f t="shared" si="127"/>
        <v>0</v>
      </c>
      <c r="N1392" t="e">
        <f t="shared" si="126"/>
        <v>#N/A</v>
      </c>
      <c r="O1392" t="e">
        <f t="shared" si="125"/>
        <v>#N/A</v>
      </c>
      <c r="P1392">
        <f>'Nom du personnage'!$U$51</f>
        <v>0</v>
      </c>
    </row>
    <row r="1393" spans="10:16">
      <c r="J1393" s="2"/>
      <c r="K1393" s="2"/>
      <c r="M1393">
        <f t="shared" si="127"/>
        <v>0</v>
      </c>
      <c r="N1393" t="e">
        <f t="shared" si="126"/>
        <v>#N/A</v>
      </c>
      <c r="O1393" t="e">
        <f t="shared" si="125"/>
        <v>#N/A</v>
      </c>
      <c r="P1393">
        <f>'Nom du personnage'!$U$51</f>
        <v>0</v>
      </c>
    </row>
    <row r="1394" spans="10:16">
      <c r="J1394" s="2"/>
      <c r="K1394" s="2"/>
      <c r="M1394">
        <f t="shared" si="127"/>
        <v>0</v>
      </c>
      <c r="N1394" t="e">
        <f t="shared" si="126"/>
        <v>#N/A</v>
      </c>
      <c r="O1394" t="e">
        <f t="shared" si="125"/>
        <v>#N/A</v>
      </c>
      <c r="P1394">
        <f>'Nom du personnage'!$U$51</f>
        <v>0</v>
      </c>
    </row>
    <row r="1395" spans="10:16">
      <c r="J1395" s="2"/>
      <c r="K1395" s="2"/>
      <c r="M1395">
        <f t="shared" si="127"/>
        <v>0</v>
      </c>
      <c r="N1395" t="e">
        <f t="shared" si="126"/>
        <v>#N/A</v>
      </c>
      <c r="O1395" t="e">
        <f t="shared" si="125"/>
        <v>#N/A</v>
      </c>
      <c r="P1395">
        <f>'Nom du personnage'!$U$51</f>
        <v>0</v>
      </c>
    </row>
    <row r="1396" spans="10:16">
      <c r="J1396" s="2"/>
      <c r="K1396" s="2"/>
      <c r="M1396">
        <f t="shared" si="127"/>
        <v>0</v>
      </c>
      <c r="N1396" t="e">
        <f t="shared" si="126"/>
        <v>#N/A</v>
      </c>
      <c r="O1396" t="e">
        <f t="shared" si="125"/>
        <v>#N/A</v>
      </c>
      <c r="P1396">
        <f>'Nom du personnage'!$U$51</f>
        <v>0</v>
      </c>
    </row>
    <row r="1397" spans="10:16">
      <c r="J1397" s="2"/>
      <c r="K1397" s="2"/>
      <c r="M1397">
        <f t="shared" si="127"/>
        <v>0</v>
      </c>
      <c r="N1397" t="e">
        <f t="shared" si="126"/>
        <v>#N/A</v>
      </c>
      <c r="O1397" t="e">
        <f t="shared" si="125"/>
        <v>#N/A</v>
      </c>
      <c r="P1397">
        <f>'Nom du personnage'!$U$51</f>
        <v>0</v>
      </c>
    </row>
    <row r="1398" spans="10:16">
      <c r="J1398" s="2"/>
      <c r="K1398" s="2"/>
      <c r="M1398">
        <f t="shared" si="127"/>
        <v>0</v>
      </c>
      <c r="N1398" t="e">
        <f t="shared" si="126"/>
        <v>#N/A</v>
      </c>
      <c r="O1398" t="e">
        <f t="shared" si="125"/>
        <v>#N/A</v>
      </c>
      <c r="P1398">
        <f>'Nom du personnage'!$U$51</f>
        <v>0</v>
      </c>
    </row>
    <row r="1399" spans="10:16">
      <c r="J1399" s="2"/>
      <c r="K1399" s="2"/>
      <c r="M1399">
        <f t="shared" si="127"/>
        <v>0</v>
      </c>
      <c r="N1399" t="e">
        <f t="shared" si="126"/>
        <v>#N/A</v>
      </c>
      <c r="O1399" t="e">
        <f t="shared" si="125"/>
        <v>#N/A</v>
      </c>
      <c r="P1399">
        <f>'Nom du personnage'!$U$51</f>
        <v>0</v>
      </c>
    </row>
    <row r="1400" spans="10:16">
      <c r="J1400" s="2"/>
      <c r="K1400" s="2"/>
      <c r="M1400">
        <f t="shared" si="127"/>
        <v>0</v>
      </c>
      <c r="N1400" t="e">
        <f t="shared" si="126"/>
        <v>#N/A</v>
      </c>
      <c r="O1400" t="e">
        <f t="shared" si="125"/>
        <v>#N/A</v>
      </c>
      <c r="P1400">
        <f>'Nom du personnage'!$U$51</f>
        <v>0</v>
      </c>
    </row>
    <row r="1401" spans="10:16">
      <c r="J1401" s="2"/>
      <c r="K1401" s="2"/>
      <c r="M1401">
        <f t="shared" si="127"/>
        <v>0</v>
      </c>
      <c r="N1401" t="e">
        <f t="shared" si="126"/>
        <v>#N/A</v>
      </c>
      <c r="O1401" t="e">
        <f t="shared" si="125"/>
        <v>#N/A</v>
      </c>
      <c r="P1401">
        <f>'Nom du personnage'!$U$51</f>
        <v>0</v>
      </c>
    </row>
    <row r="1402" spans="10:16">
      <c r="J1402" s="2"/>
      <c r="K1402" s="2"/>
      <c r="M1402">
        <f t="shared" si="127"/>
        <v>0</v>
      </c>
      <c r="N1402" t="e">
        <f t="shared" si="126"/>
        <v>#N/A</v>
      </c>
      <c r="O1402" t="e">
        <f t="shared" ref="O1402:O1465" si="128">VLOOKUP(M1402,H1402:J1459,2,FALSE)+1</f>
        <v>#N/A</v>
      </c>
      <c r="P1402">
        <f>'Nom du personnage'!$U$51</f>
        <v>0</v>
      </c>
    </row>
    <row r="1403" spans="10:16">
      <c r="J1403" s="2"/>
      <c r="K1403" s="2"/>
      <c r="M1403">
        <f t="shared" si="127"/>
        <v>0</v>
      </c>
      <c r="N1403" t="e">
        <f t="shared" si="126"/>
        <v>#N/A</v>
      </c>
      <c r="O1403" t="e">
        <f t="shared" si="128"/>
        <v>#N/A</v>
      </c>
      <c r="P1403">
        <f>'Nom du personnage'!$U$51</f>
        <v>0</v>
      </c>
    </row>
    <row r="1404" spans="10:16">
      <c r="J1404" s="2"/>
      <c r="K1404" s="2"/>
      <c r="M1404">
        <f t="shared" si="127"/>
        <v>0</v>
      </c>
      <c r="N1404" t="e">
        <f t="shared" si="126"/>
        <v>#N/A</v>
      </c>
      <c r="O1404" t="e">
        <f t="shared" si="128"/>
        <v>#N/A</v>
      </c>
      <c r="P1404">
        <f>'Nom du personnage'!$U$51</f>
        <v>0</v>
      </c>
    </row>
    <row r="1405" spans="10:16">
      <c r="J1405" s="2"/>
      <c r="K1405" s="2"/>
      <c r="M1405">
        <f t="shared" si="127"/>
        <v>0</v>
      </c>
      <c r="N1405" t="e">
        <f t="shared" si="126"/>
        <v>#N/A</v>
      </c>
      <c r="O1405" t="e">
        <f t="shared" si="128"/>
        <v>#N/A</v>
      </c>
      <c r="P1405">
        <f>'Nom du personnage'!$U$51</f>
        <v>0</v>
      </c>
    </row>
    <row r="1406" spans="10:16">
      <c r="J1406" s="2"/>
      <c r="K1406" s="2"/>
      <c r="M1406">
        <f t="shared" si="127"/>
        <v>0</v>
      </c>
      <c r="N1406" t="e">
        <f t="shared" si="126"/>
        <v>#N/A</v>
      </c>
      <c r="O1406" t="e">
        <f t="shared" si="128"/>
        <v>#N/A</v>
      </c>
      <c r="P1406">
        <f>'Nom du personnage'!$U$51</f>
        <v>0</v>
      </c>
    </row>
    <row r="1407" spans="10:16">
      <c r="J1407" s="2"/>
      <c r="K1407" s="2"/>
      <c r="M1407">
        <f t="shared" si="127"/>
        <v>0</v>
      </c>
      <c r="N1407" t="e">
        <f t="shared" si="126"/>
        <v>#N/A</v>
      </c>
      <c r="O1407" t="e">
        <f t="shared" si="128"/>
        <v>#N/A</v>
      </c>
      <c r="P1407">
        <f>'Nom du personnage'!$U$51</f>
        <v>0</v>
      </c>
    </row>
    <row r="1408" spans="10:16">
      <c r="J1408" s="2"/>
      <c r="K1408" s="2"/>
      <c r="M1408">
        <f t="shared" si="127"/>
        <v>0</v>
      </c>
      <c r="N1408" t="e">
        <f t="shared" si="126"/>
        <v>#N/A</v>
      </c>
      <c r="O1408" t="e">
        <f t="shared" si="128"/>
        <v>#N/A</v>
      </c>
      <c r="P1408">
        <f>'Nom du personnage'!$U$51</f>
        <v>0</v>
      </c>
    </row>
    <row r="1409" spans="10:16">
      <c r="J1409" s="2"/>
      <c r="K1409" s="2"/>
      <c r="M1409">
        <f t="shared" si="127"/>
        <v>0</v>
      </c>
      <c r="N1409" t="e">
        <f t="shared" si="126"/>
        <v>#N/A</v>
      </c>
      <c r="O1409" t="e">
        <f t="shared" si="128"/>
        <v>#N/A</v>
      </c>
      <c r="P1409">
        <f>'Nom du personnage'!$U$51</f>
        <v>0</v>
      </c>
    </row>
    <row r="1410" spans="10:16">
      <c r="J1410" s="2"/>
      <c r="K1410" s="2"/>
      <c r="M1410">
        <f t="shared" si="127"/>
        <v>0</v>
      </c>
      <c r="N1410" t="e">
        <f t="shared" si="126"/>
        <v>#N/A</v>
      </c>
      <c r="O1410" t="e">
        <f t="shared" si="128"/>
        <v>#N/A</v>
      </c>
      <c r="P1410">
        <f>'Nom du personnage'!$U$51</f>
        <v>0</v>
      </c>
    </row>
    <row r="1411" spans="10:16">
      <c r="J1411" s="2"/>
      <c r="K1411" s="2"/>
      <c r="M1411">
        <f t="shared" si="127"/>
        <v>0</v>
      </c>
      <c r="N1411" t="e">
        <f t="shared" si="126"/>
        <v>#N/A</v>
      </c>
      <c r="O1411" t="e">
        <f t="shared" si="128"/>
        <v>#N/A</v>
      </c>
      <c r="P1411">
        <f>'Nom du personnage'!$U$51</f>
        <v>0</v>
      </c>
    </row>
    <row r="1412" spans="10:16">
      <c r="J1412" s="2"/>
      <c r="K1412" s="2"/>
      <c r="M1412">
        <f t="shared" si="127"/>
        <v>0</v>
      </c>
      <c r="N1412" t="e">
        <f t="shared" si="126"/>
        <v>#N/A</v>
      </c>
      <c r="O1412" t="e">
        <f t="shared" si="128"/>
        <v>#N/A</v>
      </c>
      <c r="P1412">
        <f>'Nom du personnage'!$U$51</f>
        <v>0</v>
      </c>
    </row>
    <row r="1413" spans="10:16">
      <c r="J1413" s="2"/>
      <c r="K1413" s="2"/>
      <c r="M1413">
        <f t="shared" si="127"/>
        <v>0</v>
      </c>
      <c r="N1413" t="e">
        <f t="shared" si="126"/>
        <v>#N/A</v>
      </c>
      <c r="O1413" t="e">
        <f t="shared" si="128"/>
        <v>#N/A</v>
      </c>
      <c r="P1413">
        <f>'Nom du personnage'!$U$51</f>
        <v>0</v>
      </c>
    </row>
    <row r="1414" spans="10:16">
      <c r="J1414" s="2"/>
      <c r="K1414" s="2"/>
      <c r="M1414">
        <f t="shared" si="127"/>
        <v>0</v>
      </c>
      <c r="N1414" t="e">
        <f t="shared" si="126"/>
        <v>#N/A</v>
      </c>
      <c r="O1414" t="e">
        <f t="shared" si="128"/>
        <v>#N/A</v>
      </c>
      <c r="P1414">
        <f>'Nom du personnage'!$U$51</f>
        <v>0</v>
      </c>
    </row>
    <row r="1415" spans="10:16">
      <c r="J1415" s="2"/>
      <c r="K1415" s="2"/>
      <c r="M1415">
        <f t="shared" si="127"/>
        <v>0</v>
      </c>
      <c r="N1415" t="e">
        <f t="shared" si="126"/>
        <v>#N/A</v>
      </c>
      <c r="O1415" t="e">
        <f t="shared" si="128"/>
        <v>#N/A</v>
      </c>
      <c r="P1415">
        <f>'Nom du personnage'!$U$51</f>
        <v>0</v>
      </c>
    </row>
    <row r="1416" spans="10:16">
      <c r="J1416" s="2"/>
      <c r="K1416" s="2"/>
      <c r="M1416">
        <f t="shared" si="127"/>
        <v>0</v>
      </c>
      <c r="N1416" t="e">
        <f t="shared" si="126"/>
        <v>#N/A</v>
      </c>
      <c r="O1416" t="e">
        <f t="shared" si="128"/>
        <v>#N/A</v>
      </c>
      <c r="P1416">
        <f>'Nom du personnage'!$U$51</f>
        <v>0</v>
      </c>
    </row>
    <row r="1417" spans="10:16">
      <c r="J1417" s="2"/>
      <c r="K1417" s="2"/>
      <c r="M1417">
        <f t="shared" si="127"/>
        <v>0</v>
      </c>
      <c r="N1417" t="e">
        <f t="shared" si="126"/>
        <v>#N/A</v>
      </c>
      <c r="O1417" t="e">
        <f t="shared" si="128"/>
        <v>#N/A</v>
      </c>
      <c r="P1417">
        <f>'Nom du personnage'!$U$51</f>
        <v>0</v>
      </c>
    </row>
    <row r="1418" spans="10:16">
      <c r="J1418" s="2"/>
      <c r="K1418" s="2"/>
      <c r="M1418">
        <f t="shared" si="127"/>
        <v>0</v>
      </c>
      <c r="N1418" t="e">
        <f t="shared" si="126"/>
        <v>#N/A</v>
      </c>
      <c r="O1418" t="e">
        <f t="shared" si="128"/>
        <v>#N/A</v>
      </c>
      <c r="P1418">
        <f>'Nom du personnage'!$U$51</f>
        <v>0</v>
      </c>
    </row>
    <row r="1419" spans="10:16">
      <c r="J1419" s="2"/>
      <c r="K1419" s="2"/>
      <c r="M1419">
        <f t="shared" si="127"/>
        <v>0</v>
      </c>
      <c r="N1419" t="e">
        <f t="shared" si="126"/>
        <v>#N/A</v>
      </c>
      <c r="O1419" t="e">
        <f t="shared" si="128"/>
        <v>#N/A</v>
      </c>
      <c r="P1419">
        <f>'Nom du personnage'!$U$51</f>
        <v>0</v>
      </c>
    </row>
    <row r="1420" spans="10:16">
      <c r="J1420" s="2"/>
      <c r="K1420" s="2"/>
      <c r="M1420">
        <f t="shared" si="127"/>
        <v>0</v>
      </c>
      <c r="N1420" t="e">
        <f t="shared" si="126"/>
        <v>#N/A</v>
      </c>
      <c r="O1420" t="e">
        <f t="shared" si="128"/>
        <v>#N/A</v>
      </c>
      <c r="P1420">
        <f>'Nom du personnage'!$U$51</f>
        <v>0</v>
      </c>
    </row>
    <row r="1421" spans="10:16">
      <c r="J1421" s="2"/>
      <c r="K1421" s="2"/>
      <c r="M1421">
        <f t="shared" si="127"/>
        <v>0</v>
      </c>
      <c r="N1421" t="e">
        <f t="shared" si="126"/>
        <v>#N/A</v>
      </c>
      <c r="O1421" t="e">
        <f t="shared" si="128"/>
        <v>#N/A</v>
      </c>
      <c r="P1421">
        <f>'Nom du personnage'!$U$51</f>
        <v>0</v>
      </c>
    </row>
    <row r="1422" spans="10:16">
      <c r="J1422" s="2"/>
      <c r="K1422" s="2"/>
      <c r="M1422">
        <f t="shared" si="127"/>
        <v>0</v>
      </c>
      <c r="N1422" t="e">
        <f t="shared" si="126"/>
        <v>#N/A</v>
      </c>
      <c r="O1422" t="e">
        <f t="shared" si="128"/>
        <v>#N/A</v>
      </c>
      <c r="P1422">
        <f>'Nom du personnage'!$U$51</f>
        <v>0</v>
      </c>
    </row>
    <row r="1423" spans="10:16">
      <c r="J1423" s="2"/>
      <c r="K1423" s="2"/>
      <c r="M1423">
        <f t="shared" si="127"/>
        <v>0</v>
      </c>
      <c r="N1423" t="e">
        <f t="shared" si="126"/>
        <v>#N/A</v>
      </c>
      <c r="O1423" t="e">
        <f t="shared" si="128"/>
        <v>#N/A</v>
      </c>
      <c r="P1423">
        <f>'Nom du personnage'!$U$51</f>
        <v>0</v>
      </c>
    </row>
    <row r="1424" spans="10:16">
      <c r="J1424" s="2"/>
      <c r="K1424" s="2"/>
      <c r="M1424">
        <f t="shared" si="127"/>
        <v>0</v>
      </c>
      <c r="N1424" t="e">
        <f t="shared" si="126"/>
        <v>#N/A</v>
      </c>
      <c r="O1424" t="e">
        <f t="shared" si="128"/>
        <v>#N/A</v>
      </c>
      <c r="P1424">
        <f>'Nom du personnage'!$U$51</f>
        <v>0</v>
      </c>
    </row>
    <row r="1425" spans="10:16">
      <c r="J1425" s="2"/>
      <c r="K1425" s="2"/>
      <c r="M1425">
        <f t="shared" si="127"/>
        <v>0</v>
      </c>
      <c r="N1425" t="e">
        <f t="shared" si="126"/>
        <v>#N/A</v>
      </c>
      <c r="O1425" t="e">
        <f t="shared" si="128"/>
        <v>#N/A</v>
      </c>
      <c r="P1425">
        <f>'Nom du personnage'!$U$51</f>
        <v>0</v>
      </c>
    </row>
    <row r="1426" spans="10:16">
      <c r="J1426" s="2"/>
      <c r="K1426" s="2"/>
      <c r="M1426">
        <f t="shared" si="127"/>
        <v>0</v>
      </c>
      <c r="N1426" t="e">
        <f t="shared" si="126"/>
        <v>#N/A</v>
      </c>
      <c r="O1426" t="e">
        <f t="shared" si="128"/>
        <v>#N/A</v>
      </c>
      <c r="P1426">
        <f>'Nom du personnage'!$U$51</f>
        <v>0</v>
      </c>
    </row>
    <row r="1427" spans="10:16">
      <c r="J1427" s="2"/>
      <c r="K1427" s="2"/>
      <c r="M1427">
        <f t="shared" si="127"/>
        <v>0</v>
      </c>
      <c r="N1427" t="e">
        <f t="shared" si="126"/>
        <v>#N/A</v>
      </c>
      <c r="O1427" t="e">
        <f t="shared" si="128"/>
        <v>#N/A</v>
      </c>
      <c r="P1427">
        <f>'Nom du personnage'!$U$51</f>
        <v>0</v>
      </c>
    </row>
    <row r="1428" spans="10:16">
      <c r="J1428" s="2"/>
      <c r="K1428" s="2"/>
      <c r="M1428">
        <f t="shared" si="127"/>
        <v>0</v>
      </c>
      <c r="N1428" t="e">
        <f t="shared" si="126"/>
        <v>#N/A</v>
      </c>
      <c r="O1428" t="e">
        <f t="shared" si="128"/>
        <v>#N/A</v>
      </c>
      <c r="P1428">
        <f>'Nom du personnage'!$U$51</f>
        <v>0</v>
      </c>
    </row>
    <row r="1429" spans="10:16">
      <c r="J1429" s="2"/>
      <c r="K1429" s="2"/>
      <c r="M1429">
        <f t="shared" si="127"/>
        <v>0</v>
      </c>
      <c r="N1429" t="e">
        <f t="shared" si="126"/>
        <v>#N/A</v>
      </c>
      <c r="O1429" t="e">
        <f t="shared" si="128"/>
        <v>#N/A</v>
      </c>
      <c r="P1429">
        <f>'Nom du personnage'!$U$51</f>
        <v>0</v>
      </c>
    </row>
    <row r="1430" spans="10:16">
      <c r="J1430" s="2"/>
      <c r="K1430" s="2"/>
      <c r="M1430">
        <f t="shared" si="127"/>
        <v>0</v>
      </c>
      <c r="N1430" t="e">
        <f t="shared" si="126"/>
        <v>#N/A</v>
      </c>
      <c r="O1430" t="e">
        <f t="shared" si="128"/>
        <v>#N/A</v>
      </c>
      <c r="P1430">
        <f>'Nom du personnage'!$U$51</f>
        <v>0</v>
      </c>
    </row>
    <row r="1431" spans="10:16">
      <c r="J1431" s="2"/>
      <c r="K1431" s="2"/>
      <c r="M1431">
        <f t="shared" si="127"/>
        <v>0</v>
      </c>
      <c r="N1431" t="e">
        <f t="shared" si="126"/>
        <v>#N/A</v>
      </c>
      <c r="O1431" t="e">
        <f t="shared" si="128"/>
        <v>#N/A</v>
      </c>
      <c r="P1431">
        <f>'Nom du personnage'!$U$51</f>
        <v>0</v>
      </c>
    </row>
    <row r="1432" spans="10:16">
      <c r="J1432" s="2"/>
      <c r="K1432" s="2"/>
      <c r="M1432">
        <f t="shared" si="127"/>
        <v>0</v>
      </c>
      <c r="N1432" t="e">
        <f t="shared" si="126"/>
        <v>#N/A</v>
      </c>
      <c r="O1432" t="e">
        <f t="shared" si="128"/>
        <v>#N/A</v>
      </c>
      <c r="P1432">
        <f>'Nom du personnage'!$U$51</f>
        <v>0</v>
      </c>
    </row>
    <row r="1433" spans="10:16">
      <c r="J1433" s="2"/>
      <c r="K1433" s="2"/>
      <c r="M1433">
        <f t="shared" si="127"/>
        <v>0</v>
      </c>
      <c r="N1433" t="e">
        <f t="shared" si="126"/>
        <v>#N/A</v>
      </c>
      <c r="O1433" t="e">
        <f t="shared" si="128"/>
        <v>#N/A</v>
      </c>
      <c r="P1433">
        <f>'Nom du personnage'!$U$51</f>
        <v>0</v>
      </c>
    </row>
    <row r="1434" spans="10:16">
      <c r="J1434" s="2"/>
      <c r="K1434" s="2"/>
      <c r="M1434">
        <f t="shared" si="127"/>
        <v>0</v>
      </c>
      <c r="N1434" t="e">
        <f t="shared" si="126"/>
        <v>#N/A</v>
      </c>
      <c r="O1434" t="e">
        <f t="shared" si="128"/>
        <v>#N/A</v>
      </c>
      <c r="P1434">
        <f>'Nom du personnage'!$U$51</f>
        <v>0</v>
      </c>
    </row>
    <row r="1435" spans="10:16">
      <c r="J1435" s="2"/>
      <c r="K1435" s="2"/>
      <c r="M1435">
        <f t="shared" si="127"/>
        <v>0</v>
      </c>
      <c r="N1435" t="e">
        <f t="shared" si="126"/>
        <v>#N/A</v>
      </c>
      <c r="O1435" t="e">
        <f t="shared" si="128"/>
        <v>#N/A</v>
      </c>
      <c r="P1435">
        <f>'Nom du personnage'!$U$51</f>
        <v>0</v>
      </c>
    </row>
    <row r="1436" spans="10:16">
      <c r="J1436" s="2"/>
      <c r="K1436" s="2"/>
      <c r="M1436">
        <f t="shared" si="127"/>
        <v>0</v>
      </c>
      <c r="N1436" t="e">
        <f t="shared" ref="N1436:N1499" si="129">VLOOKUP(M1436,H1436:J1493,2,FALSE)</f>
        <v>#N/A</v>
      </c>
      <c r="O1436" t="e">
        <f t="shared" si="128"/>
        <v>#N/A</v>
      </c>
      <c r="P1436">
        <f>'Nom du personnage'!$U$51</f>
        <v>0</v>
      </c>
    </row>
    <row r="1437" spans="10:16">
      <c r="J1437" s="2"/>
      <c r="K1437" s="2"/>
      <c r="M1437">
        <f t="shared" si="127"/>
        <v>0</v>
      </c>
      <c r="N1437" t="e">
        <f t="shared" si="129"/>
        <v>#N/A</v>
      </c>
      <c r="O1437" t="e">
        <f t="shared" si="128"/>
        <v>#N/A</v>
      </c>
      <c r="P1437">
        <f>'Nom du personnage'!$U$51</f>
        <v>0</v>
      </c>
    </row>
    <row r="1438" spans="10:16">
      <c r="J1438" s="2"/>
      <c r="K1438" s="2"/>
      <c r="M1438">
        <f t="shared" ref="M1438:M1501" si="130">IF(P1438=J1438,H1438,)</f>
        <v>0</v>
      </c>
      <c r="N1438" t="e">
        <f t="shared" si="129"/>
        <v>#N/A</v>
      </c>
      <c r="O1438" t="e">
        <f t="shared" si="128"/>
        <v>#N/A</v>
      </c>
      <c r="P1438">
        <f>'Nom du personnage'!$U$51</f>
        <v>0</v>
      </c>
    </row>
    <row r="1439" spans="10:16">
      <c r="J1439" s="2"/>
      <c r="K1439" s="2"/>
      <c r="M1439">
        <f t="shared" si="130"/>
        <v>0</v>
      </c>
      <c r="N1439" t="e">
        <f t="shared" si="129"/>
        <v>#N/A</v>
      </c>
      <c r="O1439" t="e">
        <f t="shared" si="128"/>
        <v>#N/A</v>
      </c>
      <c r="P1439">
        <f>'Nom du personnage'!$U$51</f>
        <v>0</v>
      </c>
    </row>
    <row r="1440" spans="10:16">
      <c r="J1440" s="2"/>
      <c r="K1440" s="2"/>
      <c r="M1440">
        <f t="shared" si="130"/>
        <v>0</v>
      </c>
      <c r="N1440" t="e">
        <f t="shared" si="129"/>
        <v>#N/A</v>
      </c>
      <c r="O1440" t="e">
        <f t="shared" si="128"/>
        <v>#N/A</v>
      </c>
      <c r="P1440">
        <f>'Nom du personnage'!$U$51</f>
        <v>0</v>
      </c>
    </row>
    <row r="1441" spans="10:16">
      <c r="J1441" s="2"/>
      <c r="K1441" s="2"/>
      <c r="M1441">
        <f t="shared" si="130"/>
        <v>0</v>
      </c>
      <c r="N1441" t="e">
        <f t="shared" si="129"/>
        <v>#N/A</v>
      </c>
      <c r="O1441" t="e">
        <f t="shared" si="128"/>
        <v>#N/A</v>
      </c>
      <c r="P1441">
        <f>'Nom du personnage'!$U$51</f>
        <v>0</v>
      </c>
    </row>
    <row r="1442" spans="10:16">
      <c r="J1442" s="2"/>
      <c r="K1442" s="2"/>
      <c r="M1442">
        <f t="shared" si="130"/>
        <v>0</v>
      </c>
      <c r="N1442" t="e">
        <f t="shared" si="129"/>
        <v>#N/A</v>
      </c>
      <c r="O1442" t="e">
        <f t="shared" si="128"/>
        <v>#N/A</v>
      </c>
      <c r="P1442">
        <f>'Nom du personnage'!$U$51</f>
        <v>0</v>
      </c>
    </row>
    <row r="1443" spans="10:16">
      <c r="J1443" s="2"/>
      <c r="K1443" s="2"/>
      <c r="M1443">
        <f t="shared" si="130"/>
        <v>0</v>
      </c>
      <c r="N1443" t="e">
        <f t="shared" si="129"/>
        <v>#N/A</v>
      </c>
      <c r="O1443" t="e">
        <f t="shared" si="128"/>
        <v>#N/A</v>
      </c>
      <c r="P1443">
        <f>'Nom du personnage'!$U$51</f>
        <v>0</v>
      </c>
    </row>
    <row r="1444" spans="10:16">
      <c r="J1444" s="2"/>
      <c r="K1444" s="2"/>
      <c r="M1444">
        <f t="shared" si="130"/>
        <v>0</v>
      </c>
      <c r="N1444" t="e">
        <f t="shared" si="129"/>
        <v>#N/A</v>
      </c>
      <c r="O1444" t="e">
        <f t="shared" si="128"/>
        <v>#N/A</v>
      </c>
      <c r="P1444">
        <f>'Nom du personnage'!$U$51</f>
        <v>0</v>
      </c>
    </row>
    <row r="1445" spans="10:16">
      <c r="J1445" s="2"/>
      <c r="K1445" s="2"/>
      <c r="M1445">
        <f t="shared" si="130"/>
        <v>0</v>
      </c>
      <c r="N1445" t="e">
        <f t="shared" si="129"/>
        <v>#N/A</v>
      </c>
      <c r="O1445" t="e">
        <f t="shared" si="128"/>
        <v>#N/A</v>
      </c>
      <c r="P1445">
        <f>'Nom du personnage'!$U$51</f>
        <v>0</v>
      </c>
    </row>
    <row r="1446" spans="10:16">
      <c r="J1446" s="2"/>
      <c r="K1446" s="2"/>
      <c r="M1446">
        <f t="shared" si="130"/>
        <v>0</v>
      </c>
      <c r="N1446" t="e">
        <f t="shared" si="129"/>
        <v>#N/A</v>
      </c>
      <c r="O1446" t="e">
        <f t="shared" si="128"/>
        <v>#N/A</v>
      </c>
      <c r="P1446">
        <f>'Nom du personnage'!$U$51</f>
        <v>0</v>
      </c>
    </row>
    <row r="1447" spans="10:16">
      <c r="J1447" s="2"/>
      <c r="K1447" s="2"/>
      <c r="M1447">
        <f t="shared" si="130"/>
        <v>0</v>
      </c>
      <c r="N1447" t="e">
        <f t="shared" si="129"/>
        <v>#N/A</v>
      </c>
      <c r="O1447" t="e">
        <f t="shared" si="128"/>
        <v>#N/A</v>
      </c>
      <c r="P1447">
        <f>'Nom du personnage'!$U$51</f>
        <v>0</v>
      </c>
    </row>
    <row r="1448" spans="10:16">
      <c r="J1448" s="2"/>
      <c r="K1448" s="2"/>
      <c r="M1448">
        <f t="shared" si="130"/>
        <v>0</v>
      </c>
      <c r="N1448" t="e">
        <f t="shared" si="129"/>
        <v>#N/A</v>
      </c>
      <c r="O1448" t="e">
        <f t="shared" si="128"/>
        <v>#N/A</v>
      </c>
      <c r="P1448">
        <f>'Nom du personnage'!$U$51</f>
        <v>0</v>
      </c>
    </row>
    <row r="1449" spans="10:16">
      <c r="J1449" s="2"/>
      <c r="K1449" s="2"/>
      <c r="M1449">
        <f t="shared" si="130"/>
        <v>0</v>
      </c>
      <c r="N1449" t="e">
        <f t="shared" si="129"/>
        <v>#N/A</v>
      </c>
      <c r="O1449" t="e">
        <f t="shared" si="128"/>
        <v>#N/A</v>
      </c>
      <c r="P1449">
        <f>'Nom du personnage'!$U$51</f>
        <v>0</v>
      </c>
    </row>
    <row r="1450" spans="10:16">
      <c r="J1450" s="2"/>
      <c r="K1450" s="2"/>
      <c r="M1450">
        <f t="shared" si="130"/>
        <v>0</v>
      </c>
      <c r="N1450" t="e">
        <f t="shared" si="129"/>
        <v>#N/A</v>
      </c>
      <c r="O1450" t="e">
        <f t="shared" si="128"/>
        <v>#N/A</v>
      </c>
      <c r="P1450">
        <f>'Nom du personnage'!$U$51</f>
        <v>0</v>
      </c>
    </row>
    <row r="1451" spans="10:16">
      <c r="J1451" s="2"/>
      <c r="K1451" s="2"/>
      <c r="M1451">
        <f t="shared" si="130"/>
        <v>0</v>
      </c>
      <c r="N1451" t="e">
        <f t="shared" si="129"/>
        <v>#N/A</v>
      </c>
      <c r="O1451" t="e">
        <f t="shared" si="128"/>
        <v>#N/A</v>
      </c>
      <c r="P1451">
        <f>'Nom du personnage'!$U$51</f>
        <v>0</v>
      </c>
    </row>
    <row r="1452" spans="10:16">
      <c r="J1452" s="2"/>
      <c r="K1452" s="2"/>
      <c r="M1452">
        <f t="shared" si="130"/>
        <v>0</v>
      </c>
      <c r="N1452" t="e">
        <f t="shared" si="129"/>
        <v>#N/A</v>
      </c>
      <c r="O1452" t="e">
        <f t="shared" si="128"/>
        <v>#N/A</v>
      </c>
      <c r="P1452">
        <f>'Nom du personnage'!$U$51</f>
        <v>0</v>
      </c>
    </row>
    <row r="1453" spans="10:16">
      <c r="J1453" s="2"/>
      <c r="K1453" s="2"/>
      <c r="M1453">
        <f t="shared" si="130"/>
        <v>0</v>
      </c>
      <c r="N1453" t="e">
        <f t="shared" si="129"/>
        <v>#N/A</v>
      </c>
      <c r="O1453" t="e">
        <f t="shared" si="128"/>
        <v>#N/A</v>
      </c>
      <c r="P1453">
        <f>'Nom du personnage'!$U$51</f>
        <v>0</v>
      </c>
    </row>
    <row r="1454" spans="10:16">
      <c r="J1454" s="2"/>
      <c r="K1454" s="2"/>
      <c r="M1454">
        <f t="shared" si="130"/>
        <v>0</v>
      </c>
      <c r="N1454" t="e">
        <f t="shared" si="129"/>
        <v>#N/A</v>
      </c>
      <c r="O1454" t="e">
        <f t="shared" si="128"/>
        <v>#N/A</v>
      </c>
      <c r="P1454">
        <f>'Nom du personnage'!$U$51</f>
        <v>0</v>
      </c>
    </row>
    <row r="1455" spans="10:16">
      <c r="J1455" s="2"/>
      <c r="K1455" s="2"/>
      <c r="M1455">
        <f t="shared" si="130"/>
        <v>0</v>
      </c>
      <c r="N1455" t="e">
        <f t="shared" si="129"/>
        <v>#N/A</v>
      </c>
      <c r="O1455" t="e">
        <f t="shared" si="128"/>
        <v>#N/A</v>
      </c>
      <c r="P1455">
        <f>'Nom du personnage'!$U$51</f>
        <v>0</v>
      </c>
    </row>
    <row r="1456" spans="10:16">
      <c r="J1456" s="2"/>
      <c r="K1456" s="2"/>
      <c r="M1456">
        <f t="shared" si="130"/>
        <v>0</v>
      </c>
      <c r="N1456" t="e">
        <f t="shared" si="129"/>
        <v>#N/A</v>
      </c>
      <c r="O1456" t="e">
        <f t="shared" si="128"/>
        <v>#N/A</v>
      </c>
      <c r="P1456">
        <f>'Nom du personnage'!$U$51</f>
        <v>0</v>
      </c>
    </row>
    <row r="1457" spans="10:16">
      <c r="J1457" s="2"/>
      <c r="K1457" s="2"/>
      <c r="M1457">
        <f t="shared" si="130"/>
        <v>0</v>
      </c>
      <c r="N1457" t="e">
        <f t="shared" si="129"/>
        <v>#N/A</v>
      </c>
      <c r="O1457" t="e">
        <f t="shared" si="128"/>
        <v>#N/A</v>
      </c>
      <c r="P1457">
        <f>'Nom du personnage'!$U$51</f>
        <v>0</v>
      </c>
    </row>
    <row r="1458" spans="10:16">
      <c r="J1458" s="2"/>
      <c r="K1458" s="2"/>
      <c r="M1458">
        <f t="shared" si="130"/>
        <v>0</v>
      </c>
      <c r="N1458" t="e">
        <f t="shared" si="129"/>
        <v>#N/A</v>
      </c>
      <c r="O1458" t="e">
        <f t="shared" si="128"/>
        <v>#N/A</v>
      </c>
      <c r="P1458">
        <f>'Nom du personnage'!$U$51</f>
        <v>0</v>
      </c>
    </row>
    <row r="1459" spans="10:16">
      <c r="J1459" s="2"/>
      <c r="K1459" s="2"/>
      <c r="M1459">
        <f t="shared" si="130"/>
        <v>0</v>
      </c>
      <c r="N1459" t="e">
        <f t="shared" si="129"/>
        <v>#N/A</v>
      </c>
      <c r="O1459" t="e">
        <f t="shared" si="128"/>
        <v>#N/A</v>
      </c>
      <c r="P1459">
        <f>'Nom du personnage'!$U$51</f>
        <v>0</v>
      </c>
    </row>
    <row r="1460" spans="10:16">
      <c r="J1460" s="2"/>
      <c r="K1460" s="2"/>
      <c r="M1460">
        <f t="shared" si="130"/>
        <v>0</v>
      </c>
      <c r="N1460" t="e">
        <f t="shared" si="129"/>
        <v>#N/A</v>
      </c>
      <c r="O1460" t="e">
        <f t="shared" si="128"/>
        <v>#N/A</v>
      </c>
      <c r="P1460">
        <f>'Nom du personnage'!$U$51</f>
        <v>0</v>
      </c>
    </row>
    <row r="1461" spans="10:16">
      <c r="J1461" s="2"/>
      <c r="K1461" s="2"/>
      <c r="M1461">
        <f t="shared" si="130"/>
        <v>0</v>
      </c>
      <c r="N1461" t="e">
        <f t="shared" si="129"/>
        <v>#N/A</v>
      </c>
      <c r="O1461" t="e">
        <f t="shared" si="128"/>
        <v>#N/A</v>
      </c>
      <c r="P1461">
        <f>'Nom du personnage'!$U$51</f>
        <v>0</v>
      </c>
    </row>
    <row r="1462" spans="10:16">
      <c r="J1462" s="2"/>
      <c r="K1462" s="2"/>
      <c r="M1462">
        <f t="shared" si="130"/>
        <v>0</v>
      </c>
      <c r="N1462" t="e">
        <f t="shared" si="129"/>
        <v>#N/A</v>
      </c>
      <c r="O1462" t="e">
        <f t="shared" si="128"/>
        <v>#N/A</v>
      </c>
      <c r="P1462">
        <f>'Nom du personnage'!$U$51</f>
        <v>0</v>
      </c>
    </row>
    <row r="1463" spans="10:16">
      <c r="J1463" s="2"/>
      <c r="K1463" s="2"/>
      <c r="M1463">
        <f t="shared" si="130"/>
        <v>0</v>
      </c>
      <c r="N1463" t="e">
        <f t="shared" si="129"/>
        <v>#N/A</v>
      </c>
      <c r="O1463" t="e">
        <f t="shared" si="128"/>
        <v>#N/A</v>
      </c>
      <c r="P1463">
        <f>'Nom du personnage'!$U$51</f>
        <v>0</v>
      </c>
    </row>
    <row r="1464" spans="10:16">
      <c r="J1464" s="2"/>
      <c r="K1464" s="2"/>
      <c r="M1464">
        <f t="shared" si="130"/>
        <v>0</v>
      </c>
      <c r="N1464" t="e">
        <f t="shared" si="129"/>
        <v>#N/A</v>
      </c>
      <c r="O1464" t="e">
        <f t="shared" si="128"/>
        <v>#N/A</v>
      </c>
      <c r="P1464">
        <f>'Nom du personnage'!$U$51</f>
        <v>0</v>
      </c>
    </row>
    <row r="1465" spans="10:16">
      <c r="J1465" s="2"/>
      <c r="K1465" s="2"/>
      <c r="M1465">
        <f t="shared" si="130"/>
        <v>0</v>
      </c>
      <c r="N1465" t="e">
        <f t="shared" si="129"/>
        <v>#N/A</v>
      </c>
      <c r="O1465" t="e">
        <f t="shared" si="128"/>
        <v>#N/A</v>
      </c>
      <c r="P1465">
        <f>'Nom du personnage'!$U$51</f>
        <v>0</v>
      </c>
    </row>
    <row r="1466" spans="10:16">
      <c r="J1466" s="2"/>
      <c r="K1466" s="2"/>
      <c r="M1466">
        <f t="shared" si="130"/>
        <v>0</v>
      </c>
      <c r="N1466" t="e">
        <f t="shared" si="129"/>
        <v>#N/A</v>
      </c>
      <c r="O1466" t="e">
        <f t="shared" ref="O1466:O1529" si="131">VLOOKUP(M1466,H1466:J1523,2,FALSE)+1</f>
        <v>#N/A</v>
      </c>
      <c r="P1466">
        <f>'Nom du personnage'!$U$51</f>
        <v>0</v>
      </c>
    </row>
    <row r="1467" spans="10:16">
      <c r="J1467" s="2"/>
      <c r="K1467" s="2"/>
      <c r="M1467">
        <f t="shared" si="130"/>
        <v>0</v>
      </c>
      <c r="N1467" t="e">
        <f t="shared" si="129"/>
        <v>#N/A</v>
      </c>
      <c r="O1467" t="e">
        <f t="shared" si="131"/>
        <v>#N/A</v>
      </c>
      <c r="P1467">
        <f>'Nom du personnage'!$U$51</f>
        <v>0</v>
      </c>
    </row>
    <row r="1468" spans="10:16">
      <c r="J1468" s="2"/>
      <c r="K1468" s="2"/>
      <c r="M1468">
        <f t="shared" si="130"/>
        <v>0</v>
      </c>
      <c r="N1468" t="e">
        <f t="shared" si="129"/>
        <v>#N/A</v>
      </c>
      <c r="O1468" t="e">
        <f t="shared" si="131"/>
        <v>#N/A</v>
      </c>
      <c r="P1468">
        <f>'Nom du personnage'!$U$51</f>
        <v>0</v>
      </c>
    </row>
    <row r="1469" spans="10:16">
      <c r="J1469" s="2"/>
      <c r="K1469" s="2"/>
      <c r="M1469">
        <f t="shared" si="130"/>
        <v>0</v>
      </c>
      <c r="N1469" t="e">
        <f t="shared" si="129"/>
        <v>#N/A</v>
      </c>
      <c r="O1469" t="e">
        <f t="shared" si="131"/>
        <v>#N/A</v>
      </c>
      <c r="P1469">
        <f>'Nom du personnage'!$U$51</f>
        <v>0</v>
      </c>
    </row>
    <row r="1470" spans="10:16">
      <c r="J1470" s="2"/>
      <c r="K1470" s="2"/>
      <c r="M1470">
        <f t="shared" si="130"/>
        <v>0</v>
      </c>
      <c r="N1470" t="e">
        <f t="shared" si="129"/>
        <v>#N/A</v>
      </c>
      <c r="O1470" t="e">
        <f t="shared" si="131"/>
        <v>#N/A</v>
      </c>
      <c r="P1470">
        <f>'Nom du personnage'!$U$51</f>
        <v>0</v>
      </c>
    </row>
    <row r="1471" spans="10:16">
      <c r="J1471" s="2"/>
      <c r="K1471" s="2"/>
      <c r="M1471">
        <f t="shared" si="130"/>
        <v>0</v>
      </c>
      <c r="N1471" t="e">
        <f t="shared" si="129"/>
        <v>#N/A</v>
      </c>
      <c r="O1471" t="e">
        <f t="shared" si="131"/>
        <v>#N/A</v>
      </c>
      <c r="P1471">
        <f>'Nom du personnage'!$U$51</f>
        <v>0</v>
      </c>
    </row>
    <row r="1472" spans="10:16">
      <c r="J1472" s="2"/>
      <c r="K1472" s="2"/>
      <c r="M1472">
        <f t="shared" si="130"/>
        <v>0</v>
      </c>
      <c r="N1472" t="e">
        <f t="shared" si="129"/>
        <v>#N/A</v>
      </c>
      <c r="O1472" t="e">
        <f t="shared" si="131"/>
        <v>#N/A</v>
      </c>
      <c r="P1472">
        <f>'Nom du personnage'!$U$51</f>
        <v>0</v>
      </c>
    </row>
    <row r="1473" spans="10:16">
      <c r="J1473" s="2"/>
      <c r="K1473" s="2"/>
      <c r="M1473">
        <f t="shared" si="130"/>
        <v>0</v>
      </c>
      <c r="N1473" t="e">
        <f t="shared" si="129"/>
        <v>#N/A</v>
      </c>
      <c r="O1473" t="e">
        <f t="shared" si="131"/>
        <v>#N/A</v>
      </c>
      <c r="P1473">
        <f>'Nom du personnage'!$U$51</f>
        <v>0</v>
      </c>
    </row>
    <row r="1474" spans="10:16">
      <c r="J1474" s="2"/>
      <c r="K1474" s="2"/>
      <c r="M1474">
        <f t="shared" si="130"/>
        <v>0</v>
      </c>
      <c r="N1474" t="e">
        <f t="shared" si="129"/>
        <v>#N/A</v>
      </c>
      <c r="O1474" t="e">
        <f t="shared" si="131"/>
        <v>#N/A</v>
      </c>
      <c r="P1474">
        <f>'Nom du personnage'!$U$51</f>
        <v>0</v>
      </c>
    </row>
    <row r="1475" spans="10:16">
      <c r="J1475" s="2"/>
      <c r="K1475" s="2"/>
      <c r="M1475">
        <f t="shared" si="130"/>
        <v>0</v>
      </c>
      <c r="N1475" t="e">
        <f t="shared" si="129"/>
        <v>#N/A</v>
      </c>
      <c r="O1475" t="e">
        <f t="shared" si="131"/>
        <v>#N/A</v>
      </c>
      <c r="P1475">
        <f>'Nom du personnage'!$U$51</f>
        <v>0</v>
      </c>
    </row>
    <row r="1476" spans="10:16">
      <c r="J1476" s="2"/>
      <c r="K1476" s="2"/>
      <c r="M1476">
        <f t="shared" si="130"/>
        <v>0</v>
      </c>
      <c r="N1476" t="e">
        <f t="shared" si="129"/>
        <v>#N/A</v>
      </c>
      <c r="O1476" t="e">
        <f t="shared" si="131"/>
        <v>#N/A</v>
      </c>
      <c r="P1476">
        <f>'Nom du personnage'!$U$51</f>
        <v>0</v>
      </c>
    </row>
    <row r="1477" spans="10:16">
      <c r="J1477" s="2"/>
      <c r="K1477" s="2"/>
      <c r="M1477">
        <f t="shared" si="130"/>
        <v>0</v>
      </c>
      <c r="N1477" t="e">
        <f t="shared" si="129"/>
        <v>#N/A</v>
      </c>
      <c r="O1477" t="e">
        <f t="shared" si="131"/>
        <v>#N/A</v>
      </c>
      <c r="P1477">
        <f>'Nom du personnage'!$U$51</f>
        <v>0</v>
      </c>
    </row>
    <row r="1478" spans="10:16">
      <c r="J1478" s="2"/>
      <c r="K1478" s="2"/>
      <c r="M1478">
        <f t="shared" si="130"/>
        <v>0</v>
      </c>
      <c r="N1478" t="e">
        <f t="shared" si="129"/>
        <v>#N/A</v>
      </c>
      <c r="O1478" t="e">
        <f t="shared" si="131"/>
        <v>#N/A</v>
      </c>
      <c r="P1478">
        <f>'Nom du personnage'!$U$51</f>
        <v>0</v>
      </c>
    </row>
    <row r="1479" spans="10:16">
      <c r="J1479" s="2"/>
      <c r="K1479" s="2"/>
      <c r="M1479">
        <f t="shared" si="130"/>
        <v>0</v>
      </c>
      <c r="N1479" t="e">
        <f t="shared" si="129"/>
        <v>#N/A</v>
      </c>
      <c r="O1479" t="e">
        <f t="shared" si="131"/>
        <v>#N/A</v>
      </c>
      <c r="P1479">
        <f>'Nom du personnage'!$U$51</f>
        <v>0</v>
      </c>
    </row>
    <row r="1480" spans="10:16">
      <c r="J1480" s="2"/>
      <c r="K1480" s="2"/>
      <c r="M1480">
        <f t="shared" si="130"/>
        <v>0</v>
      </c>
      <c r="N1480" t="e">
        <f t="shared" si="129"/>
        <v>#N/A</v>
      </c>
      <c r="O1480" t="e">
        <f t="shared" si="131"/>
        <v>#N/A</v>
      </c>
      <c r="P1480">
        <f>'Nom du personnage'!$U$51</f>
        <v>0</v>
      </c>
    </row>
    <row r="1481" spans="10:16">
      <c r="J1481" s="2"/>
      <c r="K1481" s="2"/>
      <c r="M1481">
        <f t="shared" si="130"/>
        <v>0</v>
      </c>
      <c r="N1481" t="e">
        <f t="shared" si="129"/>
        <v>#N/A</v>
      </c>
      <c r="O1481" t="e">
        <f t="shared" si="131"/>
        <v>#N/A</v>
      </c>
      <c r="P1481">
        <f>'Nom du personnage'!$U$51</f>
        <v>0</v>
      </c>
    </row>
    <row r="1482" spans="10:16">
      <c r="J1482" s="2"/>
      <c r="K1482" s="2"/>
      <c r="M1482">
        <f t="shared" si="130"/>
        <v>0</v>
      </c>
      <c r="N1482" t="e">
        <f t="shared" si="129"/>
        <v>#N/A</v>
      </c>
      <c r="O1482" t="e">
        <f t="shared" si="131"/>
        <v>#N/A</v>
      </c>
      <c r="P1482">
        <f>'Nom du personnage'!$U$51</f>
        <v>0</v>
      </c>
    </row>
    <row r="1483" spans="10:16">
      <c r="J1483" s="2"/>
      <c r="K1483" s="2"/>
      <c r="M1483">
        <f t="shared" si="130"/>
        <v>0</v>
      </c>
      <c r="N1483" t="e">
        <f t="shared" si="129"/>
        <v>#N/A</v>
      </c>
      <c r="O1483" t="e">
        <f t="shared" si="131"/>
        <v>#N/A</v>
      </c>
      <c r="P1483">
        <f>'Nom du personnage'!$U$51</f>
        <v>0</v>
      </c>
    </row>
    <row r="1484" spans="10:16">
      <c r="J1484" s="2"/>
      <c r="K1484" s="2"/>
      <c r="M1484">
        <f t="shared" si="130"/>
        <v>0</v>
      </c>
      <c r="N1484" t="e">
        <f t="shared" si="129"/>
        <v>#N/A</v>
      </c>
      <c r="O1484" t="e">
        <f t="shared" si="131"/>
        <v>#N/A</v>
      </c>
      <c r="P1484">
        <f>'Nom du personnage'!$U$51</f>
        <v>0</v>
      </c>
    </row>
    <row r="1485" spans="10:16">
      <c r="J1485" s="2"/>
      <c r="K1485" s="2"/>
      <c r="M1485">
        <f t="shared" si="130"/>
        <v>0</v>
      </c>
      <c r="N1485" t="e">
        <f t="shared" si="129"/>
        <v>#N/A</v>
      </c>
      <c r="O1485" t="e">
        <f t="shared" si="131"/>
        <v>#N/A</v>
      </c>
      <c r="P1485">
        <f>'Nom du personnage'!$U$51</f>
        <v>0</v>
      </c>
    </row>
    <row r="1486" spans="10:16">
      <c r="J1486" s="2"/>
      <c r="K1486" s="2"/>
      <c r="M1486">
        <f t="shared" si="130"/>
        <v>0</v>
      </c>
      <c r="N1486" t="e">
        <f t="shared" si="129"/>
        <v>#N/A</v>
      </c>
      <c r="O1486" t="e">
        <f t="shared" si="131"/>
        <v>#N/A</v>
      </c>
      <c r="P1486">
        <f>'Nom du personnage'!$U$51</f>
        <v>0</v>
      </c>
    </row>
    <row r="1487" spans="10:16">
      <c r="J1487" s="2"/>
      <c r="K1487" s="2"/>
      <c r="M1487">
        <f t="shared" si="130"/>
        <v>0</v>
      </c>
      <c r="N1487" t="e">
        <f t="shared" si="129"/>
        <v>#N/A</v>
      </c>
      <c r="O1487" t="e">
        <f t="shared" si="131"/>
        <v>#N/A</v>
      </c>
      <c r="P1487">
        <f>'Nom du personnage'!$U$51</f>
        <v>0</v>
      </c>
    </row>
    <row r="1488" spans="10:16">
      <c r="J1488" s="2"/>
      <c r="K1488" s="2"/>
      <c r="M1488">
        <f t="shared" si="130"/>
        <v>0</v>
      </c>
      <c r="N1488" t="e">
        <f t="shared" si="129"/>
        <v>#N/A</v>
      </c>
      <c r="O1488" t="e">
        <f t="shared" si="131"/>
        <v>#N/A</v>
      </c>
      <c r="P1488">
        <f>'Nom du personnage'!$U$51</f>
        <v>0</v>
      </c>
    </row>
    <row r="1489" spans="10:16">
      <c r="J1489" s="2"/>
      <c r="K1489" s="2"/>
      <c r="M1489">
        <f t="shared" si="130"/>
        <v>0</v>
      </c>
      <c r="N1489" t="e">
        <f t="shared" si="129"/>
        <v>#N/A</v>
      </c>
      <c r="O1489" t="e">
        <f t="shared" si="131"/>
        <v>#N/A</v>
      </c>
      <c r="P1489">
        <f>'Nom du personnage'!$U$51</f>
        <v>0</v>
      </c>
    </row>
    <row r="1490" spans="10:16">
      <c r="J1490" s="2"/>
      <c r="K1490" s="2"/>
      <c r="M1490">
        <f t="shared" si="130"/>
        <v>0</v>
      </c>
      <c r="N1490" t="e">
        <f t="shared" si="129"/>
        <v>#N/A</v>
      </c>
      <c r="O1490" t="e">
        <f t="shared" si="131"/>
        <v>#N/A</v>
      </c>
      <c r="P1490">
        <f>'Nom du personnage'!$U$51</f>
        <v>0</v>
      </c>
    </row>
    <row r="1491" spans="10:16">
      <c r="J1491" s="2"/>
      <c r="K1491" s="2"/>
      <c r="M1491">
        <f t="shared" si="130"/>
        <v>0</v>
      </c>
      <c r="N1491" t="e">
        <f t="shared" si="129"/>
        <v>#N/A</v>
      </c>
      <c r="O1491" t="e">
        <f t="shared" si="131"/>
        <v>#N/A</v>
      </c>
      <c r="P1491">
        <f>'Nom du personnage'!$U$51</f>
        <v>0</v>
      </c>
    </row>
    <row r="1492" spans="10:16">
      <c r="J1492" s="2"/>
      <c r="K1492" s="2"/>
      <c r="M1492">
        <f t="shared" si="130"/>
        <v>0</v>
      </c>
      <c r="N1492" t="e">
        <f t="shared" si="129"/>
        <v>#N/A</v>
      </c>
      <c r="O1492" t="e">
        <f t="shared" si="131"/>
        <v>#N/A</v>
      </c>
      <c r="P1492">
        <f>'Nom du personnage'!$U$51</f>
        <v>0</v>
      </c>
    </row>
    <row r="1493" spans="10:16">
      <c r="J1493" s="2"/>
      <c r="K1493" s="2"/>
      <c r="M1493">
        <f t="shared" si="130"/>
        <v>0</v>
      </c>
      <c r="N1493" t="e">
        <f t="shared" si="129"/>
        <v>#N/A</v>
      </c>
      <c r="O1493" t="e">
        <f t="shared" si="131"/>
        <v>#N/A</v>
      </c>
      <c r="P1493">
        <f>'Nom du personnage'!$U$51</f>
        <v>0</v>
      </c>
    </row>
    <row r="1494" spans="10:16">
      <c r="J1494" s="2"/>
      <c r="K1494" s="2"/>
      <c r="M1494">
        <f t="shared" si="130"/>
        <v>0</v>
      </c>
      <c r="N1494" t="e">
        <f t="shared" si="129"/>
        <v>#N/A</v>
      </c>
      <c r="O1494" t="e">
        <f t="shared" si="131"/>
        <v>#N/A</v>
      </c>
      <c r="P1494">
        <f>'Nom du personnage'!$U$51</f>
        <v>0</v>
      </c>
    </row>
    <row r="1495" spans="10:16">
      <c r="J1495" s="2"/>
      <c r="K1495" s="2"/>
      <c r="M1495">
        <f t="shared" si="130"/>
        <v>0</v>
      </c>
      <c r="N1495" t="e">
        <f t="shared" si="129"/>
        <v>#N/A</v>
      </c>
      <c r="O1495" t="e">
        <f t="shared" si="131"/>
        <v>#N/A</v>
      </c>
      <c r="P1495">
        <f>'Nom du personnage'!$U$51</f>
        <v>0</v>
      </c>
    </row>
    <row r="1496" spans="10:16">
      <c r="J1496" s="2"/>
      <c r="K1496" s="2"/>
      <c r="M1496">
        <f t="shared" si="130"/>
        <v>0</v>
      </c>
      <c r="N1496" t="e">
        <f t="shared" si="129"/>
        <v>#N/A</v>
      </c>
      <c r="O1496" t="e">
        <f t="shared" si="131"/>
        <v>#N/A</v>
      </c>
      <c r="P1496">
        <f>'Nom du personnage'!$U$51</f>
        <v>0</v>
      </c>
    </row>
    <row r="1497" spans="10:16">
      <c r="J1497" s="2"/>
      <c r="K1497" s="2"/>
      <c r="M1497">
        <f t="shared" si="130"/>
        <v>0</v>
      </c>
      <c r="N1497" t="e">
        <f t="shared" si="129"/>
        <v>#N/A</v>
      </c>
      <c r="O1497" t="e">
        <f t="shared" si="131"/>
        <v>#N/A</v>
      </c>
      <c r="P1497">
        <f>'Nom du personnage'!$U$51</f>
        <v>0</v>
      </c>
    </row>
    <row r="1498" spans="10:16">
      <c r="J1498" s="2"/>
      <c r="K1498" s="2"/>
      <c r="M1498">
        <f t="shared" si="130"/>
        <v>0</v>
      </c>
      <c r="N1498" t="e">
        <f t="shared" si="129"/>
        <v>#N/A</v>
      </c>
      <c r="O1498" t="e">
        <f t="shared" si="131"/>
        <v>#N/A</v>
      </c>
      <c r="P1498">
        <f>'Nom du personnage'!$U$51</f>
        <v>0</v>
      </c>
    </row>
    <row r="1499" spans="10:16">
      <c r="J1499" s="2"/>
      <c r="K1499" s="2"/>
      <c r="M1499">
        <f t="shared" si="130"/>
        <v>0</v>
      </c>
      <c r="N1499" t="e">
        <f t="shared" si="129"/>
        <v>#N/A</v>
      </c>
      <c r="O1499" t="e">
        <f t="shared" si="131"/>
        <v>#N/A</v>
      </c>
      <c r="P1499">
        <f>'Nom du personnage'!$U$51</f>
        <v>0</v>
      </c>
    </row>
    <row r="1500" spans="10:16">
      <c r="J1500" s="2"/>
      <c r="K1500" s="2"/>
      <c r="M1500">
        <f t="shared" si="130"/>
        <v>0</v>
      </c>
      <c r="N1500" t="e">
        <f t="shared" ref="N1500:N1563" si="132">VLOOKUP(M1500,H1500:J1557,2,FALSE)</f>
        <v>#N/A</v>
      </c>
      <c r="O1500" t="e">
        <f t="shared" si="131"/>
        <v>#N/A</v>
      </c>
      <c r="P1500">
        <f>'Nom du personnage'!$U$51</f>
        <v>0</v>
      </c>
    </row>
    <row r="1501" spans="10:16">
      <c r="J1501" s="2"/>
      <c r="K1501" s="2"/>
      <c r="M1501">
        <f t="shared" si="130"/>
        <v>0</v>
      </c>
      <c r="N1501" t="e">
        <f t="shared" si="132"/>
        <v>#N/A</v>
      </c>
      <c r="O1501" t="e">
        <f t="shared" si="131"/>
        <v>#N/A</v>
      </c>
      <c r="P1501">
        <f>'Nom du personnage'!$U$51</f>
        <v>0</v>
      </c>
    </row>
    <row r="1502" spans="10:16">
      <c r="J1502" s="2"/>
      <c r="K1502" s="2"/>
      <c r="M1502">
        <f t="shared" ref="M1502:M1565" si="133">IF(P1502=J1502,H1502,)</f>
        <v>0</v>
      </c>
      <c r="N1502" t="e">
        <f t="shared" si="132"/>
        <v>#N/A</v>
      </c>
      <c r="O1502" t="e">
        <f t="shared" si="131"/>
        <v>#N/A</v>
      </c>
      <c r="P1502">
        <f>'Nom du personnage'!$U$51</f>
        <v>0</v>
      </c>
    </row>
    <row r="1503" spans="10:16">
      <c r="J1503" s="2"/>
      <c r="K1503" s="2"/>
      <c r="M1503">
        <f t="shared" si="133"/>
        <v>0</v>
      </c>
      <c r="N1503" t="e">
        <f t="shared" si="132"/>
        <v>#N/A</v>
      </c>
      <c r="O1503" t="e">
        <f t="shared" si="131"/>
        <v>#N/A</v>
      </c>
      <c r="P1503">
        <f>'Nom du personnage'!$U$51</f>
        <v>0</v>
      </c>
    </row>
    <row r="1504" spans="10:16">
      <c r="J1504" s="2"/>
      <c r="K1504" s="2"/>
      <c r="M1504">
        <f t="shared" si="133"/>
        <v>0</v>
      </c>
      <c r="N1504" t="e">
        <f t="shared" si="132"/>
        <v>#N/A</v>
      </c>
      <c r="O1504" t="e">
        <f t="shared" si="131"/>
        <v>#N/A</v>
      </c>
      <c r="P1504">
        <f>'Nom du personnage'!$U$51</f>
        <v>0</v>
      </c>
    </row>
    <row r="1505" spans="10:16">
      <c r="J1505" s="2"/>
      <c r="K1505" s="2"/>
      <c r="M1505">
        <f t="shared" si="133"/>
        <v>0</v>
      </c>
      <c r="N1505" t="e">
        <f t="shared" si="132"/>
        <v>#N/A</v>
      </c>
      <c r="O1505" t="e">
        <f t="shared" si="131"/>
        <v>#N/A</v>
      </c>
      <c r="P1505">
        <f>'Nom du personnage'!$U$51</f>
        <v>0</v>
      </c>
    </row>
    <row r="1506" spans="10:16">
      <c r="J1506" s="2"/>
      <c r="K1506" s="2"/>
      <c r="M1506">
        <f t="shared" si="133"/>
        <v>0</v>
      </c>
      <c r="N1506" t="e">
        <f t="shared" si="132"/>
        <v>#N/A</v>
      </c>
      <c r="O1506" t="e">
        <f t="shared" si="131"/>
        <v>#N/A</v>
      </c>
      <c r="P1506">
        <f>'Nom du personnage'!$U$51</f>
        <v>0</v>
      </c>
    </row>
    <row r="1507" spans="10:16">
      <c r="J1507" s="2"/>
      <c r="K1507" s="2"/>
      <c r="M1507">
        <f t="shared" si="133"/>
        <v>0</v>
      </c>
      <c r="N1507" t="e">
        <f t="shared" si="132"/>
        <v>#N/A</v>
      </c>
      <c r="O1507" t="e">
        <f t="shared" si="131"/>
        <v>#N/A</v>
      </c>
      <c r="P1507">
        <f>'Nom du personnage'!$U$51</f>
        <v>0</v>
      </c>
    </row>
    <row r="1508" spans="10:16">
      <c r="J1508" s="2"/>
      <c r="K1508" s="2"/>
      <c r="M1508">
        <f t="shared" si="133"/>
        <v>0</v>
      </c>
      <c r="N1508" t="e">
        <f t="shared" si="132"/>
        <v>#N/A</v>
      </c>
      <c r="O1508" t="e">
        <f t="shared" si="131"/>
        <v>#N/A</v>
      </c>
      <c r="P1508">
        <f>'Nom du personnage'!$U$51</f>
        <v>0</v>
      </c>
    </row>
    <row r="1509" spans="10:16">
      <c r="J1509" s="2"/>
      <c r="K1509" s="2"/>
      <c r="M1509">
        <f t="shared" si="133"/>
        <v>0</v>
      </c>
      <c r="N1509" t="e">
        <f t="shared" si="132"/>
        <v>#N/A</v>
      </c>
      <c r="O1509" t="e">
        <f t="shared" si="131"/>
        <v>#N/A</v>
      </c>
      <c r="P1509">
        <f>'Nom du personnage'!$U$51</f>
        <v>0</v>
      </c>
    </row>
    <row r="1510" spans="10:16">
      <c r="J1510" s="2"/>
      <c r="K1510" s="2"/>
      <c r="M1510">
        <f t="shared" si="133"/>
        <v>0</v>
      </c>
      <c r="N1510" t="e">
        <f t="shared" si="132"/>
        <v>#N/A</v>
      </c>
      <c r="O1510" t="e">
        <f t="shared" si="131"/>
        <v>#N/A</v>
      </c>
      <c r="P1510">
        <f>'Nom du personnage'!$U$51</f>
        <v>0</v>
      </c>
    </row>
    <row r="1511" spans="10:16">
      <c r="J1511" s="2"/>
      <c r="K1511" s="2"/>
      <c r="M1511">
        <f t="shared" si="133"/>
        <v>0</v>
      </c>
      <c r="N1511" t="e">
        <f t="shared" si="132"/>
        <v>#N/A</v>
      </c>
      <c r="O1511" t="e">
        <f t="shared" si="131"/>
        <v>#N/A</v>
      </c>
      <c r="P1511">
        <f>'Nom du personnage'!$U$51</f>
        <v>0</v>
      </c>
    </row>
    <row r="1512" spans="10:16">
      <c r="J1512" s="2"/>
      <c r="K1512" s="2"/>
      <c r="M1512">
        <f t="shared" si="133"/>
        <v>0</v>
      </c>
      <c r="N1512" t="e">
        <f t="shared" si="132"/>
        <v>#N/A</v>
      </c>
      <c r="O1512" t="e">
        <f t="shared" si="131"/>
        <v>#N/A</v>
      </c>
      <c r="P1512">
        <f>'Nom du personnage'!$U$51</f>
        <v>0</v>
      </c>
    </row>
    <row r="1513" spans="10:16">
      <c r="J1513" s="2"/>
      <c r="K1513" s="2"/>
      <c r="M1513">
        <f t="shared" si="133"/>
        <v>0</v>
      </c>
      <c r="N1513" t="e">
        <f t="shared" si="132"/>
        <v>#N/A</v>
      </c>
      <c r="O1513" t="e">
        <f t="shared" si="131"/>
        <v>#N/A</v>
      </c>
      <c r="P1513">
        <f>'Nom du personnage'!$U$51</f>
        <v>0</v>
      </c>
    </row>
    <row r="1514" spans="10:16">
      <c r="J1514" s="2"/>
      <c r="K1514" s="2"/>
      <c r="M1514">
        <f t="shared" si="133"/>
        <v>0</v>
      </c>
      <c r="N1514" t="e">
        <f t="shared" si="132"/>
        <v>#N/A</v>
      </c>
      <c r="O1514" t="e">
        <f t="shared" si="131"/>
        <v>#N/A</v>
      </c>
      <c r="P1514">
        <f>'Nom du personnage'!$U$51</f>
        <v>0</v>
      </c>
    </row>
    <row r="1515" spans="10:16">
      <c r="J1515" s="2"/>
      <c r="K1515" s="2"/>
      <c r="M1515">
        <f t="shared" si="133"/>
        <v>0</v>
      </c>
      <c r="N1515" t="e">
        <f t="shared" si="132"/>
        <v>#N/A</v>
      </c>
      <c r="O1515" t="e">
        <f t="shared" si="131"/>
        <v>#N/A</v>
      </c>
      <c r="P1515">
        <f>'Nom du personnage'!$U$51</f>
        <v>0</v>
      </c>
    </row>
    <row r="1516" spans="10:16">
      <c r="J1516" s="2"/>
      <c r="K1516" s="2"/>
      <c r="M1516">
        <f t="shared" si="133"/>
        <v>0</v>
      </c>
      <c r="N1516" t="e">
        <f t="shared" si="132"/>
        <v>#N/A</v>
      </c>
      <c r="O1516" t="e">
        <f t="shared" si="131"/>
        <v>#N/A</v>
      </c>
      <c r="P1516">
        <f>'Nom du personnage'!$U$51</f>
        <v>0</v>
      </c>
    </row>
    <row r="1517" spans="10:16">
      <c r="J1517" s="2"/>
      <c r="K1517" s="2"/>
      <c r="M1517">
        <f t="shared" si="133"/>
        <v>0</v>
      </c>
      <c r="N1517" t="e">
        <f t="shared" si="132"/>
        <v>#N/A</v>
      </c>
      <c r="O1517" t="e">
        <f t="shared" si="131"/>
        <v>#N/A</v>
      </c>
      <c r="P1517">
        <f>'Nom du personnage'!$U$51</f>
        <v>0</v>
      </c>
    </row>
    <row r="1518" spans="10:16">
      <c r="J1518" s="2"/>
      <c r="K1518" s="2"/>
      <c r="M1518">
        <f t="shared" si="133"/>
        <v>0</v>
      </c>
      <c r="N1518" t="e">
        <f t="shared" si="132"/>
        <v>#N/A</v>
      </c>
      <c r="O1518" t="e">
        <f t="shared" si="131"/>
        <v>#N/A</v>
      </c>
      <c r="P1518">
        <f>'Nom du personnage'!$U$51</f>
        <v>0</v>
      </c>
    </row>
    <row r="1519" spans="10:16">
      <c r="J1519" s="2"/>
      <c r="K1519" s="2"/>
      <c r="M1519">
        <f t="shared" si="133"/>
        <v>0</v>
      </c>
      <c r="N1519" t="e">
        <f t="shared" si="132"/>
        <v>#N/A</v>
      </c>
      <c r="O1519" t="e">
        <f t="shared" si="131"/>
        <v>#N/A</v>
      </c>
      <c r="P1519">
        <f>'Nom du personnage'!$U$51</f>
        <v>0</v>
      </c>
    </row>
    <row r="1520" spans="10:16">
      <c r="J1520" s="2"/>
      <c r="K1520" s="2"/>
      <c r="M1520">
        <f t="shared" si="133"/>
        <v>0</v>
      </c>
      <c r="N1520" t="e">
        <f t="shared" si="132"/>
        <v>#N/A</v>
      </c>
      <c r="O1520" t="e">
        <f t="shared" si="131"/>
        <v>#N/A</v>
      </c>
      <c r="P1520">
        <f>'Nom du personnage'!$U$51</f>
        <v>0</v>
      </c>
    </row>
    <row r="1521" spans="10:16">
      <c r="J1521" s="2"/>
      <c r="K1521" s="2"/>
      <c r="M1521">
        <f t="shared" si="133"/>
        <v>0</v>
      </c>
      <c r="N1521" t="e">
        <f t="shared" si="132"/>
        <v>#N/A</v>
      </c>
      <c r="O1521" t="e">
        <f t="shared" si="131"/>
        <v>#N/A</v>
      </c>
      <c r="P1521">
        <f>'Nom du personnage'!$U$51</f>
        <v>0</v>
      </c>
    </row>
    <row r="1522" spans="10:16">
      <c r="J1522" s="2"/>
      <c r="K1522" s="2"/>
      <c r="M1522">
        <f t="shared" si="133"/>
        <v>0</v>
      </c>
      <c r="N1522" t="e">
        <f t="shared" si="132"/>
        <v>#N/A</v>
      </c>
      <c r="O1522" t="e">
        <f t="shared" si="131"/>
        <v>#N/A</v>
      </c>
      <c r="P1522">
        <f>'Nom du personnage'!$U$51</f>
        <v>0</v>
      </c>
    </row>
    <row r="1523" spans="10:16">
      <c r="J1523" s="2"/>
      <c r="K1523" s="2"/>
      <c r="M1523">
        <f t="shared" si="133"/>
        <v>0</v>
      </c>
      <c r="N1523" t="e">
        <f t="shared" si="132"/>
        <v>#N/A</v>
      </c>
      <c r="O1523" t="e">
        <f t="shared" si="131"/>
        <v>#N/A</v>
      </c>
      <c r="P1523">
        <f>'Nom du personnage'!$U$51</f>
        <v>0</v>
      </c>
    </row>
    <row r="1524" spans="10:16">
      <c r="J1524" s="2"/>
      <c r="K1524" s="2"/>
      <c r="M1524">
        <f t="shared" si="133"/>
        <v>0</v>
      </c>
      <c r="N1524" t="e">
        <f t="shared" si="132"/>
        <v>#N/A</v>
      </c>
      <c r="O1524" t="e">
        <f t="shared" si="131"/>
        <v>#N/A</v>
      </c>
      <c r="P1524">
        <f>'Nom du personnage'!$U$51</f>
        <v>0</v>
      </c>
    </row>
    <row r="1525" spans="10:16">
      <c r="J1525" s="2"/>
      <c r="K1525" s="2"/>
      <c r="M1525">
        <f t="shared" si="133"/>
        <v>0</v>
      </c>
      <c r="N1525" t="e">
        <f t="shared" si="132"/>
        <v>#N/A</v>
      </c>
      <c r="O1525" t="e">
        <f t="shared" si="131"/>
        <v>#N/A</v>
      </c>
      <c r="P1525">
        <f>'Nom du personnage'!$U$51</f>
        <v>0</v>
      </c>
    </row>
    <row r="1526" spans="10:16">
      <c r="J1526" s="2"/>
      <c r="K1526" s="2"/>
      <c r="M1526">
        <f t="shared" si="133"/>
        <v>0</v>
      </c>
      <c r="N1526" t="e">
        <f t="shared" si="132"/>
        <v>#N/A</v>
      </c>
      <c r="O1526" t="e">
        <f t="shared" si="131"/>
        <v>#N/A</v>
      </c>
      <c r="P1526">
        <f>'Nom du personnage'!$U$51</f>
        <v>0</v>
      </c>
    </row>
    <row r="1527" spans="10:16">
      <c r="J1527" s="2"/>
      <c r="K1527" s="2"/>
      <c r="M1527">
        <f t="shared" si="133"/>
        <v>0</v>
      </c>
      <c r="N1527" t="e">
        <f t="shared" si="132"/>
        <v>#N/A</v>
      </c>
      <c r="O1527" t="e">
        <f t="shared" si="131"/>
        <v>#N/A</v>
      </c>
      <c r="P1527">
        <f>'Nom du personnage'!$U$51</f>
        <v>0</v>
      </c>
    </row>
    <row r="1528" spans="10:16">
      <c r="J1528" s="2"/>
      <c r="K1528" s="2"/>
      <c r="M1528">
        <f t="shared" si="133"/>
        <v>0</v>
      </c>
      <c r="N1528" t="e">
        <f t="shared" si="132"/>
        <v>#N/A</v>
      </c>
      <c r="O1528" t="e">
        <f t="shared" si="131"/>
        <v>#N/A</v>
      </c>
      <c r="P1528">
        <f>'Nom du personnage'!$U$51</f>
        <v>0</v>
      </c>
    </row>
    <row r="1529" spans="10:16">
      <c r="J1529" s="2"/>
      <c r="K1529" s="2"/>
      <c r="M1529">
        <f t="shared" si="133"/>
        <v>0</v>
      </c>
      <c r="N1529" t="e">
        <f t="shared" si="132"/>
        <v>#N/A</v>
      </c>
      <c r="O1529" t="e">
        <f t="shared" si="131"/>
        <v>#N/A</v>
      </c>
      <c r="P1529">
        <f>'Nom du personnage'!$U$51</f>
        <v>0</v>
      </c>
    </row>
    <row r="1530" spans="10:16">
      <c r="J1530" s="2"/>
      <c r="K1530" s="2"/>
      <c r="M1530">
        <f t="shared" si="133"/>
        <v>0</v>
      </c>
      <c r="N1530" t="e">
        <f t="shared" si="132"/>
        <v>#N/A</v>
      </c>
      <c r="O1530" t="e">
        <f t="shared" ref="O1530:O1593" si="134">VLOOKUP(M1530,H1530:J1587,2,FALSE)+1</f>
        <v>#N/A</v>
      </c>
      <c r="P1530">
        <f>'Nom du personnage'!$U$51</f>
        <v>0</v>
      </c>
    </row>
    <row r="1531" spans="10:16">
      <c r="J1531" s="2"/>
      <c r="K1531" s="2"/>
      <c r="M1531">
        <f t="shared" si="133"/>
        <v>0</v>
      </c>
      <c r="N1531" t="e">
        <f t="shared" si="132"/>
        <v>#N/A</v>
      </c>
      <c r="O1531" t="e">
        <f t="shared" si="134"/>
        <v>#N/A</v>
      </c>
      <c r="P1531">
        <f>'Nom du personnage'!$U$51</f>
        <v>0</v>
      </c>
    </row>
    <row r="1532" spans="10:16">
      <c r="J1532" s="2"/>
      <c r="K1532" s="2"/>
      <c r="M1532">
        <f t="shared" si="133"/>
        <v>0</v>
      </c>
      <c r="N1532" t="e">
        <f t="shared" si="132"/>
        <v>#N/A</v>
      </c>
      <c r="O1532" t="e">
        <f t="shared" si="134"/>
        <v>#N/A</v>
      </c>
      <c r="P1532">
        <f>'Nom du personnage'!$U$51</f>
        <v>0</v>
      </c>
    </row>
    <row r="1533" spans="10:16">
      <c r="J1533" s="2"/>
      <c r="K1533" s="2"/>
      <c r="M1533">
        <f t="shared" si="133"/>
        <v>0</v>
      </c>
      <c r="N1533" t="e">
        <f t="shared" si="132"/>
        <v>#N/A</v>
      </c>
      <c r="O1533" t="e">
        <f t="shared" si="134"/>
        <v>#N/A</v>
      </c>
      <c r="P1533">
        <f>'Nom du personnage'!$U$51</f>
        <v>0</v>
      </c>
    </row>
    <row r="1534" spans="10:16">
      <c r="J1534" s="2"/>
      <c r="K1534" s="2"/>
      <c r="M1534">
        <f t="shared" si="133"/>
        <v>0</v>
      </c>
      <c r="N1534" t="e">
        <f t="shared" si="132"/>
        <v>#N/A</v>
      </c>
      <c r="O1534" t="e">
        <f t="shared" si="134"/>
        <v>#N/A</v>
      </c>
      <c r="P1534">
        <f>'Nom du personnage'!$U$51</f>
        <v>0</v>
      </c>
    </row>
    <row r="1535" spans="10:16">
      <c r="J1535" s="2"/>
      <c r="K1535" s="2"/>
      <c r="M1535">
        <f t="shared" si="133"/>
        <v>0</v>
      </c>
      <c r="N1535" t="e">
        <f t="shared" si="132"/>
        <v>#N/A</v>
      </c>
      <c r="O1535" t="e">
        <f t="shared" si="134"/>
        <v>#N/A</v>
      </c>
      <c r="P1535">
        <f>'Nom du personnage'!$U$51</f>
        <v>0</v>
      </c>
    </row>
    <row r="1536" spans="10:16">
      <c r="J1536" s="2"/>
      <c r="K1536" s="2"/>
      <c r="M1536">
        <f t="shared" si="133"/>
        <v>0</v>
      </c>
      <c r="N1536" t="e">
        <f t="shared" si="132"/>
        <v>#N/A</v>
      </c>
      <c r="O1536" t="e">
        <f t="shared" si="134"/>
        <v>#N/A</v>
      </c>
      <c r="P1536">
        <f>'Nom du personnage'!$U$51</f>
        <v>0</v>
      </c>
    </row>
    <row r="1537" spans="10:16">
      <c r="J1537" s="2"/>
      <c r="K1537" s="2"/>
      <c r="M1537">
        <f t="shared" si="133"/>
        <v>0</v>
      </c>
      <c r="N1537" t="e">
        <f t="shared" si="132"/>
        <v>#N/A</v>
      </c>
      <c r="O1537" t="e">
        <f t="shared" si="134"/>
        <v>#N/A</v>
      </c>
      <c r="P1537">
        <f>'Nom du personnage'!$U$51</f>
        <v>0</v>
      </c>
    </row>
    <row r="1538" spans="10:16">
      <c r="J1538" s="2"/>
      <c r="K1538" s="2"/>
      <c r="M1538">
        <f t="shared" si="133"/>
        <v>0</v>
      </c>
      <c r="N1538" t="e">
        <f t="shared" si="132"/>
        <v>#N/A</v>
      </c>
      <c r="O1538" t="e">
        <f t="shared" si="134"/>
        <v>#N/A</v>
      </c>
      <c r="P1538">
        <f>'Nom du personnage'!$U$51</f>
        <v>0</v>
      </c>
    </row>
    <row r="1539" spans="10:16">
      <c r="J1539" s="2"/>
      <c r="K1539" s="2"/>
      <c r="M1539">
        <f t="shared" si="133"/>
        <v>0</v>
      </c>
      <c r="N1539" t="e">
        <f t="shared" si="132"/>
        <v>#N/A</v>
      </c>
      <c r="O1539" t="e">
        <f t="shared" si="134"/>
        <v>#N/A</v>
      </c>
      <c r="P1539">
        <f>'Nom du personnage'!$U$51</f>
        <v>0</v>
      </c>
    </row>
    <row r="1540" spans="10:16">
      <c r="J1540" s="2"/>
      <c r="K1540" s="2"/>
      <c r="M1540">
        <f t="shared" si="133"/>
        <v>0</v>
      </c>
      <c r="N1540" t="e">
        <f t="shared" si="132"/>
        <v>#N/A</v>
      </c>
      <c r="O1540" t="e">
        <f t="shared" si="134"/>
        <v>#N/A</v>
      </c>
      <c r="P1540">
        <f>'Nom du personnage'!$U$51</f>
        <v>0</v>
      </c>
    </row>
    <row r="1541" spans="10:16">
      <c r="J1541" s="2"/>
      <c r="K1541" s="2"/>
      <c r="M1541">
        <f t="shared" si="133"/>
        <v>0</v>
      </c>
      <c r="N1541" t="e">
        <f t="shared" si="132"/>
        <v>#N/A</v>
      </c>
      <c r="O1541" t="e">
        <f t="shared" si="134"/>
        <v>#N/A</v>
      </c>
      <c r="P1541">
        <f>'Nom du personnage'!$U$51</f>
        <v>0</v>
      </c>
    </row>
    <row r="1542" spans="10:16">
      <c r="J1542" s="2"/>
      <c r="K1542" s="2"/>
      <c r="M1542">
        <f t="shared" si="133"/>
        <v>0</v>
      </c>
      <c r="N1542" t="e">
        <f t="shared" si="132"/>
        <v>#N/A</v>
      </c>
      <c r="O1542" t="e">
        <f t="shared" si="134"/>
        <v>#N/A</v>
      </c>
      <c r="P1542">
        <f>'Nom du personnage'!$U$51</f>
        <v>0</v>
      </c>
    </row>
    <row r="1543" spans="10:16">
      <c r="J1543" s="2"/>
      <c r="K1543" s="2"/>
      <c r="M1543">
        <f t="shared" si="133"/>
        <v>0</v>
      </c>
      <c r="N1543" t="e">
        <f t="shared" si="132"/>
        <v>#N/A</v>
      </c>
      <c r="O1543" t="e">
        <f t="shared" si="134"/>
        <v>#N/A</v>
      </c>
      <c r="P1543">
        <f>'Nom du personnage'!$U$51</f>
        <v>0</v>
      </c>
    </row>
    <row r="1544" spans="10:16">
      <c r="J1544" s="2"/>
      <c r="K1544" s="2"/>
      <c r="M1544">
        <f t="shared" si="133"/>
        <v>0</v>
      </c>
      <c r="N1544" t="e">
        <f t="shared" si="132"/>
        <v>#N/A</v>
      </c>
      <c r="O1544" t="e">
        <f t="shared" si="134"/>
        <v>#N/A</v>
      </c>
      <c r="P1544">
        <f>'Nom du personnage'!$U$51</f>
        <v>0</v>
      </c>
    </row>
    <row r="1545" spans="10:16">
      <c r="J1545" s="2"/>
      <c r="K1545" s="2"/>
      <c r="M1545">
        <f t="shared" si="133"/>
        <v>0</v>
      </c>
      <c r="N1545" t="e">
        <f t="shared" si="132"/>
        <v>#N/A</v>
      </c>
      <c r="O1545" t="e">
        <f t="shared" si="134"/>
        <v>#N/A</v>
      </c>
      <c r="P1545">
        <f>'Nom du personnage'!$U$51</f>
        <v>0</v>
      </c>
    </row>
    <row r="1546" spans="10:16">
      <c r="J1546" s="2"/>
      <c r="K1546" s="2"/>
      <c r="M1546">
        <f t="shared" si="133"/>
        <v>0</v>
      </c>
      <c r="N1546" t="e">
        <f t="shared" si="132"/>
        <v>#N/A</v>
      </c>
      <c r="O1546" t="e">
        <f t="shared" si="134"/>
        <v>#N/A</v>
      </c>
      <c r="P1546">
        <f>'Nom du personnage'!$U$51</f>
        <v>0</v>
      </c>
    </row>
    <row r="1547" spans="10:16">
      <c r="J1547" s="2"/>
      <c r="K1547" s="2"/>
      <c r="M1547">
        <f t="shared" si="133"/>
        <v>0</v>
      </c>
      <c r="N1547" t="e">
        <f t="shared" si="132"/>
        <v>#N/A</v>
      </c>
      <c r="O1547" t="e">
        <f t="shared" si="134"/>
        <v>#N/A</v>
      </c>
      <c r="P1547">
        <f>'Nom du personnage'!$U$51</f>
        <v>0</v>
      </c>
    </row>
    <row r="1548" spans="10:16">
      <c r="J1548" s="2"/>
      <c r="K1548" s="2"/>
      <c r="M1548">
        <f t="shared" si="133"/>
        <v>0</v>
      </c>
      <c r="N1548" t="e">
        <f t="shared" si="132"/>
        <v>#N/A</v>
      </c>
      <c r="O1548" t="e">
        <f t="shared" si="134"/>
        <v>#N/A</v>
      </c>
      <c r="P1548">
        <f>'Nom du personnage'!$U$51</f>
        <v>0</v>
      </c>
    </row>
    <row r="1549" spans="10:16">
      <c r="J1549" s="2"/>
      <c r="K1549" s="2"/>
      <c r="M1549">
        <f t="shared" si="133"/>
        <v>0</v>
      </c>
      <c r="N1549" t="e">
        <f t="shared" si="132"/>
        <v>#N/A</v>
      </c>
      <c r="O1549" t="e">
        <f t="shared" si="134"/>
        <v>#N/A</v>
      </c>
      <c r="P1549">
        <f>'Nom du personnage'!$U$51</f>
        <v>0</v>
      </c>
    </row>
    <row r="1550" spans="10:16">
      <c r="J1550" s="2"/>
      <c r="K1550" s="2"/>
      <c r="M1550">
        <f t="shared" si="133"/>
        <v>0</v>
      </c>
      <c r="N1550" t="e">
        <f t="shared" si="132"/>
        <v>#N/A</v>
      </c>
      <c r="O1550" t="e">
        <f t="shared" si="134"/>
        <v>#N/A</v>
      </c>
      <c r="P1550">
        <f>'Nom du personnage'!$U$51</f>
        <v>0</v>
      </c>
    </row>
    <row r="1551" spans="10:16">
      <c r="J1551" s="2"/>
      <c r="K1551" s="2"/>
      <c r="M1551">
        <f t="shared" si="133"/>
        <v>0</v>
      </c>
      <c r="N1551" t="e">
        <f t="shared" si="132"/>
        <v>#N/A</v>
      </c>
      <c r="O1551" t="e">
        <f t="shared" si="134"/>
        <v>#N/A</v>
      </c>
      <c r="P1551">
        <f>'Nom du personnage'!$U$51</f>
        <v>0</v>
      </c>
    </row>
    <row r="1552" spans="10:16">
      <c r="J1552" s="2"/>
      <c r="K1552" s="2"/>
      <c r="M1552">
        <f t="shared" si="133"/>
        <v>0</v>
      </c>
      <c r="N1552" t="e">
        <f t="shared" si="132"/>
        <v>#N/A</v>
      </c>
      <c r="O1552" t="e">
        <f t="shared" si="134"/>
        <v>#N/A</v>
      </c>
      <c r="P1552">
        <f>'Nom du personnage'!$U$51</f>
        <v>0</v>
      </c>
    </row>
    <row r="1553" spans="10:16">
      <c r="J1553" s="2"/>
      <c r="K1553" s="2"/>
      <c r="M1553">
        <f t="shared" si="133"/>
        <v>0</v>
      </c>
      <c r="N1553" t="e">
        <f t="shared" si="132"/>
        <v>#N/A</v>
      </c>
      <c r="O1553" t="e">
        <f t="shared" si="134"/>
        <v>#N/A</v>
      </c>
      <c r="P1553">
        <f>'Nom du personnage'!$U$51</f>
        <v>0</v>
      </c>
    </row>
    <row r="1554" spans="10:16">
      <c r="J1554" s="2"/>
      <c r="K1554" s="2"/>
      <c r="M1554">
        <f t="shared" si="133"/>
        <v>0</v>
      </c>
      <c r="N1554" t="e">
        <f t="shared" si="132"/>
        <v>#N/A</v>
      </c>
      <c r="O1554" t="e">
        <f t="shared" si="134"/>
        <v>#N/A</v>
      </c>
      <c r="P1554">
        <f>'Nom du personnage'!$U$51</f>
        <v>0</v>
      </c>
    </row>
    <row r="1555" spans="10:16">
      <c r="J1555" s="2"/>
      <c r="K1555" s="2"/>
      <c r="M1555">
        <f t="shared" si="133"/>
        <v>0</v>
      </c>
      <c r="N1555" t="e">
        <f t="shared" si="132"/>
        <v>#N/A</v>
      </c>
      <c r="O1555" t="e">
        <f t="shared" si="134"/>
        <v>#N/A</v>
      </c>
      <c r="P1555">
        <f>'Nom du personnage'!$U$51</f>
        <v>0</v>
      </c>
    </row>
    <row r="1556" spans="10:16">
      <c r="J1556" s="2"/>
      <c r="K1556" s="2"/>
      <c r="M1556">
        <f t="shared" si="133"/>
        <v>0</v>
      </c>
      <c r="N1556" t="e">
        <f t="shared" si="132"/>
        <v>#N/A</v>
      </c>
      <c r="O1556" t="e">
        <f t="shared" si="134"/>
        <v>#N/A</v>
      </c>
      <c r="P1556">
        <f>'Nom du personnage'!$U$51</f>
        <v>0</v>
      </c>
    </row>
    <row r="1557" spans="10:16">
      <c r="J1557" s="2"/>
      <c r="K1557" s="2"/>
      <c r="M1557">
        <f t="shared" si="133"/>
        <v>0</v>
      </c>
      <c r="N1557" t="e">
        <f t="shared" si="132"/>
        <v>#N/A</v>
      </c>
      <c r="O1557" t="e">
        <f t="shared" si="134"/>
        <v>#N/A</v>
      </c>
      <c r="P1557">
        <f>'Nom du personnage'!$U$51</f>
        <v>0</v>
      </c>
    </row>
    <row r="1558" spans="10:16">
      <c r="J1558" s="2"/>
      <c r="K1558" s="2"/>
      <c r="M1558">
        <f t="shared" si="133"/>
        <v>0</v>
      </c>
      <c r="N1558" t="e">
        <f t="shared" si="132"/>
        <v>#N/A</v>
      </c>
      <c r="O1558" t="e">
        <f t="shared" si="134"/>
        <v>#N/A</v>
      </c>
      <c r="P1558">
        <f>'Nom du personnage'!$U$51</f>
        <v>0</v>
      </c>
    </row>
    <row r="1559" spans="10:16">
      <c r="J1559" s="2"/>
      <c r="K1559" s="2"/>
      <c r="M1559">
        <f t="shared" si="133"/>
        <v>0</v>
      </c>
      <c r="N1559" t="e">
        <f t="shared" si="132"/>
        <v>#N/A</v>
      </c>
      <c r="O1559" t="e">
        <f t="shared" si="134"/>
        <v>#N/A</v>
      </c>
      <c r="P1559">
        <f>'Nom du personnage'!$U$51</f>
        <v>0</v>
      </c>
    </row>
    <row r="1560" spans="10:16">
      <c r="J1560" s="2"/>
      <c r="K1560" s="2"/>
      <c r="M1560">
        <f t="shared" si="133"/>
        <v>0</v>
      </c>
      <c r="N1560" t="e">
        <f t="shared" si="132"/>
        <v>#N/A</v>
      </c>
      <c r="O1560" t="e">
        <f t="shared" si="134"/>
        <v>#N/A</v>
      </c>
      <c r="P1560">
        <f>'Nom du personnage'!$U$51</f>
        <v>0</v>
      </c>
    </row>
    <row r="1561" spans="10:16">
      <c r="J1561" s="2"/>
      <c r="K1561" s="2"/>
      <c r="M1561">
        <f t="shared" si="133"/>
        <v>0</v>
      </c>
      <c r="N1561" t="e">
        <f t="shared" si="132"/>
        <v>#N/A</v>
      </c>
      <c r="O1561" t="e">
        <f t="shared" si="134"/>
        <v>#N/A</v>
      </c>
      <c r="P1561">
        <f>'Nom du personnage'!$U$51</f>
        <v>0</v>
      </c>
    </row>
    <row r="1562" spans="10:16">
      <c r="J1562" s="2"/>
      <c r="K1562" s="2"/>
      <c r="M1562">
        <f t="shared" si="133"/>
        <v>0</v>
      </c>
      <c r="N1562" t="e">
        <f t="shared" si="132"/>
        <v>#N/A</v>
      </c>
      <c r="O1562" t="e">
        <f t="shared" si="134"/>
        <v>#N/A</v>
      </c>
      <c r="P1562">
        <f>'Nom du personnage'!$U$51</f>
        <v>0</v>
      </c>
    </row>
    <row r="1563" spans="10:16">
      <c r="J1563" s="2"/>
      <c r="K1563" s="2"/>
      <c r="M1563">
        <f t="shared" si="133"/>
        <v>0</v>
      </c>
      <c r="N1563" t="e">
        <f t="shared" si="132"/>
        <v>#N/A</v>
      </c>
      <c r="O1563" t="e">
        <f t="shared" si="134"/>
        <v>#N/A</v>
      </c>
      <c r="P1563">
        <f>'Nom du personnage'!$U$51</f>
        <v>0</v>
      </c>
    </row>
    <row r="1564" spans="10:16">
      <c r="J1564" s="2"/>
      <c r="K1564" s="2"/>
      <c r="M1564">
        <f t="shared" si="133"/>
        <v>0</v>
      </c>
      <c r="N1564" t="e">
        <f t="shared" ref="N1564:N1627" si="135">VLOOKUP(M1564,H1564:J1621,2,FALSE)</f>
        <v>#N/A</v>
      </c>
      <c r="O1564" t="e">
        <f t="shared" si="134"/>
        <v>#N/A</v>
      </c>
      <c r="P1564">
        <f>'Nom du personnage'!$U$51</f>
        <v>0</v>
      </c>
    </row>
    <row r="1565" spans="10:16">
      <c r="J1565" s="2"/>
      <c r="K1565" s="2"/>
      <c r="M1565">
        <f t="shared" si="133"/>
        <v>0</v>
      </c>
      <c r="N1565" t="e">
        <f t="shared" si="135"/>
        <v>#N/A</v>
      </c>
      <c r="O1565" t="e">
        <f t="shared" si="134"/>
        <v>#N/A</v>
      </c>
      <c r="P1565">
        <f>'Nom du personnage'!$U$51</f>
        <v>0</v>
      </c>
    </row>
    <row r="1566" spans="10:16">
      <c r="J1566" s="2"/>
      <c r="K1566" s="2"/>
      <c r="M1566">
        <f t="shared" ref="M1566:M1629" si="136">IF(P1566=J1566,H1566,)</f>
        <v>0</v>
      </c>
      <c r="N1566" t="e">
        <f t="shared" si="135"/>
        <v>#N/A</v>
      </c>
      <c r="O1566" t="e">
        <f t="shared" si="134"/>
        <v>#N/A</v>
      </c>
      <c r="P1566">
        <f>'Nom du personnage'!$U$51</f>
        <v>0</v>
      </c>
    </row>
    <row r="1567" spans="10:16">
      <c r="J1567" s="2"/>
      <c r="K1567" s="2"/>
      <c r="M1567">
        <f t="shared" si="136"/>
        <v>0</v>
      </c>
      <c r="N1567" t="e">
        <f t="shared" si="135"/>
        <v>#N/A</v>
      </c>
      <c r="O1567" t="e">
        <f t="shared" si="134"/>
        <v>#N/A</v>
      </c>
      <c r="P1567">
        <f>'Nom du personnage'!$U$51</f>
        <v>0</v>
      </c>
    </row>
    <row r="1568" spans="10:16">
      <c r="J1568" s="2"/>
      <c r="K1568" s="2"/>
      <c r="M1568">
        <f t="shared" si="136"/>
        <v>0</v>
      </c>
      <c r="N1568" t="e">
        <f t="shared" si="135"/>
        <v>#N/A</v>
      </c>
      <c r="O1568" t="e">
        <f t="shared" si="134"/>
        <v>#N/A</v>
      </c>
      <c r="P1568">
        <f>'Nom du personnage'!$U$51</f>
        <v>0</v>
      </c>
    </row>
    <row r="1569" spans="10:16">
      <c r="J1569" s="2"/>
      <c r="K1569" s="2"/>
      <c r="M1569">
        <f t="shared" si="136"/>
        <v>0</v>
      </c>
      <c r="N1569" t="e">
        <f t="shared" si="135"/>
        <v>#N/A</v>
      </c>
      <c r="O1569" t="e">
        <f t="shared" si="134"/>
        <v>#N/A</v>
      </c>
      <c r="P1569">
        <f>'Nom du personnage'!$U$51</f>
        <v>0</v>
      </c>
    </row>
    <row r="1570" spans="10:16">
      <c r="J1570" s="2"/>
      <c r="K1570" s="2"/>
      <c r="M1570">
        <f t="shared" si="136"/>
        <v>0</v>
      </c>
      <c r="N1570" t="e">
        <f t="shared" si="135"/>
        <v>#N/A</v>
      </c>
      <c r="O1570" t="e">
        <f t="shared" si="134"/>
        <v>#N/A</v>
      </c>
      <c r="P1570">
        <f>'Nom du personnage'!$U$51</f>
        <v>0</v>
      </c>
    </row>
    <row r="1571" spans="10:16">
      <c r="J1571" s="2"/>
      <c r="K1571" s="2"/>
      <c r="M1571">
        <f t="shared" si="136"/>
        <v>0</v>
      </c>
      <c r="N1571" t="e">
        <f t="shared" si="135"/>
        <v>#N/A</v>
      </c>
      <c r="O1571" t="e">
        <f t="shared" si="134"/>
        <v>#N/A</v>
      </c>
      <c r="P1571">
        <f>'Nom du personnage'!$U$51</f>
        <v>0</v>
      </c>
    </row>
    <row r="1572" spans="10:16">
      <c r="J1572" s="2"/>
      <c r="K1572" s="2"/>
      <c r="M1572">
        <f t="shared" si="136"/>
        <v>0</v>
      </c>
      <c r="N1572" t="e">
        <f t="shared" si="135"/>
        <v>#N/A</v>
      </c>
      <c r="O1572" t="e">
        <f t="shared" si="134"/>
        <v>#N/A</v>
      </c>
      <c r="P1572">
        <f>'Nom du personnage'!$U$51</f>
        <v>0</v>
      </c>
    </row>
    <row r="1573" spans="10:16">
      <c r="J1573" s="2"/>
      <c r="K1573" s="2"/>
      <c r="M1573">
        <f t="shared" si="136"/>
        <v>0</v>
      </c>
      <c r="N1573" t="e">
        <f t="shared" si="135"/>
        <v>#N/A</v>
      </c>
      <c r="O1573" t="e">
        <f t="shared" si="134"/>
        <v>#N/A</v>
      </c>
      <c r="P1573">
        <f>'Nom du personnage'!$U$51</f>
        <v>0</v>
      </c>
    </row>
    <row r="1574" spans="10:16">
      <c r="J1574" s="2"/>
      <c r="K1574" s="2"/>
      <c r="M1574">
        <f t="shared" si="136"/>
        <v>0</v>
      </c>
      <c r="N1574" t="e">
        <f t="shared" si="135"/>
        <v>#N/A</v>
      </c>
      <c r="O1574" t="e">
        <f t="shared" si="134"/>
        <v>#N/A</v>
      </c>
      <c r="P1574">
        <f>'Nom du personnage'!$U$51</f>
        <v>0</v>
      </c>
    </row>
    <row r="1575" spans="10:16">
      <c r="J1575" s="2"/>
      <c r="K1575" s="2"/>
      <c r="M1575">
        <f t="shared" si="136"/>
        <v>0</v>
      </c>
      <c r="N1575" t="e">
        <f t="shared" si="135"/>
        <v>#N/A</v>
      </c>
      <c r="O1575" t="e">
        <f t="shared" si="134"/>
        <v>#N/A</v>
      </c>
      <c r="P1575">
        <f>'Nom du personnage'!$U$51</f>
        <v>0</v>
      </c>
    </row>
    <row r="1576" spans="10:16">
      <c r="J1576" s="2"/>
      <c r="K1576" s="2"/>
      <c r="M1576">
        <f t="shared" si="136"/>
        <v>0</v>
      </c>
      <c r="N1576" t="e">
        <f t="shared" si="135"/>
        <v>#N/A</v>
      </c>
      <c r="O1576" t="e">
        <f t="shared" si="134"/>
        <v>#N/A</v>
      </c>
      <c r="P1576">
        <f>'Nom du personnage'!$U$51</f>
        <v>0</v>
      </c>
    </row>
    <row r="1577" spans="10:16">
      <c r="J1577" s="2"/>
      <c r="K1577" s="2"/>
      <c r="M1577">
        <f t="shared" si="136"/>
        <v>0</v>
      </c>
      <c r="N1577" t="e">
        <f t="shared" si="135"/>
        <v>#N/A</v>
      </c>
      <c r="O1577" t="e">
        <f t="shared" si="134"/>
        <v>#N/A</v>
      </c>
      <c r="P1577">
        <f>'Nom du personnage'!$U$51</f>
        <v>0</v>
      </c>
    </row>
    <row r="1578" spans="10:16">
      <c r="J1578" s="2"/>
      <c r="K1578" s="2"/>
      <c r="M1578">
        <f t="shared" si="136"/>
        <v>0</v>
      </c>
      <c r="N1578" t="e">
        <f t="shared" si="135"/>
        <v>#N/A</v>
      </c>
      <c r="O1578" t="e">
        <f t="shared" si="134"/>
        <v>#N/A</v>
      </c>
      <c r="P1578">
        <f>'Nom du personnage'!$U$51</f>
        <v>0</v>
      </c>
    </row>
    <row r="1579" spans="10:16">
      <c r="J1579" s="2"/>
      <c r="K1579" s="2"/>
      <c r="M1579">
        <f t="shared" si="136"/>
        <v>0</v>
      </c>
      <c r="N1579" t="e">
        <f t="shared" si="135"/>
        <v>#N/A</v>
      </c>
      <c r="O1579" t="e">
        <f t="shared" si="134"/>
        <v>#N/A</v>
      </c>
      <c r="P1579">
        <f>'Nom du personnage'!$U$51</f>
        <v>0</v>
      </c>
    </row>
    <row r="1580" spans="10:16">
      <c r="J1580" s="2"/>
      <c r="K1580" s="2"/>
      <c r="M1580">
        <f t="shared" si="136"/>
        <v>0</v>
      </c>
      <c r="N1580" t="e">
        <f t="shared" si="135"/>
        <v>#N/A</v>
      </c>
      <c r="O1580" t="e">
        <f t="shared" si="134"/>
        <v>#N/A</v>
      </c>
      <c r="P1580">
        <f>'Nom du personnage'!$U$51</f>
        <v>0</v>
      </c>
    </row>
    <row r="1581" spans="10:16">
      <c r="J1581" s="2"/>
      <c r="K1581" s="2"/>
      <c r="M1581">
        <f t="shared" si="136"/>
        <v>0</v>
      </c>
      <c r="N1581" t="e">
        <f t="shared" si="135"/>
        <v>#N/A</v>
      </c>
      <c r="O1581" t="e">
        <f t="shared" si="134"/>
        <v>#N/A</v>
      </c>
      <c r="P1581">
        <f>'Nom du personnage'!$U$51</f>
        <v>0</v>
      </c>
    </row>
    <row r="1582" spans="10:16">
      <c r="J1582" s="2"/>
      <c r="K1582" s="2"/>
      <c r="M1582">
        <f t="shared" si="136"/>
        <v>0</v>
      </c>
      <c r="N1582" t="e">
        <f t="shared" si="135"/>
        <v>#N/A</v>
      </c>
      <c r="O1582" t="e">
        <f t="shared" si="134"/>
        <v>#N/A</v>
      </c>
      <c r="P1582">
        <f>'Nom du personnage'!$U$51</f>
        <v>0</v>
      </c>
    </row>
    <row r="1583" spans="10:16">
      <c r="J1583" s="2"/>
      <c r="K1583" s="2"/>
      <c r="M1583">
        <f t="shared" si="136"/>
        <v>0</v>
      </c>
      <c r="N1583" t="e">
        <f t="shared" si="135"/>
        <v>#N/A</v>
      </c>
      <c r="O1583" t="e">
        <f t="shared" si="134"/>
        <v>#N/A</v>
      </c>
      <c r="P1583">
        <f>'Nom du personnage'!$U$51</f>
        <v>0</v>
      </c>
    </row>
    <row r="1584" spans="10:16">
      <c r="J1584" s="2"/>
      <c r="K1584" s="2"/>
      <c r="M1584">
        <f t="shared" si="136"/>
        <v>0</v>
      </c>
      <c r="N1584" t="e">
        <f t="shared" si="135"/>
        <v>#N/A</v>
      </c>
      <c r="O1584" t="e">
        <f t="shared" si="134"/>
        <v>#N/A</v>
      </c>
      <c r="P1584">
        <f>'Nom du personnage'!$U$51</f>
        <v>0</v>
      </c>
    </row>
    <row r="1585" spans="10:16">
      <c r="J1585" s="2"/>
      <c r="K1585" s="2"/>
      <c r="M1585">
        <f t="shared" si="136"/>
        <v>0</v>
      </c>
      <c r="N1585" t="e">
        <f t="shared" si="135"/>
        <v>#N/A</v>
      </c>
      <c r="O1585" t="e">
        <f t="shared" si="134"/>
        <v>#N/A</v>
      </c>
      <c r="P1585">
        <f>'Nom du personnage'!$U$51</f>
        <v>0</v>
      </c>
    </row>
    <row r="1586" spans="10:16">
      <c r="J1586" s="2"/>
      <c r="K1586" s="2"/>
      <c r="M1586">
        <f t="shared" si="136"/>
        <v>0</v>
      </c>
      <c r="N1586" t="e">
        <f t="shared" si="135"/>
        <v>#N/A</v>
      </c>
      <c r="O1586" t="e">
        <f t="shared" si="134"/>
        <v>#N/A</v>
      </c>
      <c r="P1586">
        <f>'Nom du personnage'!$U$51</f>
        <v>0</v>
      </c>
    </row>
    <row r="1587" spans="10:16">
      <c r="J1587" s="2"/>
      <c r="K1587" s="2"/>
      <c r="M1587">
        <f t="shared" si="136"/>
        <v>0</v>
      </c>
      <c r="N1587" t="e">
        <f t="shared" si="135"/>
        <v>#N/A</v>
      </c>
      <c r="O1587" t="e">
        <f t="shared" si="134"/>
        <v>#N/A</v>
      </c>
      <c r="P1587">
        <f>'Nom du personnage'!$U$51</f>
        <v>0</v>
      </c>
    </row>
    <row r="1588" spans="10:16">
      <c r="J1588" s="2"/>
      <c r="K1588" s="2"/>
      <c r="M1588">
        <f t="shared" si="136"/>
        <v>0</v>
      </c>
      <c r="N1588" t="e">
        <f t="shared" si="135"/>
        <v>#N/A</v>
      </c>
      <c r="O1588" t="e">
        <f t="shared" si="134"/>
        <v>#N/A</v>
      </c>
      <c r="P1588">
        <f>'Nom du personnage'!$U$51</f>
        <v>0</v>
      </c>
    </row>
    <row r="1589" spans="10:16">
      <c r="J1589" s="2"/>
      <c r="K1589" s="2"/>
      <c r="M1589">
        <f t="shared" si="136"/>
        <v>0</v>
      </c>
      <c r="N1589" t="e">
        <f t="shared" si="135"/>
        <v>#N/A</v>
      </c>
      <c r="O1589" t="e">
        <f t="shared" si="134"/>
        <v>#N/A</v>
      </c>
      <c r="P1589">
        <f>'Nom du personnage'!$U$51</f>
        <v>0</v>
      </c>
    </row>
    <row r="1590" spans="10:16">
      <c r="J1590" s="2"/>
      <c r="K1590" s="2"/>
      <c r="M1590">
        <f t="shared" si="136"/>
        <v>0</v>
      </c>
      <c r="N1590" t="e">
        <f t="shared" si="135"/>
        <v>#N/A</v>
      </c>
      <c r="O1590" t="e">
        <f t="shared" si="134"/>
        <v>#N/A</v>
      </c>
      <c r="P1590">
        <f>'Nom du personnage'!$U$51</f>
        <v>0</v>
      </c>
    </row>
    <row r="1591" spans="10:16">
      <c r="J1591" s="2"/>
      <c r="K1591" s="2"/>
      <c r="M1591">
        <f t="shared" si="136"/>
        <v>0</v>
      </c>
      <c r="N1591" t="e">
        <f t="shared" si="135"/>
        <v>#N/A</v>
      </c>
      <c r="O1591" t="e">
        <f t="shared" si="134"/>
        <v>#N/A</v>
      </c>
      <c r="P1591">
        <f>'Nom du personnage'!$U$51</f>
        <v>0</v>
      </c>
    </row>
    <row r="1592" spans="10:16">
      <c r="J1592" s="2"/>
      <c r="K1592" s="2"/>
      <c r="M1592">
        <f t="shared" si="136"/>
        <v>0</v>
      </c>
      <c r="N1592" t="e">
        <f t="shared" si="135"/>
        <v>#N/A</v>
      </c>
      <c r="O1592" t="e">
        <f t="shared" si="134"/>
        <v>#N/A</v>
      </c>
      <c r="P1592">
        <f>'Nom du personnage'!$U$51</f>
        <v>0</v>
      </c>
    </row>
    <row r="1593" spans="10:16">
      <c r="J1593" s="2"/>
      <c r="K1593" s="2"/>
      <c r="M1593">
        <f t="shared" si="136"/>
        <v>0</v>
      </c>
      <c r="N1593" t="e">
        <f t="shared" si="135"/>
        <v>#N/A</v>
      </c>
      <c r="O1593" t="e">
        <f t="shared" si="134"/>
        <v>#N/A</v>
      </c>
      <c r="P1593">
        <f>'Nom du personnage'!$U$51</f>
        <v>0</v>
      </c>
    </row>
    <row r="1594" spans="10:16">
      <c r="J1594" s="2"/>
      <c r="K1594" s="2"/>
      <c r="M1594">
        <f t="shared" si="136"/>
        <v>0</v>
      </c>
      <c r="N1594" t="e">
        <f t="shared" si="135"/>
        <v>#N/A</v>
      </c>
      <c r="O1594" t="e">
        <f t="shared" ref="O1594:O1657" si="137">VLOOKUP(M1594,H1594:J1651,2,FALSE)+1</f>
        <v>#N/A</v>
      </c>
      <c r="P1594">
        <f>'Nom du personnage'!$U$51</f>
        <v>0</v>
      </c>
    </row>
    <row r="1595" spans="10:16">
      <c r="J1595" s="2"/>
      <c r="K1595" s="2"/>
      <c r="M1595">
        <f t="shared" si="136"/>
        <v>0</v>
      </c>
      <c r="N1595" t="e">
        <f t="shared" si="135"/>
        <v>#N/A</v>
      </c>
      <c r="O1595" t="e">
        <f t="shared" si="137"/>
        <v>#N/A</v>
      </c>
      <c r="P1595">
        <f>'Nom du personnage'!$U$51</f>
        <v>0</v>
      </c>
    </row>
    <row r="1596" spans="10:16">
      <c r="J1596" s="2"/>
      <c r="K1596" s="2"/>
      <c r="M1596">
        <f t="shared" si="136"/>
        <v>0</v>
      </c>
      <c r="N1596" t="e">
        <f t="shared" si="135"/>
        <v>#N/A</v>
      </c>
      <c r="O1596" t="e">
        <f t="shared" si="137"/>
        <v>#N/A</v>
      </c>
      <c r="P1596">
        <f>'Nom du personnage'!$U$51</f>
        <v>0</v>
      </c>
    </row>
    <row r="1597" spans="10:16">
      <c r="J1597" s="2"/>
      <c r="K1597" s="2"/>
      <c r="M1597">
        <f t="shared" si="136"/>
        <v>0</v>
      </c>
      <c r="N1597" t="e">
        <f t="shared" si="135"/>
        <v>#N/A</v>
      </c>
      <c r="O1597" t="e">
        <f t="shared" si="137"/>
        <v>#N/A</v>
      </c>
      <c r="P1597">
        <f>'Nom du personnage'!$U$51</f>
        <v>0</v>
      </c>
    </row>
    <row r="1598" spans="10:16">
      <c r="J1598" s="2"/>
      <c r="K1598" s="2"/>
      <c r="M1598">
        <f t="shared" si="136"/>
        <v>0</v>
      </c>
      <c r="N1598" t="e">
        <f t="shared" si="135"/>
        <v>#N/A</v>
      </c>
      <c r="O1598" t="e">
        <f t="shared" si="137"/>
        <v>#N/A</v>
      </c>
      <c r="P1598">
        <f>'Nom du personnage'!$U$51</f>
        <v>0</v>
      </c>
    </row>
    <row r="1599" spans="10:16">
      <c r="J1599" s="2"/>
      <c r="K1599" s="2"/>
      <c r="M1599">
        <f t="shared" si="136"/>
        <v>0</v>
      </c>
      <c r="N1599" t="e">
        <f t="shared" si="135"/>
        <v>#N/A</v>
      </c>
      <c r="O1599" t="e">
        <f t="shared" si="137"/>
        <v>#N/A</v>
      </c>
      <c r="P1599">
        <f>'Nom du personnage'!$U$51</f>
        <v>0</v>
      </c>
    </row>
    <row r="1600" spans="10:16">
      <c r="J1600" s="2"/>
      <c r="K1600" s="2"/>
      <c r="M1600">
        <f t="shared" si="136"/>
        <v>0</v>
      </c>
      <c r="N1600" t="e">
        <f t="shared" si="135"/>
        <v>#N/A</v>
      </c>
      <c r="O1600" t="e">
        <f t="shared" si="137"/>
        <v>#N/A</v>
      </c>
      <c r="P1600">
        <f>'Nom du personnage'!$U$51</f>
        <v>0</v>
      </c>
    </row>
    <row r="1601" spans="10:16">
      <c r="J1601" s="2"/>
      <c r="K1601" s="2"/>
      <c r="M1601">
        <f t="shared" si="136"/>
        <v>0</v>
      </c>
      <c r="N1601" t="e">
        <f t="shared" si="135"/>
        <v>#N/A</v>
      </c>
      <c r="O1601" t="e">
        <f t="shared" si="137"/>
        <v>#N/A</v>
      </c>
      <c r="P1601">
        <f>'Nom du personnage'!$U$51</f>
        <v>0</v>
      </c>
    </row>
    <row r="1602" spans="10:16">
      <c r="J1602" s="2"/>
      <c r="K1602" s="2"/>
      <c r="M1602">
        <f t="shared" si="136"/>
        <v>0</v>
      </c>
      <c r="N1602" t="e">
        <f t="shared" si="135"/>
        <v>#N/A</v>
      </c>
      <c r="O1602" t="e">
        <f t="shared" si="137"/>
        <v>#N/A</v>
      </c>
      <c r="P1602">
        <f>'Nom du personnage'!$U$51</f>
        <v>0</v>
      </c>
    </row>
    <row r="1603" spans="10:16">
      <c r="J1603" s="2"/>
      <c r="K1603" s="2"/>
      <c r="M1603">
        <f t="shared" si="136"/>
        <v>0</v>
      </c>
      <c r="N1603" t="e">
        <f t="shared" si="135"/>
        <v>#N/A</v>
      </c>
      <c r="O1603" t="e">
        <f t="shared" si="137"/>
        <v>#N/A</v>
      </c>
      <c r="P1603">
        <f>'Nom du personnage'!$U$51</f>
        <v>0</v>
      </c>
    </row>
    <row r="1604" spans="10:16">
      <c r="J1604" s="2"/>
      <c r="K1604" s="2"/>
      <c r="M1604">
        <f t="shared" si="136"/>
        <v>0</v>
      </c>
      <c r="N1604" t="e">
        <f t="shared" si="135"/>
        <v>#N/A</v>
      </c>
      <c r="O1604" t="e">
        <f t="shared" si="137"/>
        <v>#N/A</v>
      </c>
      <c r="P1604">
        <f>'Nom du personnage'!$U$51</f>
        <v>0</v>
      </c>
    </row>
    <row r="1605" spans="10:16">
      <c r="J1605" s="2"/>
      <c r="K1605" s="2"/>
      <c r="M1605">
        <f t="shared" si="136"/>
        <v>0</v>
      </c>
      <c r="N1605" t="e">
        <f t="shared" si="135"/>
        <v>#N/A</v>
      </c>
      <c r="O1605" t="e">
        <f t="shared" si="137"/>
        <v>#N/A</v>
      </c>
      <c r="P1605">
        <f>'Nom du personnage'!$U$51</f>
        <v>0</v>
      </c>
    </row>
    <row r="1606" spans="10:16">
      <c r="J1606" s="2"/>
      <c r="K1606" s="2"/>
      <c r="M1606">
        <f t="shared" si="136"/>
        <v>0</v>
      </c>
      <c r="N1606" t="e">
        <f t="shared" si="135"/>
        <v>#N/A</v>
      </c>
      <c r="O1606" t="e">
        <f t="shared" si="137"/>
        <v>#N/A</v>
      </c>
      <c r="P1606">
        <f>'Nom du personnage'!$U$51</f>
        <v>0</v>
      </c>
    </row>
    <row r="1607" spans="10:16">
      <c r="J1607" s="2"/>
      <c r="K1607" s="2"/>
      <c r="M1607">
        <f t="shared" si="136"/>
        <v>0</v>
      </c>
      <c r="N1607" t="e">
        <f t="shared" si="135"/>
        <v>#N/A</v>
      </c>
      <c r="O1607" t="e">
        <f t="shared" si="137"/>
        <v>#N/A</v>
      </c>
      <c r="P1607">
        <f>'Nom du personnage'!$U$51</f>
        <v>0</v>
      </c>
    </row>
    <row r="1608" spans="10:16">
      <c r="J1608" s="2"/>
      <c r="K1608" s="2"/>
      <c r="M1608">
        <f t="shared" si="136"/>
        <v>0</v>
      </c>
      <c r="N1608" t="e">
        <f t="shared" si="135"/>
        <v>#N/A</v>
      </c>
      <c r="O1608" t="e">
        <f t="shared" si="137"/>
        <v>#N/A</v>
      </c>
      <c r="P1608">
        <f>'Nom du personnage'!$U$51</f>
        <v>0</v>
      </c>
    </row>
    <row r="1609" spans="10:16">
      <c r="J1609" s="2"/>
      <c r="K1609" s="2"/>
      <c r="M1609">
        <f t="shared" si="136"/>
        <v>0</v>
      </c>
      <c r="N1609" t="e">
        <f t="shared" si="135"/>
        <v>#N/A</v>
      </c>
      <c r="O1609" t="e">
        <f t="shared" si="137"/>
        <v>#N/A</v>
      </c>
      <c r="P1609">
        <f>'Nom du personnage'!$U$51</f>
        <v>0</v>
      </c>
    </row>
    <row r="1610" spans="10:16">
      <c r="J1610" s="2"/>
      <c r="K1610" s="2"/>
      <c r="M1610">
        <f t="shared" si="136"/>
        <v>0</v>
      </c>
      <c r="N1610" t="e">
        <f t="shared" si="135"/>
        <v>#N/A</v>
      </c>
      <c r="O1610" t="e">
        <f t="shared" si="137"/>
        <v>#N/A</v>
      </c>
      <c r="P1610">
        <f>'Nom du personnage'!$U$51</f>
        <v>0</v>
      </c>
    </row>
    <row r="1611" spans="10:16">
      <c r="J1611" s="2"/>
      <c r="K1611" s="2"/>
      <c r="M1611">
        <f t="shared" si="136"/>
        <v>0</v>
      </c>
      <c r="N1611" t="e">
        <f t="shared" si="135"/>
        <v>#N/A</v>
      </c>
      <c r="O1611" t="e">
        <f t="shared" si="137"/>
        <v>#N/A</v>
      </c>
      <c r="P1611">
        <f>'Nom du personnage'!$U$51</f>
        <v>0</v>
      </c>
    </row>
    <row r="1612" spans="10:16">
      <c r="J1612" s="2"/>
      <c r="K1612" s="2"/>
      <c r="M1612">
        <f t="shared" si="136"/>
        <v>0</v>
      </c>
      <c r="N1612" t="e">
        <f t="shared" si="135"/>
        <v>#N/A</v>
      </c>
      <c r="O1612" t="e">
        <f t="shared" si="137"/>
        <v>#N/A</v>
      </c>
      <c r="P1612">
        <f>'Nom du personnage'!$U$51</f>
        <v>0</v>
      </c>
    </row>
    <row r="1613" spans="10:16">
      <c r="J1613" s="2"/>
      <c r="K1613" s="2"/>
      <c r="M1613">
        <f t="shared" si="136"/>
        <v>0</v>
      </c>
      <c r="N1613" t="e">
        <f t="shared" si="135"/>
        <v>#N/A</v>
      </c>
      <c r="O1613" t="e">
        <f t="shared" si="137"/>
        <v>#N/A</v>
      </c>
      <c r="P1613">
        <f>'Nom du personnage'!$U$51</f>
        <v>0</v>
      </c>
    </row>
    <row r="1614" spans="10:16">
      <c r="J1614" s="2"/>
      <c r="K1614" s="2"/>
      <c r="M1614">
        <f t="shared" si="136"/>
        <v>0</v>
      </c>
      <c r="N1614" t="e">
        <f t="shared" si="135"/>
        <v>#N/A</v>
      </c>
      <c r="O1614" t="e">
        <f t="shared" si="137"/>
        <v>#N/A</v>
      </c>
      <c r="P1614">
        <f>'Nom du personnage'!$U$51</f>
        <v>0</v>
      </c>
    </row>
    <row r="1615" spans="10:16">
      <c r="J1615" s="2"/>
      <c r="K1615" s="2"/>
      <c r="M1615">
        <f t="shared" si="136"/>
        <v>0</v>
      </c>
      <c r="N1615" t="e">
        <f t="shared" si="135"/>
        <v>#N/A</v>
      </c>
      <c r="O1615" t="e">
        <f t="shared" si="137"/>
        <v>#N/A</v>
      </c>
      <c r="P1615">
        <f>'Nom du personnage'!$U$51</f>
        <v>0</v>
      </c>
    </row>
    <row r="1616" spans="10:16">
      <c r="J1616" s="2"/>
      <c r="K1616" s="2"/>
      <c r="M1616">
        <f t="shared" si="136"/>
        <v>0</v>
      </c>
      <c r="N1616" t="e">
        <f t="shared" si="135"/>
        <v>#N/A</v>
      </c>
      <c r="O1616" t="e">
        <f t="shared" si="137"/>
        <v>#N/A</v>
      </c>
      <c r="P1616">
        <f>'Nom du personnage'!$U$51</f>
        <v>0</v>
      </c>
    </row>
    <row r="1617" spans="10:16">
      <c r="J1617" s="2"/>
      <c r="K1617" s="2"/>
      <c r="M1617">
        <f t="shared" si="136"/>
        <v>0</v>
      </c>
      <c r="N1617" t="e">
        <f t="shared" si="135"/>
        <v>#N/A</v>
      </c>
      <c r="O1617" t="e">
        <f t="shared" si="137"/>
        <v>#N/A</v>
      </c>
      <c r="P1617">
        <f>'Nom du personnage'!$U$51</f>
        <v>0</v>
      </c>
    </row>
    <row r="1618" spans="10:16">
      <c r="J1618" s="2"/>
      <c r="K1618" s="2"/>
      <c r="M1618">
        <f t="shared" si="136"/>
        <v>0</v>
      </c>
      <c r="N1618" t="e">
        <f t="shared" si="135"/>
        <v>#N/A</v>
      </c>
      <c r="O1618" t="e">
        <f t="shared" si="137"/>
        <v>#N/A</v>
      </c>
      <c r="P1618">
        <f>'Nom du personnage'!$U$51</f>
        <v>0</v>
      </c>
    </row>
    <row r="1619" spans="10:16">
      <c r="J1619" s="2"/>
      <c r="K1619" s="2"/>
      <c r="M1619">
        <f t="shared" si="136"/>
        <v>0</v>
      </c>
      <c r="N1619" t="e">
        <f t="shared" si="135"/>
        <v>#N/A</v>
      </c>
      <c r="O1619" t="e">
        <f t="shared" si="137"/>
        <v>#N/A</v>
      </c>
      <c r="P1619">
        <f>'Nom du personnage'!$U$51</f>
        <v>0</v>
      </c>
    </row>
    <row r="1620" spans="10:16">
      <c r="J1620" s="2"/>
      <c r="K1620" s="2"/>
      <c r="M1620">
        <f t="shared" si="136"/>
        <v>0</v>
      </c>
      <c r="N1620" t="e">
        <f t="shared" si="135"/>
        <v>#N/A</v>
      </c>
      <c r="O1620" t="e">
        <f t="shared" si="137"/>
        <v>#N/A</v>
      </c>
      <c r="P1620">
        <f>'Nom du personnage'!$U$51</f>
        <v>0</v>
      </c>
    </row>
    <row r="1621" spans="10:16">
      <c r="J1621" s="2"/>
      <c r="K1621" s="2"/>
      <c r="M1621">
        <f t="shared" si="136"/>
        <v>0</v>
      </c>
      <c r="N1621" t="e">
        <f t="shared" si="135"/>
        <v>#N/A</v>
      </c>
      <c r="O1621" t="e">
        <f t="shared" si="137"/>
        <v>#N/A</v>
      </c>
      <c r="P1621">
        <f>'Nom du personnage'!$U$51</f>
        <v>0</v>
      </c>
    </row>
    <row r="1622" spans="10:16">
      <c r="J1622" s="2"/>
      <c r="K1622" s="2"/>
      <c r="M1622">
        <f t="shared" si="136"/>
        <v>0</v>
      </c>
      <c r="N1622" t="e">
        <f t="shared" si="135"/>
        <v>#N/A</v>
      </c>
      <c r="O1622" t="e">
        <f t="shared" si="137"/>
        <v>#N/A</v>
      </c>
      <c r="P1622">
        <f>'Nom du personnage'!$U$51</f>
        <v>0</v>
      </c>
    </row>
    <row r="1623" spans="10:16">
      <c r="J1623" s="2"/>
      <c r="K1623" s="2"/>
      <c r="M1623">
        <f t="shared" si="136"/>
        <v>0</v>
      </c>
      <c r="N1623" t="e">
        <f t="shared" si="135"/>
        <v>#N/A</v>
      </c>
      <c r="O1623" t="e">
        <f t="shared" si="137"/>
        <v>#N/A</v>
      </c>
      <c r="P1623">
        <f>'Nom du personnage'!$U$51</f>
        <v>0</v>
      </c>
    </row>
    <row r="1624" spans="10:16">
      <c r="J1624" s="2"/>
      <c r="K1624" s="2"/>
      <c r="M1624">
        <f t="shared" si="136"/>
        <v>0</v>
      </c>
      <c r="N1624" t="e">
        <f t="shared" si="135"/>
        <v>#N/A</v>
      </c>
      <c r="O1624" t="e">
        <f t="shared" si="137"/>
        <v>#N/A</v>
      </c>
      <c r="P1624">
        <f>'Nom du personnage'!$U$51</f>
        <v>0</v>
      </c>
    </row>
    <row r="1625" spans="10:16">
      <c r="J1625" s="2"/>
      <c r="K1625" s="2"/>
      <c r="M1625">
        <f t="shared" si="136"/>
        <v>0</v>
      </c>
      <c r="N1625" t="e">
        <f t="shared" si="135"/>
        <v>#N/A</v>
      </c>
      <c r="O1625" t="e">
        <f t="shared" si="137"/>
        <v>#N/A</v>
      </c>
      <c r="P1625">
        <f>'Nom du personnage'!$U$51</f>
        <v>0</v>
      </c>
    </row>
    <row r="1626" spans="10:16">
      <c r="J1626" s="2"/>
      <c r="K1626" s="2"/>
      <c r="M1626">
        <f t="shared" si="136"/>
        <v>0</v>
      </c>
      <c r="N1626" t="e">
        <f t="shared" si="135"/>
        <v>#N/A</v>
      </c>
      <c r="O1626" t="e">
        <f t="shared" si="137"/>
        <v>#N/A</v>
      </c>
      <c r="P1626">
        <f>'Nom du personnage'!$U$51</f>
        <v>0</v>
      </c>
    </row>
    <row r="1627" spans="10:16">
      <c r="J1627" s="2"/>
      <c r="K1627" s="2"/>
      <c r="M1627">
        <f t="shared" si="136"/>
        <v>0</v>
      </c>
      <c r="N1627" t="e">
        <f t="shared" si="135"/>
        <v>#N/A</v>
      </c>
      <c r="O1627" t="e">
        <f t="shared" si="137"/>
        <v>#N/A</v>
      </c>
      <c r="P1627">
        <f>'Nom du personnage'!$U$51</f>
        <v>0</v>
      </c>
    </row>
    <row r="1628" spans="10:16">
      <c r="J1628" s="2"/>
      <c r="K1628" s="2"/>
      <c r="M1628">
        <f t="shared" si="136"/>
        <v>0</v>
      </c>
      <c r="N1628" t="e">
        <f t="shared" ref="N1628:N1691" si="138">VLOOKUP(M1628,H1628:J1685,2,FALSE)</f>
        <v>#N/A</v>
      </c>
      <c r="O1628" t="e">
        <f t="shared" si="137"/>
        <v>#N/A</v>
      </c>
      <c r="P1628">
        <f>'Nom du personnage'!$U$51</f>
        <v>0</v>
      </c>
    </row>
    <row r="1629" spans="10:16">
      <c r="J1629" s="2"/>
      <c r="K1629" s="2"/>
      <c r="M1629">
        <f t="shared" si="136"/>
        <v>0</v>
      </c>
      <c r="N1629" t="e">
        <f t="shared" si="138"/>
        <v>#N/A</v>
      </c>
      <c r="O1629" t="e">
        <f t="shared" si="137"/>
        <v>#N/A</v>
      </c>
      <c r="P1629">
        <f>'Nom du personnage'!$U$51</f>
        <v>0</v>
      </c>
    </row>
    <row r="1630" spans="10:16">
      <c r="J1630" s="2"/>
      <c r="K1630" s="2"/>
      <c r="M1630">
        <f t="shared" ref="M1630:M1693" si="139">IF(P1630=J1630,H1630,)</f>
        <v>0</v>
      </c>
      <c r="N1630" t="e">
        <f t="shared" si="138"/>
        <v>#N/A</v>
      </c>
      <c r="O1630" t="e">
        <f t="shared" si="137"/>
        <v>#N/A</v>
      </c>
      <c r="P1630">
        <f>'Nom du personnage'!$U$51</f>
        <v>0</v>
      </c>
    </row>
    <row r="1631" spans="10:16">
      <c r="J1631" s="2"/>
      <c r="K1631" s="2"/>
      <c r="M1631">
        <f t="shared" si="139"/>
        <v>0</v>
      </c>
      <c r="N1631" t="e">
        <f t="shared" si="138"/>
        <v>#N/A</v>
      </c>
      <c r="O1631" t="e">
        <f t="shared" si="137"/>
        <v>#N/A</v>
      </c>
      <c r="P1631">
        <f>'Nom du personnage'!$U$51</f>
        <v>0</v>
      </c>
    </row>
    <row r="1632" spans="10:16">
      <c r="J1632" s="2"/>
      <c r="K1632" s="2"/>
      <c r="M1632">
        <f t="shared" si="139"/>
        <v>0</v>
      </c>
      <c r="N1632" t="e">
        <f t="shared" si="138"/>
        <v>#N/A</v>
      </c>
      <c r="O1632" t="e">
        <f t="shared" si="137"/>
        <v>#N/A</v>
      </c>
      <c r="P1632">
        <f>'Nom du personnage'!$U$51</f>
        <v>0</v>
      </c>
    </row>
    <row r="1633" spans="10:16">
      <c r="J1633" s="2"/>
      <c r="K1633" s="2"/>
      <c r="M1633">
        <f t="shared" si="139"/>
        <v>0</v>
      </c>
      <c r="N1633" t="e">
        <f t="shared" si="138"/>
        <v>#N/A</v>
      </c>
      <c r="O1633" t="e">
        <f t="shared" si="137"/>
        <v>#N/A</v>
      </c>
      <c r="P1633">
        <f>'Nom du personnage'!$U$51</f>
        <v>0</v>
      </c>
    </row>
    <row r="1634" spans="10:16">
      <c r="J1634" s="2"/>
      <c r="K1634" s="2"/>
      <c r="M1634">
        <f t="shared" si="139"/>
        <v>0</v>
      </c>
      <c r="N1634" t="e">
        <f t="shared" si="138"/>
        <v>#N/A</v>
      </c>
      <c r="O1634" t="e">
        <f t="shared" si="137"/>
        <v>#N/A</v>
      </c>
      <c r="P1634">
        <f>'Nom du personnage'!$U$51</f>
        <v>0</v>
      </c>
    </row>
    <row r="1635" spans="10:16">
      <c r="J1635" s="2"/>
      <c r="K1635" s="2"/>
      <c r="M1635">
        <f t="shared" si="139"/>
        <v>0</v>
      </c>
      <c r="N1635" t="e">
        <f t="shared" si="138"/>
        <v>#N/A</v>
      </c>
      <c r="O1635" t="e">
        <f t="shared" si="137"/>
        <v>#N/A</v>
      </c>
      <c r="P1635">
        <f>'Nom du personnage'!$U$51</f>
        <v>0</v>
      </c>
    </row>
    <row r="1636" spans="10:16">
      <c r="J1636" s="2"/>
      <c r="K1636" s="2"/>
      <c r="M1636">
        <f t="shared" si="139"/>
        <v>0</v>
      </c>
      <c r="N1636" t="e">
        <f t="shared" si="138"/>
        <v>#N/A</v>
      </c>
      <c r="O1636" t="e">
        <f t="shared" si="137"/>
        <v>#N/A</v>
      </c>
      <c r="P1636">
        <f>'Nom du personnage'!$U$51</f>
        <v>0</v>
      </c>
    </row>
    <row r="1637" spans="10:16">
      <c r="J1637" s="2"/>
      <c r="K1637" s="2"/>
      <c r="M1637">
        <f t="shared" si="139"/>
        <v>0</v>
      </c>
      <c r="N1637" t="e">
        <f t="shared" si="138"/>
        <v>#N/A</v>
      </c>
      <c r="O1637" t="e">
        <f t="shared" si="137"/>
        <v>#N/A</v>
      </c>
      <c r="P1637">
        <f>'Nom du personnage'!$U$51</f>
        <v>0</v>
      </c>
    </row>
    <row r="1638" spans="10:16">
      <c r="J1638" s="2"/>
      <c r="K1638" s="2"/>
      <c r="M1638">
        <f t="shared" si="139"/>
        <v>0</v>
      </c>
      <c r="N1638" t="e">
        <f t="shared" si="138"/>
        <v>#N/A</v>
      </c>
      <c r="O1638" t="e">
        <f t="shared" si="137"/>
        <v>#N/A</v>
      </c>
      <c r="P1638">
        <f>'Nom du personnage'!$U$51</f>
        <v>0</v>
      </c>
    </row>
    <row r="1639" spans="10:16">
      <c r="J1639" s="2"/>
      <c r="K1639" s="2"/>
      <c r="M1639">
        <f t="shared" si="139"/>
        <v>0</v>
      </c>
      <c r="N1639" t="e">
        <f t="shared" si="138"/>
        <v>#N/A</v>
      </c>
      <c r="O1639" t="e">
        <f t="shared" si="137"/>
        <v>#N/A</v>
      </c>
      <c r="P1639">
        <f>'Nom du personnage'!$U$51</f>
        <v>0</v>
      </c>
    </row>
    <row r="1640" spans="10:16">
      <c r="J1640" s="2"/>
      <c r="K1640" s="2"/>
      <c r="M1640">
        <f t="shared" si="139"/>
        <v>0</v>
      </c>
      <c r="N1640" t="e">
        <f t="shared" si="138"/>
        <v>#N/A</v>
      </c>
      <c r="O1640" t="e">
        <f t="shared" si="137"/>
        <v>#N/A</v>
      </c>
      <c r="P1640">
        <f>'Nom du personnage'!$U$51</f>
        <v>0</v>
      </c>
    </row>
    <row r="1641" spans="10:16">
      <c r="J1641" s="2"/>
      <c r="K1641" s="2"/>
      <c r="M1641">
        <f t="shared" si="139"/>
        <v>0</v>
      </c>
      <c r="N1641" t="e">
        <f t="shared" si="138"/>
        <v>#N/A</v>
      </c>
      <c r="O1641" t="e">
        <f t="shared" si="137"/>
        <v>#N/A</v>
      </c>
      <c r="P1641">
        <f>'Nom du personnage'!$U$51</f>
        <v>0</v>
      </c>
    </row>
    <row r="1642" spans="10:16">
      <c r="J1642" s="2"/>
      <c r="K1642" s="2"/>
      <c r="M1642">
        <f t="shared" si="139"/>
        <v>0</v>
      </c>
      <c r="N1642" t="e">
        <f t="shared" si="138"/>
        <v>#N/A</v>
      </c>
      <c r="O1642" t="e">
        <f t="shared" si="137"/>
        <v>#N/A</v>
      </c>
      <c r="P1642">
        <f>'Nom du personnage'!$U$51</f>
        <v>0</v>
      </c>
    </row>
    <row r="1643" spans="10:16">
      <c r="J1643" s="2"/>
      <c r="K1643" s="2"/>
      <c r="M1643">
        <f t="shared" si="139"/>
        <v>0</v>
      </c>
      <c r="N1643" t="e">
        <f t="shared" si="138"/>
        <v>#N/A</v>
      </c>
      <c r="O1643" t="e">
        <f t="shared" si="137"/>
        <v>#N/A</v>
      </c>
      <c r="P1643">
        <f>'Nom du personnage'!$U$51</f>
        <v>0</v>
      </c>
    </row>
    <row r="1644" spans="10:16">
      <c r="J1644" s="2"/>
      <c r="K1644" s="2"/>
      <c r="M1644">
        <f t="shared" si="139"/>
        <v>0</v>
      </c>
      <c r="N1644" t="e">
        <f t="shared" si="138"/>
        <v>#N/A</v>
      </c>
      <c r="O1644" t="e">
        <f t="shared" si="137"/>
        <v>#N/A</v>
      </c>
      <c r="P1644">
        <f>'Nom du personnage'!$U$51</f>
        <v>0</v>
      </c>
    </row>
    <row r="1645" spans="10:16">
      <c r="J1645" s="2"/>
      <c r="K1645" s="2"/>
      <c r="M1645">
        <f t="shared" si="139"/>
        <v>0</v>
      </c>
      <c r="N1645" t="e">
        <f t="shared" si="138"/>
        <v>#N/A</v>
      </c>
      <c r="O1645" t="e">
        <f t="shared" si="137"/>
        <v>#N/A</v>
      </c>
      <c r="P1645">
        <f>'Nom du personnage'!$U$51</f>
        <v>0</v>
      </c>
    </row>
    <row r="1646" spans="10:16">
      <c r="J1646" s="2"/>
      <c r="K1646" s="2"/>
      <c r="M1646">
        <f t="shared" si="139"/>
        <v>0</v>
      </c>
      <c r="N1646" t="e">
        <f t="shared" si="138"/>
        <v>#N/A</v>
      </c>
      <c r="O1646" t="e">
        <f t="shared" si="137"/>
        <v>#N/A</v>
      </c>
      <c r="P1646">
        <f>'Nom du personnage'!$U$51</f>
        <v>0</v>
      </c>
    </row>
    <row r="1647" spans="10:16">
      <c r="J1647" s="2"/>
      <c r="K1647" s="2"/>
      <c r="M1647">
        <f t="shared" si="139"/>
        <v>0</v>
      </c>
      <c r="N1647" t="e">
        <f t="shared" si="138"/>
        <v>#N/A</v>
      </c>
      <c r="O1647" t="e">
        <f t="shared" si="137"/>
        <v>#N/A</v>
      </c>
      <c r="P1647">
        <f>'Nom du personnage'!$U$51</f>
        <v>0</v>
      </c>
    </row>
    <row r="1648" spans="10:16">
      <c r="J1648" s="2"/>
      <c r="K1648" s="2"/>
      <c r="M1648">
        <f t="shared" si="139"/>
        <v>0</v>
      </c>
      <c r="N1648" t="e">
        <f t="shared" si="138"/>
        <v>#N/A</v>
      </c>
      <c r="O1648" t="e">
        <f t="shared" si="137"/>
        <v>#N/A</v>
      </c>
      <c r="P1648">
        <f>'Nom du personnage'!$U$51</f>
        <v>0</v>
      </c>
    </row>
    <row r="1649" spans="10:16">
      <c r="J1649" s="2"/>
      <c r="K1649" s="2"/>
      <c r="M1649">
        <f t="shared" si="139"/>
        <v>0</v>
      </c>
      <c r="N1649" t="e">
        <f t="shared" si="138"/>
        <v>#N/A</v>
      </c>
      <c r="O1649" t="e">
        <f t="shared" si="137"/>
        <v>#N/A</v>
      </c>
      <c r="P1649">
        <f>'Nom du personnage'!$U$51</f>
        <v>0</v>
      </c>
    </row>
    <row r="1650" spans="10:16">
      <c r="J1650" s="2"/>
      <c r="K1650" s="2"/>
      <c r="M1650">
        <f t="shared" si="139"/>
        <v>0</v>
      </c>
      <c r="N1650" t="e">
        <f t="shared" si="138"/>
        <v>#N/A</v>
      </c>
      <c r="O1650" t="e">
        <f t="shared" si="137"/>
        <v>#N/A</v>
      </c>
      <c r="P1650">
        <f>'Nom du personnage'!$U$51</f>
        <v>0</v>
      </c>
    </row>
    <row r="1651" spans="10:16">
      <c r="J1651" s="2"/>
      <c r="K1651" s="2"/>
      <c r="M1651">
        <f t="shared" si="139"/>
        <v>0</v>
      </c>
      <c r="N1651" t="e">
        <f t="shared" si="138"/>
        <v>#N/A</v>
      </c>
      <c r="O1651" t="e">
        <f t="shared" si="137"/>
        <v>#N/A</v>
      </c>
      <c r="P1651">
        <f>'Nom du personnage'!$U$51</f>
        <v>0</v>
      </c>
    </row>
    <row r="1652" spans="10:16">
      <c r="J1652" s="2"/>
      <c r="K1652" s="2"/>
      <c r="M1652">
        <f t="shared" si="139"/>
        <v>0</v>
      </c>
      <c r="N1652" t="e">
        <f t="shared" si="138"/>
        <v>#N/A</v>
      </c>
      <c r="O1652" t="e">
        <f t="shared" si="137"/>
        <v>#N/A</v>
      </c>
      <c r="P1652">
        <f>'Nom du personnage'!$U$51</f>
        <v>0</v>
      </c>
    </row>
    <row r="1653" spans="10:16">
      <c r="J1653" s="2"/>
      <c r="K1653" s="2"/>
      <c r="M1653">
        <f t="shared" si="139"/>
        <v>0</v>
      </c>
      <c r="N1653" t="e">
        <f t="shared" si="138"/>
        <v>#N/A</v>
      </c>
      <c r="O1653" t="e">
        <f t="shared" si="137"/>
        <v>#N/A</v>
      </c>
      <c r="P1653">
        <f>'Nom du personnage'!$U$51</f>
        <v>0</v>
      </c>
    </row>
    <row r="1654" spans="10:16">
      <c r="J1654" s="2"/>
      <c r="K1654" s="2"/>
      <c r="M1654">
        <f t="shared" si="139"/>
        <v>0</v>
      </c>
      <c r="N1654" t="e">
        <f t="shared" si="138"/>
        <v>#N/A</v>
      </c>
      <c r="O1654" t="e">
        <f t="shared" si="137"/>
        <v>#N/A</v>
      </c>
      <c r="P1654">
        <f>'Nom du personnage'!$U$51</f>
        <v>0</v>
      </c>
    </row>
    <row r="1655" spans="10:16">
      <c r="J1655" s="2"/>
      <c r="K1655" s="2"/>
      <c r="M1655">
        <f t="shared" si="139"/>
        <v>0</v>
      </c>
      <c r="N1655" t="e">
        <f t="shared" si="138"/>
        <v>#N/A</v>
      </c>
      <c r="O1655" t="e">
        <f t="shared" si="137"/>
        <v>#N/A</v>
      </c>
      <c r="P1655">
        <f>'Nom du personnage'!$U$51</f>
        <v>0</v>
      </c>
    </row>
    <row r="1656" spans="10:16">
      <c r="J1656" s="2"/>
      <c r="K1656" s="2"/>
      <c r="M1656">
        <f t="shared" si="139"/>
        <v>0</v>
      </c>
      <c r="N1656" t="e">
        <f t="shared" si="138"/>
        <v>#N/A</v>
      </c>
      <c r="O1656" t="e">
        <f t="shared" si="137"/>
        <v>#N/A</v>
      </c>
      <c r="P1656">
        <f>'Nom du personnage'!$U$51</f>
        <v>0</v>
      </c>
    </row>
    <row r="1657" spans="10:16">
      <c r="J1657" s="2"/>
      <c r="K1657" s="2"/>
      <c r="M1657">
        <f t="shared" si="139"/>
        <v>0</v>
      </c>
      <c r="N1657" t="e">
        <f t="shared" si="138"/>
        <v>#N/A</v>
      </c>
      <c r="O1657" t="e">
        <f t="shared" si="137"/>
        <v>#N/A</v>
      </c>
      <c r="P1657">
        <f>'Nom du personnage'!$U$51</f>
        <v>0</v>
      </c>
    </row>
    <row r="1658" spans="10:16">
      <c r="J1658" s="2"/>
      <c r="K1658" s="2"/>
      <c r="M1658">
        <f t="shared" si="139"/>
        <v>0</v>
      </c>
      <c r="N1658" t="e">
        <f t="shared" si="138"/>
        <v>#N/A</v>
      </c>
      <c r="O1658" t="e">
        <f t="shared" ref="O1658:O1721" si="140">VLOOKUP(M1658,H1658:J1715,2,FALSE)+1</f>
        <v>#N/A</v>
      </c>
      <c r="P1658">
        <f>'Nom du personnage'!$U$51</f>
        <v>0</v>
      </c>
    </row>
    <row r="1659" spans="10:16">
      <c r="J1659" s="2"/>
      <c r="K1659" s="2"/>
      <c r="M1659">
        <f t="shared" si="139"/>
        <v>0</v>
      </c>
      <c r="N1659" t="e">
        <f t="shared" si="138"/>
        <v>#N/A</v>
      </c>
      <c r="O1659" t="e">
        <f t="shared" si="140"/>
        <v>#N/A</v>
      </c>
      <c r="P1659">
        <f>'Nom du personnage'!$U$51</f>
        <v>0</v>
      </c>
    </row>
    <row r="1660" spans="10:16">
      <c r="J1660" s="2"/>
      <c r="K1660" s="2"/>
      <c r="M1660">
        <f t="shared" si="139"/>
        <v>0</v>
      </c>
      <c r="N1660" t="e">
        <f t="shared" si="138"/>
        <v>#N/A</v>
      </c>
      <c r="O1660" t="e">
        <f t="shared" si="140"/>
        <v>#N/A</v>
      </c>
      <c r="P1660">
        <f>'Nom du personnage'!$U$51</f>
        <v>0</v>
      </c>
    </row>
    <row r="1661" spans="10:16">
      <c r="J1661" s="2"/>
      <c r="K1661" s="2"/>
      <c r="M1661">
        <f t="shared" si="139"/>
        <v>0</v>
      </c>
      <c r="N1661" t="e">
        <f t="shared" si="138"/>
        <v>#N/A</v>
      </c>
      <c r="O1661" t="e">
        <f t="shared" si="140"/>
        <v>#N/A</v>
      </c>
      <c r="P1661">
        <f>'Nom du personnage'!$U$51</f>
        <v>0</v>
      </c>
    </row>
    <row r="1662" spans="10:16">
      <c r="J1662" s="2"/>
      <c r="K1662" s="2"/>
      <c r="M1662">
        <f t="shared" si="139"/>
        <v>0</v>
      </c>
      <c r="N1662" t="e">
        <f t="shared" si="138"/>
        <v>#N/A</v>
      </c>
      <c r="O1662" t="e">
        <f t="shared" si="140"/>
        <v>#N/A</v>
      </c>
      <c r="P1662">
        <f>'Nom du personnage'!$U$51</f>
        <v>0</v>
      </c>
    </row>
    <row r="1663" spans="10:16">
      <c r="J1663" s="2"/>
      <c r="K1663" s="2"/>
      <c r="M1663">
        <f t="shared" si="139"/>
        <v>0</v>
      </c>
      <c r="N1663" t="e">
        <f t="shared" si="138"/>
        <v>#N/A</v>
      </c>
      <c r="O1663" t="e">
        <f t="shared" si="140"/>
        <v>#N/A</v>
      </c>
      <c r="P1663">
        <f>'Nom du personnage'!$U$51</f>
        <v>0</v>
      </c>
    </row>
    <row r="1664" spans="10:16">
      <c r="J1664" s="2"/>
      <c r="K1664" s="2"/>
      <c r="M1664">
        <f t="shared" si="139"/>
        <v>0</v>
      </c>
      <c r="N1664" t="e">
        <f t="shared" si="138"/>
        <v>#N/A</v>
      </c>
      <c r="O1664" t="e">
        <f t="shared" si="140"/>
        <v>#N/A</v>
      </c>
      <c r="P1664">
        <f>'Nom du personnage'!$U$51</f>
        <v>0</v>
      </c>
    </row>
    <row r="1665" spans="10:16">
      <c r="J1665" s="2"/>
      <c r="K1665" s="2"/>
      <c r="M1665">
        <f t="shared" si="139"/>
        <v>0</v>
      </c>
      <c r="N1665" t="e">
        <f t="shared" si="138"/>
        <v>#N/A</v>
      </c>
      <c r="O1665" t="e">
        <f t="shared" si="140"/>
        <v>#N/A</v>
      </c>
      <c r="P1665">
        <f>'Nom du personnage'!$U$51</f>
        <v>0</v>
      </c>
    </row>
    <row r="1666" spans="10:16">
      <c r="J1666" s="2"/>
      <c r="K1666" s="2"/>
      <c r="M1666">
        <f t="shared" si="139"/>
        <v>0</v>
      </c>
      <c r="N1666" t="e">
        <f t="shared" si="138"/>
        <v>#N/A</v>
      </c>
      <c r="O1666" t="e">
        <f t="shared" si="140"/>
        <v>#N/A</v>
      </c>
      <c r="P1666">
        <f>'Nom du personnage'!$U$51</f>
        <v>0</v>
      </c>
    </row>
    <row r="1667" spans="10:16">
      <c r="J1667" s="2"/>
      <c r="K1667" s="2"/>
      <c r="M1667">
        <f t="shared" si="139"/>
        <v>0</v>
      </c>
      <c r="N1667" t="e">
        <f t="shared" si="138"/>
        <v>#N/A</v>
      </c>
      <c r="O1667" t="e">
        <f t="shared" si="140"/>
        <v>#N/A</v>
      </c>
      <c r="P1667">
        <f>'Nom du personnage'!$U$51</f>
        <v>0</v>
      </c>
    </row>
    <row r="1668" spans="10:16">
      <c r="J1668" s="2"/>
      <c r="K1668" s="2"/>
      <c r="M1668">
        <f t="shared" si="139"/>
        <v>0</v>
      </c>
      <c r="N1668" t="e">
        <f t="shared" si="138"/>
        <v>#N/A</v>
      </c>
      <c r="O1668" t="e">
        <f t="shared" si="140"/>
        <v>#N/A</v>
      </c>
      <c r="P1668">
        <f>'Nom du personnage'!$U$51</f>
        <v>0</v>
      </c>
    </row>
    <row r="1669" spans="10:16">
      <c r="J1669" s="2"/>
      <c r="K1669" s="2"/>
      <c r="M1669">
        <f t="shared" si="139"/>
        <v>0</v>
      </c>
      <c r="N1669" t="e">
        <f t="shared" si="138"/>
        <v>#N/A</v>
      </c>
      <c r="O1669" t="e">
        <f t="shared" si="140"/>
        <v>#N/A</v>
      </c>
      <c r="P1669">
        <f>'Nom du personnage'!$U$51</f>
        <v>0</v>
      </c>
    </row>
    <row r="1670" spans="10:16">
      <c r="J1670" s="2"/>
      <c r="K1670" s="2"/>
      <c r="M1670">
        <f t="shared" si="139"/>
        <v>0</v>
      </c>
      <c r="N1670" t="e">
        <f t="shared" si="138"/>
        <v>#N/A</v>
      </c>
      <c r="O1670" t="e">
        <f t="shared" si="140"/>
        <v>#N/A</v>
      </c>
      <c r="P1670">
        <f>'Nom du personnage'!$U$51</f>
        <v>0</v>
      </c>
    </row>
    <row r="1671" spans="10:16">
      <c r="J1671" s="2"/>
      <c r="K1671" s="2"/>
      <c r="M1671">
        <f t="shared" si="139"/>
        <v>0</v>
      </c>
      <c r="N1671" t="e">
        <f t="shared" si="138"/>
        <v>#N/A</v>
      </c>
      <c r="O1671" t="e">
        <f t="shared" si="140"/>
        <v>#N/A</v>
      </c>
      <c r="P1671">
        <f>'Nom du personnage'!$U$51</f>
        <v>0</v>
      </c>
    </row>
    <row r="1672" spans="10:16">
      <c r="J1672" s="2"/>
      <c r="K1672" s="2"/>
      <c r="M1672">
        <f t="shared" si="139"/>
        <v>0</v>
      </c>
      <c r="N1672" t="e">
        <f t="shared" si="138"/>
        <v>#N/A</v>
      </c>
      <c r="O1672" t="e">
        <f t="shared" si="140"/>
        <v>#N/A</v>
      </c>
      <c r="P1672">
        <f>'Nom du personnage'!$U$51</f>
        <v>0</v>
      </c>
    </row>
    <row r="1673" spans="10:16">
      <c r="J1673" s="2"/>
      <c r="K1673" s="2"/>
      <c r="M1673">
        <f t="shared" si="139"/>
        <v>0</v>
      </c>
      <c r="N1673" t="e">
        <f t="shared" si="138"/>
        <v>#N/A</v>
      </c>
      <c r="O1673" t="e">
        <f t="shared" si="140"/>
        <v>#N/A</v>
      </c>
      <c r="P1673">
        <f>'Nom du personnage'!$U$51</f>
        <v>0</v>
      </c>
    </row>
    <row r="1674" spans="10:16">
      <c r="J1674" s="2"/>
      <c r="K1674" s="2"/>
      <c r="M1674">
        <f t="shared" si="139"/>
        <v>0</v>
      </c>
      <c r="N1674" t="e">
        <f t="shared" si="138"/>
        <v>#N/A</v>
      </c>
      <c r="O1674" t="e">
        <f t="shared" si="140"/>
        <v>#N/A</v>
      </c>
      <c r="P1674">
        <f>'Nom du personnage'!$U$51</f>
        <v>0</v>
      </c>
    </row>
    <row r="1675" spans="10:16">
      <c r="J1675" s="2"/>
      <c r="K1675" s="2"/>
      <c r="M1675">
        <f t="shared" si="139"/>
        <v>0</v>
      </c>
      <c r="N1675" t="e">
        <f t="shared" si="138"/>
        <v>#N/A</v>
      </c>
      <c r="O1675" t="e">
        <f t="shared" si="140"/>
        <v>#N/A</v>
      </c>
      <c r="P1675">
        <f>'Nom du personnage'!$U$51</f>
        <v>0</v>
      </c>
    </row>
    <row r="1676" spans="10:16">
      <c r="J1676" s="2"/>
      <c r="K1676" s="2"/>
      <c r="M1676">
        <f t="shared" si="139"/>
        <v>0</v>
      </c>
      <c r="N1676" t="e">
        <f t="shared" si="138"/>
        <v>#N/A</v>
      </c>
      <c r="O1676" t="e">
        <f t="shared" si="140"/>
        <v>#N/A</v>
      </c>
      <c r="P1676">
        <f>'Nom du personnage'!$U$51</f>
        <v>0</v>
      </c>
    </row>
    <row r="1677" spans="10:16">
      <c r="J1677" s="2"/>
      <c r="K1677" s="2"/>
      <c r="M1677">
        <f t="shared" si="139"/>
        <v>0</v>
      </c>
      <c r="N1677" t="e">
        <f t="shared" si="138"/>
        <v>#N/A</v>
      </c>
      <c r="O1677" t="e">
        <f t="shared" si="140"/>
        <v>#N/A</v>
      </c>
      <c r="P1677">
        <f>'Nom du personnage'!$U$51</f>
        <v>0</v>
      </c>
    </row>
    <row r="1678" spans="10:16">
      <c r="J1678" s="2"/>
      <c r="K1678" s="2"/>
      <c r="M1678">
        <f t="shared" si="139"/>
        <v>0</v>
      </c>
      <c r="N1678" t="e">
        <f t="shared" si="138"/>
        <v>#N/A</v>
      </c>
      <c r="O1678" t="e">
        <f t="shared" si="140"/>
        <v>#N/A</v>
      </c>
      <c r="P1678">
        <f>'Nom du personnage'!$U$51</f>
        <v>0</v>
      </c>
    </row>
    <row r="1679" spans="10:16">
      <c r="J1679" s="2"/>
      <c r="K1679" s="2"/>
      <c r="M1679">
        <f t="shared" si="139"/>
        <v>0</v>
      </c>
      <c r="N1679" t="e">
        <f t="shared" si="138"/>
        <v>#N/A</v>
      </c>
      <c r="O1679" t="e">
        <f t="shared" si="140"/>
        <v>#N/A</v>
      </c>
      <c r="P1679">
        <f>'Nom du personnage'!$U$51</f>
        <v>0</v>
      </c>
    </row>
    <row r="1680" spans="10:16">
      <c r="J1680" s="2"/>
      <c r="K1680" s="2"/>
      <c r="M1680">
        <f t="shared" si="139"/>
        <v>0</v>
      </c>
      <c r="N1680" t="e">
        <f t="shared" si="138"/>
        <v>#N/A</v>
      </c>
      <c r="O1680" t="e">
        <f t="shared" si="140"/>
        <v>#N/A</v>
      </c>
      <c r="P1680">
        <f>'Nom du personnage'!$U$51</f>
        <v>0</v>
      </c>
    </row>
    <row r="1681" spans="10:16">
      <c r="J1681" s="2"/>
      <c r="K1681" s="2"/>
      <c r="M1681">
        <f t="shared" si="139"/>
        <v>0</v>
      </c>
      <c r="N1681" t="e">
        <f t="shared" si="138"/>
        <v>#N/A</v>
      </c>
      <c r="O1681" t="e">
        <f t="shared" si="140"/>
        <v>#N/A</v>
      </c>
      <c r="P1681">
        <f>'Nom du personnage'!$U$51</f>
        <v>0</v>
      </c>
    </row>
    <row r="1682" spans="10:16">
      <c r="J1682" s="2"/>
      <c r="K1682" s="2"/>
      <c r="M1682">
        <f t="shared" si="139"/>
        <v>0</v>
      </c>
      <c r="N1682" t="e">
        <f t="shared" si="138"/>
        <v>#N/A</v>
      </c>
      <c r="O1682" t="e">
        <f t="shared" si="140"/>
        <v>#N/A</v>
      </c>
      <c r="P1682">
        <f>'Nom du personnage'!$U$51</f>
        <v>0</v>
      </c>
    </row>
    <row r="1683" spans="10:16">
      <c r="J1683" s="2"/>
      <c r="K1683" s="2"/>
      <c r="M1683">
        <f t="shared" si="139"/>
        <v>0</v>
      </c>
      <c r="N1683" t="e">
        <f t="shared" si="138"/>
        <v>#N/A</v>
      </c>
      <c r="O1683" t="e">
        <f t="shared" si="140"/>
        <v>#N/A</v>
      </c>
      <c r="P1683">
        <f>'Nom du personnage'!$U$51</f>
        <v>0</v>
      </c>
    </row>
    <row r="1684" spans="10:16">
      <c r="J1684" s="2"/>
      <c r="K1684" s="2"/>
      <c r="M1684">
        <f t="shared" si="139"/>
        <v>0</v>
      </c>
      <c r="N1684" t="e">
        <f t="shared" si="138"/>
        <v>#N/A</v>
      </c>
      <c r="O1684" t="e">
        <f t="shared" si="140"/>
        <v>#N/A</v>
      </c>
      <c r="P1684">
        <f>'Nom du personnage'!$U$51</f>
        <v>0</v>
      </c>
    </row>
    <row r="1685" spans="10:16">
      <c r="J1685" s="2"/>
      <c r="K1685" s="2"/>
      <c r="M1685">
        <f t="shared" si="139"/>
        <v>0</v>
      </c>
      <c r="N1685" t="e">
        <f t="shared" si="138"/>
        <v>#N/A</v>
      </c>
      <c r="O1685" t="e">
        <f t="shared" si="140"/>
        <v>#N/A</v>
      </c>
      <c r="P1685">
        <f>'Nom du personnage'!$U$51</f>
        <v>0</v>
      </c>
    </row>
    <row r="1686" spans="10:16">
      <c r="J1686" s="2"/>
      <c r="K1686" s="2"/>
      <c r="M1686">
        <f t="shared" si="139"/>
        <v>0</v>
      </c>
      <c r="N1686" t="e">
        <f t="shared" si="138"/>
        <v>#N/A</v>
      </c>
      <c r="O1686" t="e">
        <f t="shared" si="140"/>
        <v>#N/A</v>
      </c>
      <c r="P1686">
        <f>'Nom du personnage'!$U$51</f>
        <v>0</v>
      </c>
    </row>
    <row r="1687" spans="10:16">
      <c r="J1687" s="2"/>
      <c r="K1687" s="2"/>
      <c r="M1687">
        <f t="shared" si="139"/>
        <v>0</v>
      </c>
      <c r="N1687" t="e">
        <f t="shared" si="138"/>
        <v>#N/A</v>
      </c>
      <c r="O1687" t="e">
        <f t="shared" si="140"/>
        <v>#N/A</v>
      </c>
      <c r="P1687">
        <f>'Nom du personnage'!$U$51</f>
        <v>0</v>
      </c>
    </row>
    <row r="1688" spans="10:16">
      <c r="J1688" s="2"/>
      <c r="K1688" s="2"/>
      <c r="M1688">
        <f t="shared" si="139"/>
        <v>0</v>
      </c>
      <c r="N1688" t="e">
        <f t="shared" si="138"/>
        <v>#N/A</v>
      </c>
      <c r="O1688" t="e">
        <f t="shared" si="140"/>
        <v>#N/A</v>
      </c>
      <c r="P1688">
        <f>'Nom du personnage'!$U$51</f>
        <v>0</v>
      </c>
    </row>
    <row r="1689" spans="10:16">
      <c r="J1689" s="2"/>
      <c r="K1689" s="2"/>
      <c r="M1689">
        <f t="shared" si="139"/>
        <v>0</v>
      </c>
      <c r="N1689" t="e">
        <f t="shared" si="138"/>
        <v>#N/A</v>
      </c>
      <c r="O1689" t="e">
        <f t="shared" si="140"/>
        <v>#N/A</v>
      </c>
      <c r="P1689">
        <f>'Nom du personnage'!$U$51</f>
        <v>0</v>
      </c>
    </row>
    <row r="1690" spans="10:16">
      <c r="J1690" s="2"/>
      <c r="K1690" s="2"/>
      <c r="M1690">
        <f t="shared" si="139"/>
        <v>0</v>
      </c>
      <c r="N1690" t="e">
        <f t="shared" si="138"/>
        <v>#N/A</v>
      </c>
      <c r="O1690" t="e">
        <f t="shared" si="140"/>
        <v>#N/A</v>
      </c>
      <c r="P1690">
        <f>'Nom du personnage'!$U$51</f>
        <v>0</v>
      </c>
    </row>
    <row r="1691" spans="10:16">
      <c r="J1691" s="2"/>
      <c r="K1691" s="2"/>
      <c r="M1691">
        <f t="shared" si="139"/>
        <v>0</v>
      </c>
      <c r="N1691" t="e">
        <f t="shared" si="138"/>
        <v>#N/A</v>
      </c>
      <c r="O1691" t="e">
        <f t="shared" si="140"/>
        <v>#N/A</v>
      </c>
      <c r="P1691">
        <f>'Nom du personnage'!$U$51</f>
        <v>0</v>
      </c>
    </row>
    <row r="1692" spans="10:16">
      <c r="J1692" s="2"/>
      <c r="K1692" s="2"/>
      <c r="M1692">
        <f t="shared" si="139"/>
        <v>0</v>
      </c>
      <c r="N1692" t="e">
        <f t="shared" ref="N1692:N1755" si="141">VLOOKUP(M1692,H1692:J1749,2,FALSE)</f>
        <v>#N/A</v>
      </c>
      <c r="O1692" t="e">
        <f t="shared" si="140"/>
        <v>#N/A</v>
      </c>
      <c r="P1692">
        <f>'Nom du personnage'!$U$51</f>
        <v>0</v>
      </c>
    </row>
    <row r="1693" spans="10:16">
      <c r="J1693" s="2"/>
      <c r="K1693" s="2"/>
      <c r="M1693">
        <f t="shared" si="139"/>
        <v>0</v>
      </c>
      <c r="N1693" t="e">
        <f t="shared" si="141"/>
        <v>#N/A</v>
      </c>
      <c r="O1693" t="e">
        <f t="shared" si="140"/>
        <v>#N/A</v>
      </c>
      <c r="P1693">
        <f>'Nom du personnage'!$U$51</f>
        <v>0</v>
      </c>
    </row>
    <row r="1694" spans="10:16">
      <c r="J1694" s="2"/>
      <c r="K1694" s="2"/>
      <c r="M1694">
        <f t="shared" ref="M1694:M1757" si="142">IF(P1694=J1694,H1694,)</f>
        <v>0</v>
      </c>
      <c r="N1694" t="e">
        <f t="shared" si="141"/>
        <v>#N/A</v>
      </c>
      <c r="O1694" t="e">
        <f t="shared" si="140"/>
        <v>#N/A</v>
      </c>
      <c r="P1694">
        <f>'Nom du personnage'!$U$51</f>
        <v>0</v>
      </c>
    </row>
    <row r="1695" spans="10:16">
      <c r="J1695" s="2"/>
      <c r="K1695" s="2"/>
      <c r="M1695">
        <f t="shared" si="142"/>
        <v>0</v>
      </c>
      <c r="N1695" t="e">
        <f t="shared" si="141"/>
        <v>#N/A</v>
      </c>
      <c r="O1695" t="e">
        <f t="shared" si="140"/>
        <v>#N/A</v>
      </c>
      <c r="P1695">
        <f>'Nom du personnage'!$U$51</f>
        <v>0</v>
      </c>
    </row>
    <row r="1696" spans="10:16">
      <c r="J1696" s="2"/>
      <c r="K1696" s="2"/>
      <c r="M1696">
        <f t="shared" si="142"/>
        <v>0</v>
      </c>
      <c r="N1696" t="e">
        <f t="shared" si="141"/>
        <v>#N/A</v>
      </c>
      <c r="O1696" t="e">
        <f t="shared" si="140"/>
        <v>#N/A</v>
      </c>
      <c r="P1696">
        <f>'Nom du personnage'!$U$51</f>
        <v>0</v>
      </c>
    </row>
    <row r="1697" spans="10:16">
      <c r="J1697" s="2"/>
      <c r="K1697" s="2"/>
      <c r="M1697">
        <f t="shared" si="142"/>
        <v>0</v>
      </c>
      <c r="N1697" t="e">
        <f t="shared" si="141"/>
        <v>#N/A</v>
      </c>
      <c r="O1697" t="e">
        <f t="shared" si="140"/>
        <v>#N/A</v>
      </c>
      <c r="P1697">
        <f>'Nom du personnage'!$U$51</f>
        <v>0</v>
      </c>
    </row>
    <row r="1698" spans="10:16">
      <c r="J1698" s="2"/>
      <c r="K1698" s="2"/>
      <c r="M1698">
        <f t="shared" si="142"/>
        <v>0</v>
      </c>
      <c r="N1698" t="e">
        <f t="shared" si="141"/>
        <v>#N/A</v>
      </c>
      <c r="O1698" t="e">
        <f t="shared" si="140"/>
        <v>#N/A</v>
      </c>
      <c r="P1698">
        <f>'Nom du personnage'!$U$51</f>
        <v>0</v>
      </c>
    </row>
    <row r="1699" spans="10:16">
      <c r="J1699" s="2"/>
      <c r="K1699" s="2"/>
      <c r="M1699">
        <f t="shared" si="142"/>
        <v>0</v>
      </c>
      <c r="N1699" t="e">
        <f t="shared" si="141"/>
        <v>#N/A</v>
      </c>
      <c r="O1699" t="e">
        <f t="shared" si="140"/>
        <v>#N/A</v>
      </c>
      <c r="P1699">
        <f>'Nom du personnage'!$U$51</f>
        <v>0</v>
      </c>
    </row>
    <row r="1700" spans="10:16">
      <c r="J1700" s="2"/>
      <c r="K1700" s="2"/>
      <c r="M1700">
        <f t="shared" si="142"/>
        <v>0</v>
      </c>
      <c r="N1700" t="e">
        <f t="shared" si="141"/>
        <v>#N/A</v>
      </c>
      <c r="O1700" t="e">
        <f t="shared" si="140"/>
        <v>#N/A</v>
      </c>
      <c r="P1700">
        <f>'Nom du personnage'!$U$51</f>
        <v>0</v>
      </c>
    </row>
    <row r="1701" spans="10:16">
      <c r="J1701" s="2"/>
      <c r="K1701" s="2"/>
      <c r="M1701">
        <f t="shared" si="142"/>
        <v>0</v>
      </c>
      <c r="N1701" t="e">
        <f t="shared" si="141"/>
        <v>#N/A</v>
      </c>
      <c r="O1701" t="e">
        <f t="shared" si="140"/>
        <v>#N/A</v>
      </c>
      <c r="P1701">
        <f>'Nom du personnage'!$U$51</f>
        <v>0</v>
      </c>
    </row>
    <row r="1702" spans="10:16">
      <c r="J1702" s="2"/>
      <c r="K1702" s="2"/>
      <c r="M1702">
        <f t="shared" si="142"/>
        <v>0</v>
      </c>
      <c r="N1702" t="e">
        <f t="shared" si="141"/>
        <v>#N/A</v>
      </c>
      <c r="O1702" t="e">
        <f t="shared" si="140"/>
        <v>#N/A</v>
      </c>
      <c r="P1702">
        <f>'Nom du personnage'!$U$51</f>
        <v>0</v>
      </c>
    </row>
    <row r="1703" spans="10:16">
      <c r="J1703" s="2"/>
      <c r="K1703" s="2"/>
      <c r="M1703">
        <f t="shared" si="142"/>
        <v>0</v>
      </c>
      <c r="N1703" t="e">
        <f t="shared" si="141"/>
        <v>#N/A</v>
      </c>
      <c r="O1703" t="e">
        <f t="shared" si="140"/>
        <v>#N/A</v>
      </c>
      <c r="P1703">
        <f>'Nom du personnage'!$U$51</f>
        <v>0</v>
      </c>
    </row>
    <row r="1704" spans="10:16">
      <c r="J1704" s="2"/>
      <c r="K1704" s="2"/>
      <c r="M1704">
        <f t="shared" si="142"/>
        <v>0</v>
      </c>
      <c r="N1704" t="e">
        <f t="shared" si="141"/>
        <v>#N/A</v>
      </c>
      <c r="O1704" t="e">
        <f t="shared" si="140"/>
        <v>#N/A</v>
      </c>
      <c r="P1704">
        <f>'Nom du personnage'!$U$51</f>
        <v>0</v>
      </c>
    </row>
    <row r="1705" spans="10:16">
      <c r="J1705" s="2"/>
      <c r="K1705" s="2"/>
      <c r="M1705">
        <f t="shared" si="142"/>
        <v>0</v>
      </c>
      <c r="N1705" t="e">
        <f t="shared" si="141"/>
        <v>#N/A</v>
      </c>
      <c r="O1705" t="e">
        <f t="shared" si="140"/>
        <v>#N/A</v>
      </c>
      <c r="P1705">
        <f>'Nom du personnage'!$U$51</f>
        <v>0</v>
      </c>
    </row>
    <row r="1706" spans="10:16">
      <c r="J1706" s="2"/>
      <c r="K1706" s="2"/>
      <c r="M1706">
        <f t="shared" si="142"/>
        <v>0</v>
      </c>
      <c r="N1706" t="e">
        <f t="shared" si="141"/>
        <v>#N/A</v>
      </c>
      <c r="O1706" t="e">
        <f t="shared" si="140"/>
        <v>#N/A</v>
      </c>
      <c r="P1706">
        <f>'Nom du personnage'!$U$51</f>
        <v>0</v>
      </c>
    </row>
    <row r="1707" spans="10:16">
      <c r="J1707" s="2"/>
      <c r="K1707" s="2"/>
      <c r="M1707">
        <f t="shared" si="142"/>
        <v>0</v>
      </c>
      <c r="N1707" t="e">
        <f t="shared" si="141"/>
        <v>#N/A</v>
      </c>
      <c r="O1707" t="e">
        <f t="shared" si="140"/>
        <v>#N/A</v>
      </c>
      <c r="P1707">
        <f>'Nom du personnage'!$U$51</f>
        <v>0</v>
      </c>
    </row>
    <row r="1708" spans="10:16">
      <c r="J1708" s="2"/>
      <c r="K1708" s="2"/>
      <c r="M1708">
        <f t="shared" si="142"/>
        <v>0</v>
      </c>
      <c r="N1708" t="e">
        <f t="shared" si="141"/>
        <v>#N/A</v>
      </c>
      <c r="O1708" t="e">
        <f t="shared" si="140"/>
        <v>#N/A</v>
      </c>
      <c r="P1708">
        <f>'Nom du personnage'!$U$51</f>
        <v>0</v>
      </c>
    </row>
    <row r="1709" spans="10:16">
      <c r="J1709" s="2"/>
      <c r="K1709" s="2"/>
      <c r="M1709">
        <f t="shared" si="142"/>
        <v>0</v>
      </c>
      <c r="N1709" t="e">
        <f t="shared" si="141"/>
        <v>#N/A</v>
      </c>
      <c r="O1709" t="e">
        <f t="shared" si="140"/>
        <v>#N/A</v>
      </c>
      <c r="P1709">
        <f>'Nom du personnage'!$U$51</f>
        <v>0</v>
      </c>
    </row>
    <row r="1710" spans="10:16">
      <c r="J1710" s="2"/>
      <c r="K1710" s="2"/>
      <c r="M1710">
        <f t="shared" si="142"/>
        <v>0</v>
      </c>
      <c r="N1710" t="e">
        <f t="shared" si="141"/>
        <v>#N/A</v>
      </c>
      <c r="O1710" t="e">
        <f t="shared" si="140"/>
        <v>#N/A</v>
      </c>
      <c r="P1710">
        <f>'Nom du personnage'!$U$51</f>
        <v>0</v>
      </c>
    </row>
    <row r="1711" spans="10:16">
      <c r="J1711" s="2"/>
      <c r="K1711" s="2"/>
      <c r="M1711">
        <f t="shared" si="142"/>
        <v>0</v>
      </c>
      <c r="N1711" t="e">
        <f t="shared" si="141"/>
        <v>#N/A</v>
      </c>
      <c r="O1711" t="e">
        <f t="shared" si="140"/>
        <v>#N/A</v>
      </c>
      <c r="P1711">
        <f>'Nom du personnage'!$U$51</f>
        <v>0</v>
      </c>
    </row>
    <row r="1712" spans="10:16">
      <c r="J1712" s="2"/>
      <c r="K1712" s="2"/>
      <c r="M1712">
        <f t="shared" si="142"/>
        <v>0</v>
      </c>
      <c r="N1712" t="e">
        <f t="shared" si="141"/>
        <v>#N/A</v>
      </c>
      <c r="O1712" t="e">
        <f t="shared" si="140"/>
        <v>#N/A</v>
      </c>
      <c r="P1712">
        <f>'Nom du personnage'!$U$51</f>
        <v>0</v>
      </c>
    </row>
    <row r="1713" spans="10:16">
      <c r="J1713" s="2"/>
      <c r="K1713" s="2"/>
      <c r="M1713">
        <f t="shared" si="142"/>
        <v>0</v>
      </c>
      <c r="N1713" t="e">
        <f t="shared" si="141"/>
        <v>#N/A</v>
      </c>
      <c r="O1713" t="e">
        <f t="shared" si="140"/>
        <v>#N/A</v>
      </c>
      <c r="P1713">
        <f>'Nom du personnage'!$U$51</f>
        <v>0</v>
      </c>
    </row>
    <row r="1714" spans="10:16">
      <c r="J1714" s="2"/>
      <c r="K1714" s="2"/>
      <c r="M1714">
        <f t="shared" si="142"/>
        <v>0</v>
      </c>
      <c r="N1714" t="e">
        <f t="shared" si="141"/>
        <v>#N/A</v>
      </c>
      <c r="O1714" t="e">
        <f t="shared" si="140"/>
        <v>#N/A</v>
      </c>
      <c r="P1714">
        <f>'Nom du personnage'!$U$51</f>
        <v>0</v>
      </c>
    </row>
    <row r="1715" spans="10:16">
      <c r="J1715" s="2"/>
      <c r="K1715" s="2"/>
      <c r="M1715">
        <f t="shared" si="142"/>
        <v>0</v>
      </c>
      <c r="N1715" t="e">
        <f t="shared" si="141"/>
        <v>#N/A</v>
      </c>
      <c r="O1715" t="e">
        <f t="shared" si="140"/>
        <v>#N/A</v>
      </c>
      <c r="P1715">
        <f>'Nom du personnage'!$U$51</f>
        <v>0</v>
      </c>
    </row>
    <row r="1716" spans="10:16">
      <c r="J1716" s="2"/>
      <c r="K1716" s="2"/>
      <c r="M1716">
        <f t="shared" si="142"/>
        <v>0</v>
      </c>
      <c r="N1716" t="e">
        <f t="shared" si="141"/>
        <v>#N/A</v>
      </c>
      <c r="O1716" t="e">
        <f t="shared" si="140"/>
        <v>#N/A</v>
      </c>
      <c r="P1716">
        <f>'Nom du personnage'!$U$51</f>
        <v>0</v>
      </c>
    </row>
    <row r="1717" spans="10:16">
      <c r="J1717" s="2"/>
      <c r="K1717" s="2"/>
      <c r="M1717">
        <f t="shared" si="142"/>
        <v>0</v>
      </c>
      <c r="N1717" t="e">
        <f t="shared" si="141"/>
        <v>#N/A</v>
      </c>
      <c r="O1717" t="e">
        <f t="shared" si="140"/>
        <v>#N/A</v>
      </c>
      <c r="P1717">
        <f>'Nom du personnage'!$U$51</f>
        <v>0</v>
      </c>
    </row>
    <row r="1718" spans="10:16">
      <c r="J1718" s="2"/>
      <c r="K1718" s="2"/>
      <c r="M1718">
        <f t="shared" si="142"/>
        <v>0</v>
      </c>
      <c r="N1718" t="e">
        <f t="shared" si="141"/>
        <v>#N/A</v>
      </c>
      <c r="O1718" t="e">
        <f t="shared" si="140"/>
        <v>#N/A</v>
      </c>
      <c r="P1718">
        <f>'Nom du personnage'!$U$51</f>
        <v>0</v>
      </c>
    </row>
    <row r="1719" spans="10:16">
      <c r="J1719" s="2"/>
      <c r="K1719" s="2"/>
      <c r="M1719">
        <f t="shared" si="142"/>
        <v>0</v>
      </c>
      <c r="N1719" t="e">
        <f t="shared" si="141"/>
        <v>#N/A</v>
      </c>
      <c r="O1719" t="e">
        <f t="shared" si="140"/>
        <v>#N/A</v>
      </c>
      <c r="P1719">
        <f>'Nom du personnage'!$U$51</f>
        <v>0</v>
      </c>
    </row>
    <row r="1720" spans="10:16">
      <c r="J1720" s="2"/>
      <c r="K1720" s="2"/>
      <c r="M1720">
        <f t="shared" si="142"/>
        <v>0</v>
      </c>
      <c r="N1720" t="e">
        <f t="shared" si="141"/>
        <v>#N/A</v>
      </c>
      <c r="O1720" t="e">
        <f t="shared" si="140"/>
        <v>#N/A</v>
      </c>
      <c r="P1720">
        <f>'Nom du personnage'!$U$51</f>
        <v>0</v>
      </c>
    </row>
    <row r="1721" spans="10:16">
      <c r="J1721" s="2"/>
      <c r="K1721" s="2"/>
      <c r="M1721">
        <f t="shared" si="142"/>
        <v>0</v>
      </c>
      <c r="N1721" t="e">
        <f t="shared" si="141"/>
        <v>#N/A</v>
      </c>
      <c r="O1721" t="e">
        <f t="shared" si="140"/>
        <v>#N/A</v>
      </c>
      <c r="P1721">
        <f>'Nom du personnage'!$U$51</f>
        <v>0</v>
      </c>
    </row>
    <row r="1722" spans="10:16">
      <c r="J1722" s="2"/>
      <c r="K1722" s="2"/>
      <c r="M1722">
        <f t="shared" si="142"/>
        <v>0</v>
      </c>
      <c r="N1722" t="e">
        <f t="shared" si="141"/>
        <v>#N/A</v>
      </c>
      <c r="O1722" t="e">
        <f t="shared" ref="O1722:O1785" si="143">VLOOKUP(M1722,H1722:J1779,2,FALSE)+1</f>
        <v>#N/A</v>
      </c>
      <c r="P1722">
        <f>'Nom du personnage'!$U$51</f>
        <v>0</v>
      </c>
    </row>
    <row r="1723" spans="10:16">
      <c r="J1723" s="2"/>
      <c r="K1723" s="2"/>
      <c r="M1723">
        <f t="shared" si="142"/>
        <v>0</v>
      </c>
      <c r="N1723" t="e">
        <f t="shared" si="141"/>
        <v>#N/A</v>
      </c>
      <c r="O1723" t="e">
        <f t="shared" si="143"/>
        <v>#N/A</v>
      </c>
      <c r="P1723">
        <f>'Nom du personnage'!$U$51</f>
        <v>0</v>
      </c>
    </row>
    <row r="1724" spans="10:16">
      <c r="J1724" s="2"/>
      <c r="K1724" s="2"/>
      <c r="M1724">
        <f t="shared" si="142"/>
        <v>0</v>
      </c>
      <c r="N1724" t="e">
        <f t="shared" si="141"/>
        <v>#N/A</v>
      </c>
      <c r="O1724" t="e">
        <f t="shared" si="143"/>
        <v>#N/A</v>
      </c>
      <c r="P1724">
        <f>'Nom du personnage'!$U$51</f>
        <v>0</v>
      </c>
    </row>
    <row r="1725" spans="10:16">
      <c r="J1725" s="2"/>
      <c r="K1725" s="2"/>
      <c r="M1725">
        <f t="shared" si="142"/>
        <v>0</v>
      </c>
      <c r="N1725" t="e">
        <f t="shared" si="141"/>
        <v>#N/A</v>
      </c>
      <c r="O1725" t="e">
        <f t="shared" si="143"/>
        <v>#N/A</v>
      </c>
      <c r="P1725">
        <f>'Nom du personnage'!$U$51</f>
        <v>0</v>
      </c>
    </row>
    <row r="1726" spans="10:16">
      <c r="J1726" s="2"/>
      <c r="K1726" s="2"/>
      <c r="M1726">
        <f t="shared" si="142"/>
        <v>0</v>
      </c>
      <c r="N1726" t="e">
        <f t="shared" si="141"/>
        <v>#N/A</v>
      </c>
      <c r="O1726" t="e">
        <f t="shared" si="143"/>
        <v>#N/A</v>
      </c>
      <c r="P1726">
        <f>'Nom du personnage'!$U$51</f>
        <v>0</v>
      </c>
    </row>
    <row r="1727" spans="10:16">
      <c r="J1727" s="2"/>
      <c r="K1727" s="2"/>
      <c r="M1727">
        <f t="shared" si="142"/>
        <v>0</v>
      </c>
      <c r="N1727" t="e">
        <f t="shared" si="141"/>
        <v>#N/A</v>
      </c>
      <c r="O1727" t="e">
        <f t="shared" si="143"/>
        <v>#N/A</v>
      </c>
      <c r="P1727">
        <f>'Nom du personnage'!$U$51</f>
        <v>0</v>
      </c>
    </row>
    <row r="1728" spans="10:16">
      <c r="J1728" s="2"/>
      <c r="K1728" s="2"/>
      <c r="M1728">
        <f t="shared" si="142"/>
        <v>0</v>
      </c>
      <c r="N1728" t="e">
        <f t="shared" si="141"/>
        <v>#N/A</v>
      </c>
      <c r="O1728" t="e">
        <f t="shared" si="143"/>
        <v>#N/A</v>
      </c>
      <c r="P1728">
        <f>'Nom du personnage'!$U$51</f>
        <v>0</v>
      </c>
    </row>
    <row r="1729" spans="10:16">
      <c r="J1729" s="2"/>
      <c r="K1729" s="2"/>
      <c r="M1729">
        <f t="shared" si="142"/>
        <v>0</v>
      </c>
      <c r="N1729" t="e">
        <f t="shared" si="141"/>
        <v>#N/A</v>
      </c>
      <c r="O1729" t="e">
        <f t="shared" si="143"/>
        <v>#N/A</v>
      </c>
      <c r="P1729">
        <f>'Nom du personnage'!$U$51</f>
        <v>0</v>
      </c>
    </row>
    <row r="1730" spans="10:16">
      <c r="J1730" s="2"/>
      <c r="K1730" s="2"/>
      <c r="M1730">
        <f t="shared" si="142"/>
        <v>0</v>
      </c>
      <c r="N1730" t="e">
        <f t="shared" si="141"/>
        <v>#N/A</v>
      </c>
      <c r="O1730" t="e">
        <f t="shared" si="143"/>
        <v>#N/A</v>
      </c>
      <c r="P1730">
        <f>'Nom du personnage'!$U$51</f>
        <v>0</v>
      </c>
    </row>
    <row r="1731" spans="10:16">
      <c r="J1731" s="2"/>
      <c r="K1731" s="2"/>
      <c r="M1731">
        <f t="shared" si="142"/>
        <v>0</v>
      </c>
      <c r="N1731" t="e">
        <f t="shared" si="141"/>
        <v>#N/A</v>
      </c>
      <c r="O1731" t="e">
        <f t="shared" si="143"/>
        <v>#N/A</v>
      </c>
      <c r="P1731">
        <f>'Nom du personnage'!$U$51</f>
        <v>0</v>
      </c>
    </row>
    <row r="1732" spans="10:16">
      <c r="J1732" s="2"/>
      <c r="K1732" s="2"/>
      <c r="M1732">
        <f t="shared" si="142"/>
        <v>0</v>
      </c>
      <c r="N1732" t="e">
        <f t="shared" si="141"/>
        <v>#N/A</v>
      </c>
      <c r="O1732" t="e">
        <f t="shared" si="143"/>
        <v>#N/A</v>
      </c>
      <c r="P1732">
        <f>'Nom du personnage'!$U$51</f>
        <v>0</v>
      </c>
    </row>
    <row r="1733" spans="10:16">
      <c r="J1733" s="2"/>
      <c r="K1733" s="2"/>
      <c r="M1733">
        <f t="shared" si="142"/>
        <v>0</v>
      </c>
      <c r="N1733" t="e">
        <f t="shared" si="141"/>
        <v>#N/A</v>
      </c>
      <c r="O1733" t="e">
        <f t="shared" si="143"/>
        <v>#N/A</v>
      </c>
      <c r="P1733">
        <f>'Nom du personnage'!$U$51</f>
        <v>0</v>
      </c>
    </row>
    <row r="1734" spans="10:16">
      <c r="J1734" s="2"/>
      <c r="K1734" s="2"/>
      <c r="M1734">
        <f t="shared" si="142"/>
        <v>0</v>
      </c>
      <c r="N1734" t="e">
        <f t="shared" si="141"/>
        <v>#N/A</v>
      </c>
      <c r="O1734" t="e">
        <f t="shared" si="143"/>
        <v>#N/A</v>
      </c>
      <c r="P1734">
        <f>'Nom du personnage'!$U$51</f>
        <v>0</v>
      </c>
    </row>
    <row r="1735" spans="10:16">
      <c r="J1735" s="2"/>
      <c r="K1735" s="2"/>
      <c r="M1735">
        <f t="shared" si="142"/>
        <v>0</v>
      </c>
      <c r="N1735" t="e">
        <f t="shared" si="141"/>
        <v>#N/A</v>
      </c>
      <c r="O1735" t="e">
        <f t="shared" si="143"/>
        <v>#N/A</v>
      </c>
      <c r="P1735">
        <f>'Nom du personnage'!$U$51</f>
        <v>0</v>
      </c>
    </row>
    <row r="1736" spans="10:16">
      <c r="J1736" s="2"/>
      <c r="K1736" s="2"/>
      <c r="M1736">
        <f t="shared" si="142"/>
        <v>0</v>
      </c>
      <c r="N1736" t="e">
        <f t="shared" si="141"/>
        <v>#N/A</v>
      </c>
      <c r="O1736" t="e">
        <f t="shared" si="143"/>
        <v>#N/A</v>
      </c>
      <c r="P1736">
        <f>'Nom du personnage'!$U$51</f>
        <v>0</v>
      </c>
    </row>
    <row r="1737" spans="10:16">
      <c r="J1737" s="2"/>
      <c r="K1737" s="2"/>
      <c r="M1737">
        <f t="shared" si="142"/>
        <v>0</v>
      </c>
      <c r="N1737" t="e">
        <f t="shared" si="141"/>
        <v>#N/A</v>
      </c>
      <c r="O1737" t="e">
        <f t="shared" si="143"/>
        <v>#N/A</v>
      </c>
      <c r="P1737">
        <f>'Nom du personnage'!$U$51</f>
        <v>0</v>
      </c>
    </row>
    <row r="1738" spans="10:16">
      <c r="J1738" s="2"/>
      <c r="K1738" s="2"/>
      <c r="M1738">
        <f t="shared" si="142"/>
        <v>0</v>
      </c>
      <c r="N1738" t="e">
        <f t="shared" si="141"/>
        <v>#N/A</v>
      </c>
      <c r="O1738" t="e">
        <f t="shared" si="143"/>
        <v>#N/A</v>
      </c>
      <c r="P1738">
        <f>'Nom du personnage'!$U$51</f>
        <v>0</v>
      </c>
    </row>
    <row r="1739" spans="10:16">
      <c r="J1739" s="2"/>
      <c r="K1739" s="2"/>
      <c r="M1739">
        <f t="shared" si="142"/>
        <v>0</v>
      </c>
      <c r="N1739" t="e">
        <f t="shared" si="141"/>
        <v>#N/A</v>
      </c>
      <c r="O1739" t="e">
        <f t="shared" si="143"/>
        <v>#N/A</v>
      </c>
      <c r="P1739">
        <f>'Nom du personnage'!$U$51</f>
        <v>0</v>
      </c>
    </row>
    <row r="1740" spans="10:16">
      <c r="J1740" s="2"/>
      <c r="K1740" s="2"/>
      <c r="M1740">
        <f t="shared" si="142"/>
        <v>0</v>
      </c>
      <c r="N1740" t="e">
        <f t="shared" si="141"/>
        <v>#N/A</v>
      </c>
      <c r="O1740" t="e">
        <f t="shared" si="143"/>
        <v>#N/A</v>
      </c>
      <c r="P1740">
        <f>'Nom du personnage'!$U$51</f>
        <v>0</v>
      </c>
    </row>
    <row r="1741" spans="10:16">
      <c r="J1741" s="2"/>
      <c r="K1741" s="2"/>
      <c r="M1741">
        <f t="shared" si="142"/>
        <v>0</v>
      </c>
      <c r="N1741" t="e">
        <f t="shared" si="141"/>
        <v>#N/A</v>
      </c>
      <c r="O1741" t="e">
        <f t="shared" si="143"/>
        <v>#N/A</v>
      </c>
      <c r="P1741">
        <f>'Nom du personnage'!$U$51</f>
        <v>0</v>
      </c>
    </row>
    <row r="1742" spans="10:16">
      <c r="J1742" s="2"/>
      <c r="K1742" s="2"/>
      <c r="M1742">
        <f t="shared" si="142"/>
        <v>0</v>
      </c>
      <c r="N1742" t="e">
        <f t="shared" si="141"/>
        <v>#N/A</v>
      </c>
      <c r="O1742" t="e">
        <f t="shared" si="143"/>
        <v>#N/A</v>
      </c>
      <c r="P1742">
        <f>'Nom du personnage'!$U$51</f>
        <v>0</v>
      </c>
    </row>
    <row r="1743" spans="10:16">
      <c r="J1743" s="2"/>
      <c r="K1743" s="2"/>
      <c r="M1743">
        <f t="shared" si="142"/>
        <v>0</v>
      </c>
      <c r="N1743" t="e">
        <f t="shared" si="141"/>
        <v>#N/A</v>
      </c>
      <c r="O1743" t="e">
        <f t="shared" si="143"/>
        <v>#N/A</v>
      </c>
      <c r="P1743">
        <f>'Nom du personnage'!$U$51</f>
        <v>0</v>
      </c>
    </row>
    <row r="1744" spans="10:16">
      <c r="J1744" s="2"/>
      <c r="K1744" s="2"/>
      <c r="M1744">
        <f t="shared" si="142"/>
        <v>0</v>
      </c>
      <c r="N1744" t="e">
        <f t="shared" si="141"/>
        <v>#N/A</v>
      </c>
      <c r="O1744" t="e">
        <f t="shared" si="143"/>
        <v>#N/A</v>
      </c>
      <c r="P1744">
        <f>'Nom du personnage'!$U$51</f>
        <v>0</v>
      </c>
    </row>
    <row r="1745" spans="10:16">
      <c r="J1745" s="2"/>
      <c r="K1745" s="2"/>
      <c r="M1745">
        <f t="shared" si="142"/>
        <v>0</v>
      </c>
      <c r="N1745" t="e">
        <f t="shared" si="141"/>
        <v>#N/A</v>
      </c>
      <c r="O1745" t="e">
        <f t="shared" si="143"/>
        <v>#N/A</v>
      </c>
      <c r="P1745">
        <f>'Nom du personnage'!$U$51</f>
        <v>0</v>
      </c>
    </row>
    <row r="1746" spans="10:16">
      <c r="J1746" s="2"/>
      <c r="K1746" s="2"/>
      <c r="M1746">
        <f t="shared" si="142"/>
        <v>0</v>
      </c>
      <c r="N1746" t="e">
        <f t="shared" si="141"/>
        <v>#N/A</v>
      </c>
      <c r="O1746" t="e">
        <f t="shared" si="143"/>
        <v>#N/A</v>
      </c>
      <c r="P1746">
        <f>'Nom du personnage'!$U$51</f>
        <v>0</v>
      </c>
    </row>
    <row r="1747" spans="10:16">
      <c r="J1747" s="2"/>
      <c r="K1747" s="2"/>
      <c r="M1747">
        <f t="shared" si="142"/>
        <v>0</v>
      </c>
      <c r="N1747" t="e">
        <f t="shared" si="141"/>
        <v>#N/A</v>
      </c>
      <c r="O1747" t="e">
        <f t="shared" si="143"/>
        <v>#N/A</v>
      </c>
      <c r="P1747">
        <f>'Nom du personnage'!$U$51</f>
        <v>0</v>
      </c>
    </row>
    <row r="1748" spans="10:16">
      <c r="J1748" s="2"/>
      <c r="K1748" s="2"/>
      <c r="M1748">
        <f t="shared" si="142"/>
        <v>0</v>
      </c>
      <c r="N1748" t="e">
        <f t="shared" si="141"/>
        <v>#N/A</v>
      </c>
      <c r="O1748" t="e">
        <f t="shared" si="143"/>
        <v>#N/A</v>
      </c>
      <c r="P1748">
        <f>'Nom du personnage'!$U$51</f>
        <v>0</v>
      </c>
    </row>
    <row r="1749" spans="10:16">
      <c r="J1749" s="2"/>
      <c r="K1749" s="2"/>
      <c r="M1749">
        <f t="shared" si="142"/>
        <v>0</v>
      </c>
      <c r="N1749" t="e">
        <f t="shared" si="141"/>
        <v>#N/A</v>
      </c>
      <c r="O1749" t="e">
        <f t="shared" si="143"/>
        <v>#N/A</v>
      </c>
      <c r="P1749">
        <f>'Nom du personnage'!$U$51</f>
        <v>0</v>
      </c>
    </row>
    <row r="1750" spans="10:16">
      <c r="J1750" s="2"/>
      <c r="K1750" s="2"/>
      <c r="M1750">
        <f t="shared" si="142"/>
        <v>0</v>
      </c>
      <c r="N1750" t="e">
        <f t="shared" si="141"/>
        <v>#N/A</v>
      </c>
      <c r="O1750" t="e">
        <f t="shared" si="143"/>
        <v>#N/A</v>
      </c>
      <c r="P1750">
        <f>'Nom du personnage'!$U$51</f>
        <v>0</v>
      </c>
    </row>
    <row r="1751" spans="10:16">
      <c r="J1751" s="2"/>
      <c r="K1751" s="2"/>
      <c r="M1751">
        <f t="shared" si="142"/>
        <v>0</v>
      </c>
      <c r="N1751" t="e">
        <f t="shared" si="141"/>
        <v>#N/A</v>
      </c>
      <c r="O1751" t="e">
        <f t="shared" si="143"/>
        <v>#N/A</v>
      </c>
      <c r="P1751">
        <f>'Nom du personnage'!$U$51</f>
        <v>0</v>
      </c>
    </row>
    <row r="1752" spans="10:16">
      <c r="J1752" s="2"/>
      <c r="K1752" s="2"/>
      <c r="M1752">
        <f t="shared" si="142"/>
        <v>0</v>
      </c>
      <c r="N1752" t="e">
        <f t="shared" si="141"/>
        <v>#N/A</v>
      </c>
      <c r="O1752" t="e">
        <f t="shared" si="143"/>
        <v>#N/A</v>
      </c>
      <c r="P1752">
        <f>'Nom du personnage'!$U$51</f>
        <v>0</v>
      </c>
    </row>
    <row r="1753" spans="10:16">
      <c r="J1753" s="2"/>
      <c r="K1753" s="2"/>
      <c r="M1753">
        <f t="shared" si="142"/>
        <v>0</v>
      </c>
      <c r="N1753" t="e">
        <f t="shared" si="141"/>
        <v>#N/A</v>
      </c>
      <c r="O1753" t="e">
        <f t="shared" si="143"/>
        <v>#N/A</v>
      </c>
      <c r="P1753">
        <f>'Nom du personnage'!$U$51</f>
        <v>0</v>
      </c>
    </row>
    <row r="1754" spans="10:16">
      <c r="J1754" s="2"/>
      <c r="K1754" s="2"/>
      <c r="M1754">
        <f t="shared" si="142"/>
        <v>0</v>
      </c>
      <c r="N1754" t="e">
        <f t="shared" si="141"/>
        <v>#N/A</v>
      </c>
      <c r="O1754" t="e">
        <f t="shared" si="143"/>
        <v>#N/A</v>
      </c>
      <c r="P1754">
        <f>'Nom du personnage'!$U$51</f>
        <v>0</v>
      </c>
    </row>
    <row r="1755" spans="10:16">
      <c r="J1755" s="2"/>
      <c r="K1755" s="2"/>
      <c r="M1755">
        <f t="shared" si="142"/>
        <v>0</v>
      </c>
      <c r="N1755" t="e">
        <f t="shared" si="141"/>
        <v>#N/A</v>
      </c>
      <c r="O1755" t="e">
        <f t="shared" si="143"/>
        <v>#N/A</v>
      </c>
      <c r="P1755">
        <f>'Nom du personnage'!$U$51</f>
        <v>0</v>
      </c>
    </row>
    <row r="1756" spans="10:16">
      <c r="J1756" s="2"/>
      <c r="K1756" s="2"/>
      <c r="M1756">
        <f t="shared" si="142"/>
        <v>0</v>
      </c>
      <c r="N1756" t="e">
        <f t="shared" ref="N1756:N1819" si="144">VLOOKUP(M1756,H1756:J1813,2,FALSE)</f>
        <v>#N/A</v>
      </c>
      <c r="O1756" t="e">
        <f t="shared" si="143"/>
        <v>#N/A</v>
      </c>
      <c r="P1756">
        <f>'Nom du personnage'!$U$51</f>
        <v>0</v>
      </c>
    </row>
    <row r="1757" spans="10:16">
      <c r="J1757" s="2"/>
      <c r="K1757" s="2"/>
      <c r="M1757">
        <f t="shared" si="142"/>
        <v>0</v>
      </c>
      <c r="N1757" t="e">
        <f t="shared" si="144"/>
        <v>#N/A</v>
      </c>
      <c r="O1757" t="e">
        <f t="shared" si="143"/>
        <v>#N/A</v>
      </c>
      <c r="P1757">
        <f>'Nom du personnage'!$U$51</f>
        <v>0</v>
      </c>
    </row>
    <row r="1758" spans="10:16">
      <c r="J1758" s="2"/>
      <c r="K1758" s="2"/>
      <c r="M1758">
        <f t="shared" ref="M1758:M1821" si="145">IF(P1758=J1758,H1758,)</f>
        <v>0</v>
      </c>
      <c r="N1758" t="e">
        <f t="shared" si="144"/>
        <v>#N/A</v>
      </c>
      <c r="O1758" t="e">
        <f t="shared" si="143"/>
        <v>#N/A</v>
      </c>
      <c r="P1758">
        <f>'Nom du personnage'!$U$51</f>
        <v>0</v>
      </c>
    </row>
    <row r="1759" spans="10:16">
      <c r="J1759" s="2"/>
      <c r="K1759" s="2"/>
      <c r="M1759">
        <f t="shared" si="145"/>
        <v>0</v>
      </c>
      <c r="N1759" t="e">
        <f t="shared" si="144"/>
        <v>#N/A</v>
      </c>
      <c r="O1759" t="e">
        <f t="shared" si="143"/>
        <v>#N/A</v>
      </c>
      <c r="P1759">
        <f>'Nom du personnage'!$U$51</f>
        <v>0</v>
      </c>
    </row>
    <row r="1760" spans="10:16">
      <c r="J1760" s="2"/>
      <c r="K1760" s="2"/>
      <c r="M1760">
        <f t="shared" si="145"/>
        <v>0</v>
      </c>
      <c r="N1760" t="e">
        <f t="shared" si="144"/>
        <v>#N/A</v>
      </c>
      <c r="O1760" t="e">
        <f t="shared" si="143"/>
        <v>#N/A</v>
      </c>
      <c r="P1760">
        <f>'Nom du personnage'!$U$51</f>
        <v>0</v>
      </c>
    </row>
    <row r="1761" spans="10:16">
      <c r="J1761" s="2"/>
      <c r="K1761" s="2"/>
      <c r="M1761">
        <f t="shared" si="145"/>
        <v>0</v>
      </c>
      <c r="N1761" t="e">
        <f t="shared" si="144"/>
        <v>#N/A</v>
      </c>
      <c r="O1761" t="e">
        <f t="shared" si="143"/>
        <v>#N/A</v>
      </c>
      <c r="P1761">
        <f>'Nom du personnage'!$U$51</f>
        <v>0</v>
      </c>
    </row>
    <row r="1762" spans="10:16">
      <c r="J1762" s="2"/>
      <c r="K1762" s="2"/>
      <c r="M1762">
        <f t="shared" si="145"/>
        <v>0</v>
      </c>
      <c r="N1762" t="e">
        <f t="shared" si="144"/>
        <v>#N/A</v>
      </c>
      <c r="O1762" t="e">
        <f t="shared" si="143"/>
        <v>#N/A</v>
      </c>
      <c r="P1762">
        <f>'Nom du personnage'!$U$51</f>
        <v>0</v>
      </c>
    </row>
    <row r="1763" spans="10:16">
      <c r="J1763" s="2"/>
      <c r="K1763" s="2"/>
      <c r="M1763">
        <f t="shared" si="145"/>
        <v>0</v>
      </c>
      <c r="N1763" t="e">
        <f t="shared" si="144"/>
        <v>#N/A</v>
      </c>
      <c r="O1763" t="e">
        <f t="shared" si="143"/>
        <v>#N/A</v>
      </c>
      <c r="P1763">
        <f>'Nom du personnage'!$U$51</f>
        <v>0</v>
      </c>
    </row>
    <row r="1764" spans="10:16">
      <c r="J1764" s="2"/>
      <c r="K1764" s="2"/>
      <c r="M1764">
        <f t="shared" si="145"/>
        <v>0</v>
      </c>
      <c r="N1764" t="e">
        <f t="shared" si="144"/>
        <v>#N/A</v>
      </c>
      <c r="O1764" t="e">
        <f t="shared" si="143"/>
        <v>#N/A</v>
      </c>
      <c r="P1764">
        <f>'Nom du personnage'!$U$51</f>
        <v>0</v>
      </c>
    </row>
    <row r="1765" spans="10:16">
      <c r="J1765" s="2"/>
      <c r="K1765" s="2"/>
      <c r="M1765">
        <f t="shared" si="145"/>
        <v>0</v>
      </c>
      <c r="N1765" t="e">
        <f t="shared" si="144"/>
        <v>#N/A</v>
      </c>
      <c r="O1765" t="e">
        <f t="shared" si="143"/>
        <v>#N/A</v>
      </c>
      <c r="P1765">
        <f>'Nom du personnage'!$U$51</f>
        <v>0</v>
      </c>
    </row>
    <row r="1766" spans="10:16">
      <c r="J1766" s="2"/>
      <c r="K1766" s="2"/>
      <c r="M1766">
        <f t="shared" si="145"/>
        <v>0</v>
      </c>
      <c r="N1766" t="e">
        <f t="shared" si="144"/>
        <v>#N/A</v>
      </c>
      <c r="O1766" t="e">
        <f t="shared" si="143"/>
        <v>#N/A</v>
      </c>
      <c r="P1766">
        <f>'Nom du personnage'!$U$51</f>
        <v>0</v>
      </c>
    </row>
    <row r="1767" spans="10:16">
      <c r="J1767" s="2"/>
      <c r="K1767" s="2"/>
      <c r="M1767">
        <f t="shared" si="145"/>
        <v>0</v>
      </c>
      <c r="N1767" t="e">
        <f t="shared" si="144"/>
        <v>#N/A</v>
      </c>
      <c r="O1767" t="e">
        <f t="shared" si="143"/>
        <v>#N/A</v>
      </c>
      <c r="P1767">
        <f>'Nom du personnage'!$U$51</f>
        <v>0</v>
      </c>
    </row>
    <row r="1768" spans="10:16">
      <c r="J1768" s="2"/>
      <c r="K1768" s="2"/>
      <c r="M1768">
        <f t="shared" si="145"/>
        <v>0</v>
      </c>
      <c r="N1768" t="e">
        <f t="shared" si="144"/>
        <v>#N/A</v>
      </c>
      <c r="O1768" t="e">
        <f t="shared" si="143"/>
        <v>#N/A</v>
      </c>
      <c r="P1768">
        <f>'Nom du personnage'!$U$51</f>
        <v>0</v>
      </c>
    </row>
    <row r="1769" spans="10:16">
      <c r="J1769" s="2"/>
      <c r="K1769" s="2"/>
      <c r="M1769">
        <f t="shared" si="145"/>
        <v>0</v>
      </c>
      <c r="N1769" t="e">
        <f t="shared" si="144"/>
        <v>#N/A</v>
      </c>
      <c r="O1769" t="e">
        <f t="shared" si="143"/>
        <v>#N/A</v>
      </c>
      <c r="P1769">
        <f>'Nom du personnage'!$U$51</f>
        <v>0</v>
      </c>
    </row>
    <row r="1770" spans="10:16">
      <c r="J1770" s="2"/>
      <c r="K1770" s="2"/>
      <c r="M1770">
        <f t="shared" si="145"/>
        <v>0</v>
      </c>
      <c r="N1770" t="e">
        <f t="shared" si="144"/>
        <v>#N/A</v>
      </c>
      <c r="O1770" t="e">
        <f t="shared" si="143"/>
        <v>#N/A</v>
      </c>
      <c r="P1770">
        <f>'Nom du personnage'!$U$51</f>
        <v>0</v>
      </c>
    </row>
    <row r="1771" spans="10:16">
      <c r="J1771" s="2"/>
      <c r="K1771" s="2"/>
      <c r="M1771">
        <f t="shared" si="145"/>
        <v>0</v>
      </c>
      <c r="N1771" t="e">
        <f t="shared" si="144"/>
        <v>#N/A</v>
      </c>
      <c r="O1771" t="e">
        <f t="shared" si="143"/>
        <v>#N/A</v>
      </c>
      <c r="P1771">
        <f>'Nom du personnage'!$U$51</f>
        <v>0</v>
      </c>
    </row>
    <row r="1772" spans="10:16">
      <c r="J1772" s="2"/>
      <c r="K1772" s="2"/>
      <c r="M1772">
        <f t="shared" si="145"/>
        <v>0</v>
      </c>
      <c r="N1772" t="e">
        <f t="shared" si="144"/>
        <v>#N/A</v>
      </c>
      <c r="O1772" t="e">
        <f t="shared" si="143"/>
        <v>#N/A</v>
      </c>
      <c r="P1772">
        <f>'Nom du personnage'!$U$51</f>
        <v>0</v>
      </c>
    </row>
    <row r="1773" spans="10:16">
      <c r="J1773" s="2"/>
      <c r="K1773" s="2"/>
      <c r="M1773">
        <f t="shared" si="145"/>
        <v>0</v>
      </c>
      <c r="N1773" t="e">
        <f t="shared" si="144"/>
        <v>#N/A</v>
      </c>
      <c r="O1773" t="e">
        <f t="shared" si="143"/>
        <v>#N/A</v>
      </c>
      <c r="P1773">
        <f>'Nom du personnage'!$U$51</f>
        <v>0</v>
      </c>
    </row>
    <row r="1774" spans="10:16">
      <c r="J1774" s="2"/>
      <c r="K1774" s="2"/>
      <c r="M1774">
        <f t="shared" si="145"/>
        <v>0</v>
      </c>
      <c r="N1774" t="e">
        <f t="shared" si="144"/>
        <v>#N/A</v>
      </c>
      <c r="O1774" t="e">
        <f t="shared" si="143"/>
        <v>#N/A</v>
      </c>
      <c r="P1774">
        <f>'Nom du personnage'!$U$51</f>
        <v>0</v>
      </c>
    </row>
    <row r="1775" spans="10:16">
      <c r="J1775" s="2"/>
      <c r="K1775" s="2"/>
      <c r="M1775">
        <f t="shared" si="145"/>
        <v>0</v>
      </c>
      <c r="N1775" t="e">
        <f t="shared" si="144"/>
        <v>#N/A</v>
      </c>
      <c r="O1775" t="e">
        <f t="shared" si="143"/>
        <v>#N/A</v>
      </c>
      <c r="P1775">
        <f>'Nom du personnage'!$U$51</f>
        <v>0</v>
      </c>
    </row>
    <row r="1776" spans="10:16">
      <c r="J1776" s="2"/>
      <c r="K1776" s="2"/>
      <c r="M1776">
        <f t="shared" si="145"/>
        <v>0</v>
      </c>
      <c r="N1776" t="e">
        <f t="shared" si="144"/>
        <v>#N/A</v>
      </c>
      <c r="O1776" t="e">
        <f t="shared" si="143"/>
        <v>#N/A</v>
      </c>
      <c r="P1776">
        <f>'Nom du personnage'!$U$51</f>
        <v>0</v>
      </c>
    </row>
    <row r="1777" spans="10:16">
      <c r="J1777" s="2"/>
      <c r="K1777" s="2"/>
      <c r="M1777">
        <f t="shared" si="145"/>
        <v>0</v>
      </c>
      <c r="N1777" t="e">
        <f t="shared" si="144"/>
        <v>#N/A</v>
      </c>
      <c r="O1777" t="e">
        <f t="shared" si="143"/>
        <v>#N/A</v>
      </c>
      <c r="P1777">
        <f>'Nom du personnage'!$U$51</f>
        <v>0</v>
      </c>
    </row>
    <row r="1778" spans="10:16">
      <c r="J1778" s="2"/>
      <c r="K1778" s="2"/>
      <c r="M1778">
        <f t="shared" si="145"/>
        <v>0</v>
      </c>
      <c r="N1778" t="e">
        <f t="shared" si="144"/>
        <v>#N/A</v>
      </c>
      <c r="O1778" t="e">
        <f t="shared" si="143"/>
        <v>#N/A</v>
      </c>
      <c r="P1778">
        <f>'Nom du personnage'!$U$51</f>
        <v>0</v>
      </c>
    </row>
    <row r="1779" spans="10:16">
      <c r="J1779" s="2"/>
      <c r="K1779" s="2"/>
      <c r="M1779">
        <f t="shared" si="145"/>
        <v>0</v>
      </c>
      <c r="N1779" t="e">
        <f t="shared" si="144"/>
        <v>#N/A</v>
      </c>
      <c r="O1779" t="e">
        <f t="shared" si="143"/>
        <v>#N/A</v>
      </c>
      <c r="P1779">
        <f>'Nom du personnage'!$U$51</f>
        <v>0</v>
      </c>
    </row>
    <row r="1780" spans="10:16">
      <c r="J1780" s="2"/>
      <c r="K1780" s="2"/>
      <c r="M1780">
        <f t="shared" si="145"/>
        <v>0</v>
      </c>
      <c r="N1780" t="e">
        <f t="shared" si="144"/>
        <v>#N/A</v>
      </c>
      <c r="O1780" t="e">
        <f t="shared" si="143"/>
        <v>#N/A</v>
      </c>
      <c r="P1780">
        <f>'Nom du personnage'!$U$51</f>
        <v>0</v>
      </c>
    </row>
    <row r="1781" spans="10:16">
      <c r="J1781" s="2"/>
      <c r="K1781" s="2"/>
      <c r="M1781">
        <f t="shared" si="145"/>
        <v>0</v>
      </c>
      <c r="N1781" t="e">
        <f t="shared" si="144"/>
        <v>#N/A</v>
      </c>
      <c r="O1781" t="e">
        <f t="shared" si="143"/>
        <v>#N/A</v>
      </c>
      <c r="P1781">
        <f>'Nom du personnage'!$U$51</f>
        <v>0</v>
      </c>
    </row>
    <row r="1782" spans="10:16">
      <c r="J1782" s="2"/>
      <c r="K1782" s="2"/>
      <c r="M1782">
        <f t="shared" si="145"/>
        <v>0</v>
      </c>
      <c r="N1782" t="e">
        <f t="shared" si="144"/>
        <v>#N/A</v>
      </c>
      <c r="O1782" t="e">
        <f t="shared" si="143"/>
        <v>#N/A</v>
      </c>
      <c r="P1782">
        <f>'Nom du personnage'!$U$51</f>
        <v>0</v>
      </c>
    </row>
    <row r="1783" spans="10:16">
      <c r="J1783" s="2"/>
      <c r="K1783" s="2"/>
      <c r="M1783">
        <f t="shared" si="145"/>
        <v>0</v>
      </c>
      <c r="N1783" t="e">
        <f t="shared" si="144"/>
        <v>#N/A</v>
      </c>
      <c r="O1783" t="e">
        <f t="shared" si="143"/>
        <v>#N/A</v>
      </c>
      <c r="P1783">
        <f>'Nom du personnage'!$U$51</f>
        <v>0</v>
      </c>
    </row>
    <row r="1784" spans="10:16">
      <c r="J1784" s="2"/>
      <c r="K1784" s="2"/>
      <c r="M1784">
        <f t="shared" si="145"/>
        <v>0</v>
      </c>
      <c r="N1784" t="e">
        <f t="shared" si="144"/>
        <v>#N/A</v>
      </c>
      <c r="O1784" t="e">
        <f t="shared" si="143"/>
        <v>#N/A</v>
      </c>
      <c r="P1784">
        <f>'Nom du personnage'!$U$51</f>
        <v>0</v>
      </c>
    </row>
    <row r="1785" spans="10:16">
      <c r="J1785" s="2"/>
      <c r="K1785" s="2"/>
      <c r="M1785">
        <f t="shared" si="145"/>
        <v>0</v>
      </c>
      <c r="N1785" t="e">
        <f t="shared" si="144"/>
        <v>#N/A</v>
      </c>
      <c r="O1785" t="e">
        <f t="shared" si="143"/>
        <v>#N/A</v>
      </c>
      <c r="P1785">
        <f>'Nom du personnage'!$U$51</f>
        <v>0</v>
      </c>
    </row>
    <row r="1786" spans="10:16">
      <c r="J1786" s="2"/>
      <c r="K1786" s="2"/>
      <c r="M1786">
        <f t="shared" si="145"/>
        <v>0</v>
      </c>
      <c r="N1786" t="e">
        <f t="shared" si="144"/>
        <v>#N/A</v>
      </c>
      <c r="O1786" t="e">
        <f t="shared" ref="O1786:O1849" si="146">VLOOKUP(M1786,H1786:J1843,2,FALSE)+1</f>
        <v>#N/A</v>
      </c>
      <c r="P1786">
        <f>'Nom du personnage'!$U$51</f>
        <v>0</v>
      </c>
    </row>
    <row r="1787" spans="10:16">
      <c r="J1787" s="2"/>
      <c r="K1787" s="2"/>
      <c r="M1787">
        <f t="shared" si="145"/>
        <v>0</v>
      </c>
      <c r="N1787" t="e">
        <f t="shared" si="144"/>
        <v>#N/A</v>
      </c>
      <c r="O1787" t="e">
        <f t="shared" si="146"/>
        <v>#N/A</v>
      </c>
      <c r="P1787">
        <f>'Nom du personnage'!$U$51</f>
        <v>0</v>
      </c>
    </row>
    <row r="1788" spans="10:16">
      <c r="J1788" s="2"/>
      <c r="K1788" s="2"/>
      <c r="M1788">
        <f t="shared" si="145"/>
        <v>0</v>
      </c>
      <c r="N1788" t="e">
        <f t="shared" si="144"/>
        <v>#N/A</v>
      </c>
      <c r="O1788" t="e">
        <f t="shared" si="146"/>
        <v>#N/A</v>
      </c>
      <c r="P1788">
        <f>'Nom du personnage'!$U$51</f>
        <v>0</v>
      </c>
    </row>
    <row r="1789" spans="10:16">
      <c r="J1789" s="2"/>
      <c r="K1789" s="2"/>
      <c r="M1789">
        <f t="shared" si="145"/>
        <v>0</v>
      </c>
      <c r="N1789" t="e">
        <f t="shared" si="144"/>
        <v>#N/A</v>
      </c>
      <c r="O1789" t="e">
        <f t="shared" si="146"/>
        <v>#N/A</v>
      </c>
      <c r="P1789">
        <f>'Nom du personnage'!$U$51</f>
        <v>0</v>
      </c>
    </row>
    <row r="1790" spans="10:16">
      <c r="J1790" s="2"/>
      <c r="K1790" s="2"/>
      <c r="M1790">
        <f t="shared" si="145"/>
        <v>0</v>
      </c>
      <c r="N1790" t="e">
        <f t="shared" si="144"/>
        <v>#N/A</v>
      </c>
      <c r="O1790" t="e">
        <f t="shared" si="146"/>
        <v>#N/A</v>
      </c>
      <c r="P1790">
        <f>'Nom du personnage'!$U$51</f>
        <v>0</v>
      </c>
    </row>
    <row r="1791" spans="10:16">
      <c r="J1791" s="2"/>
      <c r="K1791" s="2"/>
      <c r="M1791">
        <f t="shared" si="145"/>
        <v>0</v>
      </c>
      <c r="N1791" t="e">
        <f t="shared" si="144"/>
        <v>#N/A</v>
      </c>
      <c r="O1791" t="e">
        <f t="shared" si="146"/>
        <v>#N/A</v>
      </c>
      <c r="P1791">
        <f>'Nom du personnage'!$U$51</f>
        <v>0</v>
      </c>
    </row>
    <row r="1792" spans="10:16">
      <c r="J1792" s="2"/>
      <c r="K1792" s="2"/>
      <c r="M1792">
        <f t="shared" si="145"/>
        <v>0</v>
      </c>
      <c r="N1792" t="e">
        <f t="shared" si="144"/>
        <v>#N/A</v>
      </c>
      <c r="O1792" t="e">
        <f t="shared" si="146"/>
        <v>#N/A</v>
      </c>
      <c r="P1792">
        <f>'Nom du personnage'!$U$51</f>
        <v>0</v>
      </c>
    </row>
    <row r="1793" spans="10:16">
      <c r="J1793" s="2"/>
      <c r="K1793" s="2"/>
      <c r="M1793">
        <f t="shared" si="145"/>
        <v>0</v>
      </c>
      <c r="N1793" t="e">
        <f t="shared" si="144"/>
        <v>#N/A</v>
      </c>
      <c r="O1793" t="e">
        <f t="shared" si="146"/>
        <v>#N/A</v>
      </c>
      <c r="P1793">
        <f>'Nom du personnage'!$U$51</f>
        <v>0</v>
      </c>
    </row>
    <row r="1794" spans="10:16">
      <c r="J1794" s="2"/>
      <c r="K1794" s="2"/>
      <c r="M1794">
        <f t="shared" si="145"/>
        <v>0</v>
      </c>
      <c r="N1794" t="e">
        <f t="shared" si="144"/>
        <v>#N/A</v>
      </c>
      <c r="O1794" t="e">
        <f t="shared" si="146"/>
        <v>#N/A</v>
      </c>
      <c r="P1794">
        <f>'Nom du personnage'!$U$51</f>
        <v>0</v>
      </c>
    </row>
    <row r="1795" spans="10:16">
      <c r="J1795" s="2"/>
      <c r="K1795" s="2"/>
      <c r="M1795">
        <f t="shared" si="145"/>
        <v>0</v>
      </c>
      <c r="N1795" t="e">
        <f t="shared" si="144"/>
        <v>#N/A</v>
      </c>
      <c r="O1795" t="e">
        <f t="shared" si="146"/>
        <v>#N/A</v>
      </c>
      <c r="P1795">
        <f>'Nom du personnage'!$U$51</f>
        <v>0</v>
      </c>
    </row>
    <row r="1796" spans="10:16">
      <c r="J1796" s="2"/>
      <c r="K1796" s="2"/>
      <c r="M1796">
        <f t="shared" si="145"/>
        <v>0</v>
      </c>
      <c r="N1796" t="e">
        <f t="shared" si="144"/>
        <v>#N/A</v>
      </c>
      <c r="O1796" t="e">
        <f t="shared" si="146"/>
        <v>#N/A</v>
      </c>
      <c r="P1796">
        <f>'Nom du personnage'!$U$51</f>
        <v>0</v>
      </c>
    </row>
    <row r="1797" spans="10:16">
      <c r="J1797" s="2"/>
      <c r="K1797" s="2"/>
      <c r="M1797">
        <f t="shared" si="145"/>
        <v>0</v>
      </c>
      <c r="N1797" t="e">
        <f t="shared" si="144"/>
        <v>#N/A</v>
      </c>
      <c r="O1797" t="e">
        <f t="shared" si="146"/>
        <v>#N/A</v>
      </c>
      <c r="P1797">
        <f>'Nom du personnage'!$U$51</f>
        <v>0</v>
      </c>
    </row>
    <row r="1798" spans="10:16">
      <c r="J1798" s="2"/>
      <c r="K1798" s="2"/>
      <c r="M1798">
        <f t="shared" si="145"/>
        <v>0</v>
      </c>
      <c r="N1798" t="e">
        <f t="shared" si="144"/>
        <v>#N/A</v>
      </c>
      <c r="O1798" t="e">
        <f t="shared" si="146"/>
        <v>#N/A</v>
      </c>
      <c r="P1798">
        <f>'Nom du personnage'!$U$51</f>
        <v>0</v>
      </c>
    </row>
    <row r="1799" spans="10:16">
      <c r="J1799" s="2"/>
      <c r="K1799" s="2"/>
      <c r="M1799">
        <f t="shared" si="145"/>
        <v>0</v>
      </c>
      <c r="N1799" t="e">
        <f t="shared" si="144"/>
        <v>#N/A</v>
      </c>
      <c r="O1799" t="e">
        <f t="shared" si="146"/>
        <v>#N/A</v>
      </c>
      <c r="P1799">
        <f>'Nom du personnage'!$U$51</f>
        <v>0</v>
      </c>
    </row>
    <row r="1800" spans="10:16">
      <c r="J1800" s="2"/>
      <c r="K1800" s="2"/>
      <c r="M1800">
        <f t="shared" si="145"/>
        <v>0</v>
      </c>
      <c r="N1800" t="e">
        <f t="shared" si="144"/>
        <v>#N/A</v>
      </c>
      <c r="O1800" t="e">
        <f t="shared" si="146"/>
        <v>#N/A</v>
      </c>
      <c r="P1800">
        <f>'Nom du personnage'!$U$51</f>
        <v>0</v>
      </c>
    </row>
    <row r="1801" spans="10:16">
      <c r="J1801" s="2"/>
      <c r="K1801" s="2"/>
      <c r="M1801">
        <f t="shared" si="145"/>
        <v>0</v>
      </c>
      <c r="N1801" t="e">
        <f t="shared" si="144"/>
        <v>#N/A</v>
      </c>
      <c r="O1801" t="e">
        <f t="shared" si="146"/>
        <v>#N/A</v>
      </c>
      <c r="P1801">
        <f>'Nom du personnage'!$U$51</f>
        <v>0</v>
      </c>
    </row>
    <row r="1802" spans="10:16">
      <c r="J1802" s="2"/>
      <c r="K1802" s="2"/>
      <c r="M1802">
        <f t="shared" si="145"/>
        <v>0</v>
      </c>
      <c r="N1802" t="e">
        <f t="shared" si="144"/>
        <v>#N/A</v>
      </c>
      <c r="O1802" t="e">
        <f t="shared" si="146"/>
        <v>#N/A</v>
      </c>
      <c r="P1802">
        <f>'Nom du personnage'!$U$51</f>
        <v>0</v>
      </c>
    </row>
    <row r="1803" spans="10:16">
      <c r="J1803" s="2"/>
      <c r="K1803" s="2"/>
      <c r="M1803">
        <f t="shared" si="145"/>
        <v>0</v>
      </c>
      <c r="N1803" t="e">
        <f t="shared" si="144"/>
        <v>#N/A</v>
      </c>
      <c r="O1803" t="e">
        <f t="shared" si="146"/>
        <v>#N/A</v>
      </c>
      <c r="P1803">
        <f>'Nom du personnage'!$U$51</f>
        <v>0</v>
      </c>
    </row>
    <row r="1804" spans="10:16">
      <c r="J1804" s="2"/>
      <c r="K1804" s="2"/>
      <c r="M1804">
        <f t="shared" si="145"/>
        <v>0</v>
      </c>
      <c r="N1804" t="e">
        <f t="shared" si="144"/>
        <v>#N/A</v>
      </c>
      <c r="O1804" t="e">
        <f t="shared" si="146"/>
        <v>#N/A</v>
      </c>
      <c r="P1804">
        <f>'Nom du personnage'!$U$51</f>
        <v>0</v>
      </c>
    </row>
    <row r="1805" spans="10:16">
      <c r="J1805" s="2"/>
      <c r="K1805" s="2"/>
      <c r="M1805">
        <f t="shared" si="145"/>
        <v>0</v>
      </c>
      <c r="N1805" t="e">
        <f t="shared" si="144"/>
        <v>#N/A</v>
      </c>
      <c r="O1805" t="e">
        <f t="shared" si="146"/>
        <v>#N/A</v>
      </c>
      <c r="P1805">
        <f>'Nom du personnage'!$U$51</f>
        <v>0</v>
      </c>
    </row>
    <row r="1806" spans="10:16">
      <c r="J1806" s="2"/>
      <c r="K1806" s="2"/>
      <c r="M1806">
        <f t="shared" si="145"/>
        <v>0</v>
      </c>
      <c r="N1806" t="e">
        <f t="shared" si="144"/>
        <v>#N/A</v>
      </c>
      <c r="O1806" t="e">
        <f t="shared" si="146"/>
        <v>#N/A</v>
      </c>
      <c r="P1806">
        <f>'Nom du personnage'!$U$51</f>
        <v>0</v>
      </c>
    </row>
    <row r="1807" spans="10:16">
      <c r="J1807" s="2"/>
      <c r="K1807" s="2"/>
      <c r="M1807">
        <f t="shared" si="145"/>
        <v>0</v>
      </c>
      <c r="N1807" t="e">
        <f t="shared" si="144"/>
        <v>#N/A</v>
      </c>
      <c r="O1807" t="e">
        <f t="shared" si="146"/>
        <v>#N/A</v>
      </c>
      <c r="P1807">
        <f>'Nom du personnage'!$U$51</f>
        <v>0</v>
      </c>
    </row>
    <row r="1808" spans="10:16">
      <c r="J1808" s="2"/>
      <c r="K1808" s="2"/>
      <c r="M1808">
        <f t="shared" si="145"/>
        <v>0</v>
      </c>
      <c r="N1808" t="e">
        <f t="shared" si="144"/>
        <v>#N/A</v>
      </c>
      <c r="O1808" t="e">
        <f t="shared" si="146"/>
        <v>#N/A</v>
      </c>
      <c r="P1808">
        <f>'Nom du personnage'!$U$51</f>
        <v>0</v>
      </c>
    </row>
    <row r="1809" spans="10:16">
      <c r="J1809" s="2"/>
      <c r="K1809" s="2"/>
      <c r="M1809">
        <f t="shared" si="145"/>
        <v>0</v>
      </c>
      <c r="N1809" t="e">
        <f t="shared" si="144"/>
        <v>#N/A</v>
      </c>
      <c r="O1809" t="e">
        <f t="shared" si="146"/>
        <v>#N/A</v>
      </c>
      <c r="P1809">
        <f>'Nom du personnage'!$U$51</f>
        <v>0</v>
      </c>
    </row>
    <row r="1810" spans="10:16">
      <c r="J1810" s="2"/>
      <c r="K1810" s="2"/>
      <c r="M1810">
        <f t="shared" si="145"/>
        <v>0</v>
      </c>
      <c r="N1810" t="e">
        <f t="shared" si="144"/>
        <v>#N/A</v>
      </c>
      <c r="O1810" t="e">
        <f t="shared" si="146"/>
        <v>#N/A</v>
      </c>
      <c r="P1810">
        <f>'Nom du personnage'!$U$51</f>
        <v>0</v>
      </c>
    </row>
    <row r="1811" spans="10:16">
      <c r="J1811" s="2"/>
      <c r="K1811" s="2"/>
      <c r="M1811">
        <f t="shared" si="145"/>
        <v>0</v>
      </c>
      <c r="N1811" t="e">
        <f t="shared" si="144"/>
        <v>#N/A</v>
      </c>
      <c r="O1811" t="e">
        <f t="shared" si="146"/>
        <v>#N/A</v>
      </c>
      <c r="P1811">
        <f>'Nom du personnage'!$U$51</f>
        <v>0</v>
      </c>
    </row>
    <row r="1812" spans="10:16">
      <c r="J1812" s="2"/>
      <c r="K1812" s="2"/>
      <c r="M1812">
        <f t="shared" si="145"/>
        <v>0</v>
      </c>
      <c r="N1812" t="e">
        <f t="shared" si="144"/>
        <v>#N/A</v>
      </c>
      <c r="O1812" t="e">
        <f t="shared" si="146"/>
        <v>#N/A</v>
      </c>
      <c r="P1812">
        <f>'Nom du personnage'!$U$51</f>
        <v>0</v>
      </c>
    </row>
    <row r="1813" spans="10:16">
      <c r="J1813" s="2"/>
      <c r="K1813" s="2"/>
      <c r="M1813">
        <f t="shared" si="145"/>
        <v>0</v>
      </c>
      <c r="N1813" t="e">
        <f t="shared" si="144"/>
        <v>#N/A</v>
      </c>
      <c r="O1813" t="e">
        <f t="shared" si="146"/>
        <v>#N/A</v>
      </c>
      <c r="P1813">
        <f>'Nom du personnage'!$U$51</f>
        <v>0</v>
      </c>
    </row>
    <row r="1814" spans="10:16">
      <c r="J1814" s="2"/>
      <c r="K1814" s="2"/>
      <c r="M1814">
        <f t="shared" si="145"/>
        <v>0</v>
      </c>
      <c r="N1814" t="e">
        <f t="shared" si="144"/>
        <v>#N/A</v>
      </c>
      <c r="O1814" t="e">
        <f t="shared" si="146"/>
        <v>#N/A</v>
      </c>
      <c r="P1814">
        <f>'Nom du personnage'!$U$51</f>
        <v>0</v>
      </c>
    </row>
    <row r="1815" spans="10:16">
      <c r="J1815" s="2"/>
      <c r="K1815" s="2"/>
      <c r="M1815">
        <f t="shared" si="145"/>
        <v>0</v>
      </c>
      <c r="N1815" t="e">
        <f t="shared" si="144"/>
        <v>#N/A</v>
      </c>
      <c r="O1815" t="e">
        <f t="shared" si="146"/>
        <v>#N/A</v>
      </c>
      <c r="P1815">
        <f>'Nom du personnage'!$U$51</f>
        <v>0</v>
      </c>
    </row>
    <row r="1816" spans="10:16">
      <c r="J1816" s="2"/>
      <c r="K1816" s="2"/>
      <c r="M1816">
        <f t="shared" si="145"/>
        <v>0</v>
      </c>
      <c r="N1816" t="e">
        <f t="shared" si="144"/>
        <v>#N/A</v>
      </c>
      <c r="O1816" t="e">
        <f t="shared" si="146"/>
        <v>#N/A</v>
      </c>
      <c r="P1816">
        <f>'Nom du personnage'!$U$51</f>
        <v>0</v>
      </c>
    </row>
    <row r="1817" spans="10:16">
      <c r="J1817" s="2"/>
      <c r="K1817" s="2"/>
      <c r="M1817">
        <f t="shared" si="145"/>
        <v>0</v>
      </c>
      <c r="N1817" t="e">
        <f t="shared" si="144"/>
        <v>#N/A</v>
      </c>
      <c r="O1817" t="e">
        <f t="shared" si="146"/>
        <v>#N/A</v>
      </c>
      <c r="P1817">
        <f>'Nom du personnage'!$U$51</f>
        <v>0</v>
      </c>
    </row>
    <row r="1818" spans="10:16">
      <c r="J1818" s="2"/>
      <c r="K1818" s="2"/>
      <c r="M1818">
        <f t="shared" si="145"/>
        <v>0</v>
      </c>
      <c r="N1818" t="e">
        <f t="shared" si="144"/>
        <v>#N/A</v>
      </c>
      <c r="O1818" t="e">
        <f t="shared" si="146"/>
        <v>#N/A</v>
      </c>
      <c r="P1818">
        <f>'Nom du personnage'!$U$51</f>
        <v>0</v>
      </c>
    </row>
    <row r="1819" spans="10:16">
      <c r="J1819" s="2"/>
      <c r="K1819" s="2"/>
      <c r="M1819">
        <f t="shared" si="145"/>
        <v>0</v>
      </c>
      <c r="N1819" t="e">
        <f t="shared" si="144"/>
        <v>#N/A</v>
      </c>
      <c r="O1819" t="e">
        <f t="shared" si="146"/>
        <v>#N/A</v>
      </c>
      <c r="P1819">
        <f>'Nom du personnage'!$U$51</f>
        <v>0</v>
      </c>
    </row>
    <row r="1820" spans="10:16">
      <c r="J1820" s="2"/>
      <c r="K1820" s="2"/>
      <c r="M1820">
        <f t="shared" si="145"/>
        <v>0</v>
      </c>
      <c r="N1820" t="e">
        <f t="shared" ref="N1820:N1883" si="147">VLOOKUP(M1820,H1820:J1877,2,FALSE)</f>
        <v>#N/A</v>
      </c>
      <c r="O1820" t="e">
        <f t="shared" si="146"/>
        <v>#N/A</v>
      </c>
      <c r="P1820">
        <f>'Nom du personnage'!$U$51</f>
        <v>0</v>
      </c>
    </row>
    <row r="1821" spans="10:16">
      <c r="J1821" s="2"/>
      <c r="K1821" s="2"/>
      <c r="M1821">
        <f t="shared" si="145"/>
        <v>0</v>
      </c>
      <c r="N1821" t="e">
        <f t="shared" si="147"/>
        <v>#N/A</v>
      </c>
      <c r="O1821" t="e">
        <f t="shared" si="146"/>
        <v>#N/A</v>
      </c>
      <c r="P1821">
        <f>'Nom du personnage'!$U$51</f>
        <v>0</v>
      </c>
    </row>
    <row r="1822" spans="10:16">
      <c r="J1822" s="2"/>
      <c r="K1822" s="2"/>
      <c r="M1822">
        <f t="shared" ref="M1822:M1885" si="148">IF(P1822=J1822,H1822,)</f>
        <v>0</v>
      </c>
      <c r="N1822" t="e">
        <f t="shared" si="147"/>
        <v>#N/A</v>
      </c>
      <c r="O1822" t="e">
        <f t="shared" si="146"/>
        <v>#N/A</v>
      </c>
      <c r="P1822">
        <f>'Nom du personnage'!$U$51</f>
        <v>0</v>
      </c>
    </row>
    <row r="1823" spans="10:16">
      <c r="J1823" s="2"/>
      <c r="K1823" s="2"/>
      <c r="M1823">
        <f t="shared" si="148"/>
        <v>0</v>
      </c>
      <c r="N1823" t="e">
        <f t="shared" si="147"/>
        <v>#N/A</v>
      </c>
      <c r="O1823" t="e">
        <f t="shared" si="146"/>
        <v>#N/A</v>
      </c>
      <c r="P1823">
        <f>'Nom du personnage'!$U$51</f>
        <v>0</v>
      </c>
    </row>
    <row r="1824" spans="10:16">
      <c r="J1824" s="2"/>
      <c r="K1824" s="2"/>
      <c r="M1824">
        <f t="shared" si="148"/>
        <v>0</v>
      </c>
      <c r="N1824" t="e">
        <f t="shared" si="147"/>
        <v>#N/A</v>
      </c>
      <c r="O1824" t="e">
        <f t="shared" si="146"/>
        <v>#N/A</v>
      </c>
      <c r="P1824">
        <f>'Nom du personnage'!$U$51</f>
        <v>0</v>
      </c>
    </row>
    <row r="1825" spans="10:16">
      <c r="J1825" s="2"/>
      <c r="K1825" s="2"/>
      <c r="M1825">
        <f t="shared" si="148"/>
        <v>0</v>
      </c>
      <c r="N1825" t="e">
        <f t="shared" si="147"/>
        <v>#N/A</v>
      </c>
      <c r="O1825" t="e">
        <f t="shared" si="146"/>
        <v>#N/A</v>
      </c>
      <c r="P1825">
        <f>'Nom du personnage'!$U$51</f>
        <v>0</v>
      </c>
    </row>
    <row r="1826" spans="10:16">
      <c r="J1826" s="2"/>
      <c r="K1826" s="2"/>
      <c r="M1826">
        <f t="shared" si="148"/>
        <v>0</v>
      </c>
      <c r="N1826" t="e">
        <f t="shared" si="147"/>
        <v>#N/A</v>
      </c>
      <c r="O1826" t="e">
        <f t="shared" si="146"/>
        <v>#N/A</v>
      </c>
      <c r="P1826">
        <f>'Nom du personnage'!$U$51</f>
        <v>0</v>
      </c>
    </row>
    <row r="1827" spans="10:16">
      <c r="J1827" s="2"/>
      <c r="K1827" s="2"/>
      <c r="M1827">
        <f t="shared" si="148"/>
        <v>0</v>
      </c>
      <c r="N1827" t="e">
        <f t="shared" si="147"/>
        <v>#N/A</v>
      </c>
      <c r="O1827" t="e">
        <f t="shared" si="146"/>
        <v>#N/A</v>
      </c>
      <c r="P1827">
        <f>'Nom du personnage'!$U$51</f>
        <v>0</v>
      </c>
    </row>
    <row r="1828" spans="10:16">
      <c r="J1828" s="2"/>
      <c r="K1828" s="2"/>
      <c r="M1828">
        <f t="shared" si="148"/>
        <v>0</v>
      </c>
      <c r="N1828" t="e">
        <f t="shared" si="147"/>
        <v>#N/A</v>
      </c>
      <c r="O1828" t="e">
        <f t="shared" si="146"/>
        <v>#N/A</v>
      </c>
      <c r="P1828">
        <f>'Nom du personnage'!$U$51</f>
        <v>0</v>
      </c>
    </row>
    <row r="1829" spans="10:16">
      <c r="J1829" s="2"/>
      <c r="K1829" s="2"/>
      <c r="M1829">
        <f t="shared" si="148"/>
        <v>0</v>
      </c>
      <c r="N1829" t="e">
        <f t="shared" si="147"/>
        <v>#N/A</v>
      </c>
      <c r="O1829" t="e">
        <f t="shared" si="146"/>
        <v>#N/A</v>
      </c>
      <c r="P1829">
        <f>'Nom du personnage'!$U$51</f>
        <v>0</v>
      </c>
    </row>
    <row r="1830" spans="10:16">
      <c r="J1830" s="2"/>
      <c r="K1830" s="2"/>
      <c r="M1830">
        <f t="shared" si="148"/>
        <v>0</v>
      </c>
      <c r="N1830" t="e">
        <f t="shared" si="147"/>
        <v>#N/A</v>
      </c>
      <c r="O1830" t="e">
        <f t="shared" si="146"/>
        <v>#N/A</v>
      </c>
      <c r="P1830">
        <f>'Nom du personnage'!$U$51</f>
        <v>0</v>
      </c>
    </row>
    <row r="1831" spans="10:16">
      <c r="J1831" s="2"/>
      <c r="K1831" s="2"/>
      <c r="M1831">
        <f t="shared" si="148"/>
        <v>0</v>
      </c>
      <c r="N1831" t="e">
        <f t="shared" si="147"/>
        <v>#N/A</v>
      </c>
      <c r="O1831" t="e">
        <f t="shared" si="146"/>
        <v>#N/A</v>
      </c>
      <c r="P1831">
        <f>'Nom du personnage'!$U$51</f>
        <v>0</v>
      </c>
    </row>
    <row r="1832" spans="10:16">
      <c r="J1832" s="2"/>
      <c r="K1832" s="2"/>
      <c r="M1832">
        <f t="shared" si="148"/>
        <v>0</v>
      </c>
      <c r="N1832" t="e">
        <f t="shared" si="147"/>
        <v>#N/A</v>
      </c>
      <c r="O1832" t="e">
        <f t="shared" si="146"/>
        <v>#N/A</v>
      </c>
      <c r="P1832">
        <f>'Nom du personnage'!$U$51</f>
        <v>0</v>
      </c>
    </row>
    <row r="1833" spans="10:16">
      <c r="J1833" s="2"/>
      <c r="K1833" s="2"/>
      <c r="M1833">
        <f t="shared" si="148"/>
        <v>0</v>
      </c>
      <c r="N1833" t="e">
        <f t="shared" si="147"/>
        <v>#N/A</v>
      </c>
      <c r="O1833" t="e">
        <f t="shared" si="146"/>
        <v>#N/A</v>
      </c>
      <c r="P1833">
        <f>'Nom du personnage'!$U$51</f>
        <v>0</v>
      </c>
    </row>
    <row r="1834" spans="10:16">
      <c r="J1834" s="2"/>
      <c r="K1834" s="2"/>
      <c r="M1834">
        <f t="shared" si="148"/>
        <v>0</v>
      </c>
      <c r="N1834" t="e">
        <f t="shared" si="147"/>
        <v>#N/A</v>
      </c>
      <c r="O1834" t="e">
        <f t="shared" si="146"/>
        <v>#N/A</v>
      </c>
      <c r="P1834">
        <f>'Nom du personnage'!$U$51</f>
        <v>0</v>
      </c>
    </row>
    <row r="1835" spans="10:16">
      <c r="J1835" s="2"/>
      <c r="K1835" s="2"/>
      <c r="M1835">
        <f t="shared" si="148"/>
        <v>0</v>
      </c>
      <c r="N1835" t="e">
        <f t="shared" si="147"/>
        <v>#N/A</v>
      </c>
      <c r="O1835" t="e">
        <f t="shared" si="146"/>
        <v>#N/A</v>
      </c>
      <c r="P1835">
        <f>'Nom du personnage'!$U$51</f>
        <v>0</v>
      </c>
    </row>
    <row r="1836" spans="10:16">
      <c r="J1836" s="2"/>
      <c r="K1836" s="2"/>
      <c r="M1836">
        <f t="shared" si="148"/>
        <v>0</v>
      </c>
      <c r="N1836" t="e">
        <f t="shared" si="147"/>
        <v>#N/A</v>
      </c>
      <c r="O1836" t="e">
        <f t="shared" si="146"/>
        <v>#N/A</v>
      </c>
      <c r="P1836">
        <f>'Nom du personnage'!$U$51</f>
        <v>0</v>
      </c>
    </row>
    <row r="1837" spans="10:16">
      <c r="J1837" s="2"/>
      <c r="K1837" s="2"/>
      <c r="M1837">
        <f t="shared" si="148"/>
        <v>0</v>
      </c>
      <c r="N1837" t="e">
        <f t="shared" si="147"/>
        <v>#N/A</v>
      </c>
      <c r="O1837" t="e">
        <f t="shared" si="146"/>
        <v>#N/A</v>
      </c>
      <c r="P1837">
        <f>'Nom du personnage'!$U$51</f>
        <v>0</v>
      </c>
    </row>
    <row r="1838" spans="10:16">
      <c r="J1838" s="2"/>
      <c r="K1838" s="2"/>
      <c r="M1838">
        <f t="shared" si="148"/>
        <v>0</v>
      </c>
      <c r="N1838" t="e">
        <f t="shared" si="147"/>
        <v>#N/A</v>
      </c>
      <c r="O1838" t="e">
        <f t="shared" si="146"/>
        <v>#N/A</v>
      </c>
      <c r="P1838">
        <f>'Nom du personnage'!$U$51</f>
        <v>0</v>
      </c>
    </row>
    <row r="1839" spans="10:16">
      <c r="J1839" s="2"/>
      <c r="K1839" s="2"/>
      <c r="M1839">
        <f t="shared" si="148"/>
        <v>0</v>
      </c>
      <c r="N1839" t="e">
        <f t="shared" si="147"/>
        <v>#N/A</v>
      </c>
      <c r="O1839" t="e">
        <f t="shared" si="146"/>
        <v>#N/A</v>
      </c>
      <c r="P1839">
        <f>'Nom du personnage'!$U$51</f>
        <v>0</v>
      </c>
    </row>
    <row r="1840" spans="10:16">
      <c r="J1840" s="2"/>
      <c r="K1840" s="2"/>
      <c r="M1840">
        <f t="shared" si="148"/>
        <v>0</v>
      </c>
      <c r="N1840" t="e">
        <f t="shared" si="147"/>
        <v>#N/A</v>
      </c>
      <c r="O1840" t="e">
        <f t="shared" si="146"/>
        <v>#N/A</v>
      </c>
      <c r="P1840">
        <f>'Nom du personnage'!$U$51</f>
        <v>0</v>
      </c>
    </row>
    <row r="1841" spans="10:16">
      <c r="J1841" s="2"/>
      <c r="K1841" s="2"/>
      <c r="M1841">
        <f t="shared" si="148"/>
        <v>0</v>
      </c>
      <c r="N1841" t="e">
        <f t="shared" si="147"/>
        <v>#N/A</v>
      </c>
      <c r="O1841" t="e">
        <f t="shared" si="146"/>
        <v>#N/A</v>
      </c>
      <c r="P1841">
        <f>'Nom du personnage'!$U$51</f>
        <v>0</v>
      </c>
    </row>
    <row r="1842" spans="10:16">
      <c r="J1842" s="2"/>
      <c r="K1842" s="2"/>
      <c r="M1842">
        <f t="shared" si="148"/>
        <v>0</v>
      </c>
      <c r="N1842" t="e">
        <f t="shared" si="147"/>
        <v>#N/A</v>
      </c>
      <c r="O1842" t="e">
        <f t="shared" si="146"/>
        <v>#N/A</v>
      </c>
      <c r="P1842">
        <f>'Nom du personnage'!$U$51</f>
        <v>0</v>
      </c>
    </row>
    <row r="1843" spans="10:16">
      <c r="J1843" s="2"/>
      <c r="K1843" s="2"/>
      <c r="M1843">
        <f t="shared" si="148"/>
        <v>0</v>
      </c>
      <c r="N1843" t="e">
        <f t="shared" si="147"/>
        <v>#N/A</v>
      </c>
      <c r="O1843" t="e">
        <f t="shared" si="146"/>
        <v>#N/A</v>
      </c>
      <c r="P1843">
        <f>'Nom du personnage'!$U$51</f>
        <v>0</v>
      </c>
    </row>
    <row r="1844" spans="10:16">
      <c r="J1844" s="2"/>
      <c r="K1844" s="2"/>
      <c r="M1844">
        <f t="shared" si="148"/>
        <v>0</v>
      </c>
      <c r="N1844" t="e">
        <f t="shared" si="147"/>
        <v>#N/A</v>
      </c>
      <c r="O1844" t="e">
        <f t="shared" si="146"/>
        <v>#N/A</v>
      </c>
      <c r="P1844">
        <f>'Nom du personnage'!$U$51</f>
        <v>0</v>
      </c>
    </row>
    <row r="1845" spans="10:16">
      <c r="J1845" s="2"/>
      <c r="K1845" s="2"/>
      <c r="M1845">
        <f t="shared" si="148"/>
        <v>0</v>
      </c>
      <c r="N1845" t="e">
        <f t="shared" si="147"/>
        <v>#N/A</v>
      </c>
      <c r="O1845" t="e">
        <f t="shared" si="146"/>
        <v>#N/A</v>
      </c>
      <c r="P1845">
        <f>'Nom du personnage'!$U$51</f>
        <v>0</v>
      </c>
    </row>
    <row r="1846" spans="10:16">
      <c r="J1846" s="2"/>
      <c r="K1846" s="2"/>
      <c r="M1846">
        <f t="shared" si="148"/>
        <v>0</v>
      </c>
      <c r="N1846" t="e">
        <f t="shared" si="147"/>
        <v>#N/A</v>
      </c>
      <c r="O1846" t="e">
        <f t="shared" si="146"/>
        <v>#N/A</v>
      </c>
      <c r="P1846">
        <f>'Nom du personnage'!$U$51</f>
        <v>0</v>
      </c>
    </row>
    <row r="1847" spans="10:16">
      <c r="J1847" s="2"/>
      <c r="K1847" s="2"/>
      <c r="M1847">
        <f t="shared" si="148"/>
        <v>0</v>
      </c>
      <c r="N1847" t="e">
        <f t="shared" si="147"/>
        <v>#N/A</v>
      </c>
      <c r="O1847" t="e">
        <f t="shared" si="146"/>
        <v>#N/A</v>
      </c>
      <c r="P1847">
        <f>'Nom du personnage'!$U$51</f>
        <v>0</v>
      </c>
    </row>
    <row r="1848" spans="10:16">
      <c r="J1848" s="2"/>
      <c r="K1848" s="2"/>
      <c r="M1848">
        <f t="shared" si="148"/>
        <v>0</v>
      </c>
      <c r="N1848" t="e">
        <f t="shared" si="147"/>
        <v>#N/A</v>
      </c>
      <c r="O1848" t="e">
        <f t="shared" si="146"/>
        <v>#N/A</v>
      </c>
      <c r="P1848">
        <f>'Nom du personnage'!$U$51</f>
        <v>0</v>
      </c>
    </row>
    <row r="1849" spans="10:16">
      <c r="J1849" s="2"/>
      <c r="K1849" s="2"/>
      <c r="M1849">
        <f t="shared" si="148"/>
        <v>0</v>
      </c>
      <c r="N1849" t="e">
        <f t="shared" si="147"/>
        <v>#N/A</v>
      </c>
      <c r="O1849" t="e">
        <f t="shared" si="146"/>
        <v>#N/A</v>
      </c>
      <c r="P1849">
        <f>'Nom du personnage'!$U$51</f>
        <v>0</v>
      </c>
    </row>
    <row r="1850" spans="10:16">
      <c r="J1850" s="2"/>
      <c r="K1850" s="2"/>
      <c r="M1850">
        <f t="shared" si="148"/>
        <v>0</v>
      </c>
      <c r="N1850" t="e">
        <f t="shared" si="147"/>
        <v>#N/A</v>
      </c>
      <c r="O1850" t="e">
        <f t="shared" ref="O1850:O1913" si="149">VLOOKUP(M1850,H1850:J1907,2,FALSE)+1</f>
        <v>#N/A</v>
      </c>
      <c r="P1850">
        <f>'Nom du personnage'!$U$51</f>
        <v>0</v>
      </c>
    </row>
    <row r="1851" spans="10:16">
      <c r="J1851" s="2"/>
      <c r="K1851" s="2"/>
      <c r="M1851">
        <f t="shared" si="148"/>
        <v>0</v>
      </c>
      <c r="N1851" t="e">
        <f t="shared" si="147"/>
        <v>#N/A</v>
      </c>
      <c r="O1851" t="e">
        <f t="shared" si="149"/>
        <v>#N/A</v>
      </c>
      <c r="P1851">
        <f>'Nom du personnage'!$U$51</f>
        <v>0</v>
      </c>
    </row>
    <row r="1852" spans="10:16">
      <c r="J1852" s="2"/>
      <c r="K1852" s="2"/>
      <c r="M1852">
        <f t="shared" si="148"/>
        <v>0</v>
      </c>
      <c r="N1852" t="e">
        <f t="shared" si="147"/>
        <v>#N/A</v>
      </c>
      <c r="O1852" t="e">
        <f t="shared" si="149"/>
        <v>#N/A</v>
      </c>
      <c r="P1852">
        <f>'Nom du personnage'!$U$51</f>
        <v>0</v>
      </c>
    </row>
    <row r="1853" spans="10:16">
      <c r="J1853" s="2"/>
      <c r="K1853" s="2"/>
      <c r="M1853">
        <f t="shared" si="148"/>
        <v>0</v>
      </c>
      <c r="N1853" t="e">
        <f t="shared" si="147"/>
        <v>#N/A</v>
      </c>
      <c r="O1853" t="e">
        <f t="shared" si="149"/>
        <v>#N/A</v>
      </c>
      <c r="P1853">
        <f>'Nom du personnage'!$U$51</f>
        <v>0</v>
      </c>
    </row>
    <row r="1854" spans="10:16">
      <c r="J1854" s="2"/>
      <c r="K1854" s="2"/>
      <c r="M1854">
        <f t="shared" si="148"/>
        <v>0</v>
      </c>
      <c r="N1854" t="e">
        <f t="shared" si="147"/>
        <v>#N/A</v>
      </c>
      <c r="O1854" t="e">
        <f t="shared" si="149"/>
        <v>#N/A</v>
      </c>
      <c r="P1854">
        <f>'Nom du personnage'!$U$51</f>
        <v>0</v>
      </c>
    </row>
    <row r="1855" spans="10:16">
      <c r="J1855" s="2"/>
      <c r="K1855" s="2"/>
      <c r="M1855">
        <f t="shared" si="148"/>
        <v>0</v>
      </c>
      <c r="N1855" t="e">
        <f t="shared" si="147"/>
        <v>#N/A</v>
      </c>
      <c r="O1855" t="e">
        <f t="shared" si="149"/>
        <v>#N/A</v>
      </c>
      <c r="P1855">
        <f>'Nom du personnage'!$U$51</f>
        <v>0</v>
      </c>
    </row>
    <row r="1856" spans="10:16">
      <c r="J1856" s="2"/>
      <c r="K1856" s="2"/>
      <c r="M1856">
        <f t="shared" si="148"/>
        <v>0</v>
      </c>
      <c r="N1856" t="e">
        <f t="shared" si="147"/>
        <v>#N/A</v>
      </c>
      <c r="O1856" t="e">
        <f t="shared" si="149"/>
        <v>#N/A</v>
      </c>
      <c r="P1856">
        <f>'Nom du personnage'!$U$51</f>
        <v>0</v>
      </c>
    </row>
    <row r="1857" spans="10:16">
      <c r="J1857" s="2"/>
      <c r="K1857" s="2"/>
      <c r="M1857">
        <f t="shared" si="148"/>
        <v>0</v>
      </c>
      <c r="N1857" t="e">
        <f t="shared" si="147"/>
        <v>#N/A</v>
      </c>
      <c r="O1857" t="e">
        <f t="shared" si="149"/>
        <v>#N/A</v>
      </c>
      <c r="P1857">
        <f>'Nom du personnage'!$U$51</f>
        <v>0</v>
      </c>
    </row>
    <row r="1858" spans="10:16">
      <c r="J1858" s="2"/>
      <c r="K1858" s="2"/>
      <c r="M1858">
        <f t="shared" si="148"/>
        <v>0</v>
      </c>
      <c r="N1858" t="e">
        <f t="shared" si="147"/>
        <v>#N/A</v>
      </c>
      <c r="O1858" t="e">
        <f t="shared" si="149"/>
        <v>#N/A</v>
      </c>
      <c r="P1858">
        <f>'Nom du personnage'!$U$51</f>
        <v>0</v>
      </c>
    </row>
    <row r="1859" spans="10:16">
      <c r="J1859" s="2"/>
      <c r="K1859" s="2"/>
      <c r="M1859">
        <f t="shared" si="148"/>
        <v>0</v>
      </c>
      <c r="N1859" t="e">
        <f t="shared" si="147"/>
        <v>#N/A</v>
      </c>
      <c r="O1859" t="e">
        <f t="shared" si="149"/>
        <v>#N/A</v>
      </c>
      <c r="P1859">
        <f>'Nom du personnage'!$U$51</f>
        <v>0</v>
      </c>
    </row>
    <row r="1860" spans="10:16">
      <c r="J1860" s="2"/>
      <c r="K1860" s="2"/>
      <c r="M1860">
        <f t="shared" si="148"/>
        <v>0</v>
      </c>
      <c r="N1860" t="e">
        <f t="shared" si="147"/>
        <v>#N/A</v>
      </c>
      <c r="O1860" t="e">
        <f t="shared" si="149"/>
        <v>#N/A</v>
      </c>
      <c r="P1860">
        <f>'Nom du personnage'!$U$51</f>
        <v>0</v>
      </c>
    </row>
    <row r="1861" spans="10:16">
      <c r="J1861" s="2"/>
      <c r="K1861" s="2"/>
      <c r="M1861">
        <f t="shared" si="148"/>
        <v>0</v>
      </c>
      <c r="N1861" t="e">
        <f t="shared" si="147"/>
        <v>#N/A</v>
      </c>
      <c r="O1861" t="e">
        <f t="shared" si="149"/>
        <v>#N/A</v>
      </c>
      <c r="P1861">
        <f>'Nom du personnage'!$U$51</f>
        <v>0</v>
      </c>
    </row>
    <row r="1862" spans="10:16">
      <c r="J1862" s="2"/>
      <c r="K1862" s="2"/>
      <c r="M1862">
        <f t="shared" si="148"/>
        <v>0</v>
      </c>
      <c r="N1862" t="e">
        <f t="shared" si="147"/>
        <v>#N/A</v>
      </c>
      <c r="O1862" t="e">
        <f t="shared" si="149"/>
        <v>#N/A</v>
      </c>
      <c r="P1862">
        <f>'Nom du personnage'!$U$51</f>
        <v>0</v>
      </c>
    </row>
    <row r="1863" spans="10:16">
      <c r="J1863" s="2"/>
      <c r="K1863" s="2"/>
      <c r="M1863">
        <f t="shared" si="148"/>
        <v>0</v>
      </c>
      <c r="N1863" t="e">
        <f t="shared" si="147"/>
        <v>#N/A</v>
      </c>
      <c r="O1863" t="e">
        <f t="shared" si="149"/>
        <v>#N/A</v>
      </c>
      <c r="P1863">
        <f>'Nom du personnage'!$U$51</f>
        <v>0</v>
      </c>
    </row>
    <row r="1864" spans="10:16">
      <c r="J1864" s="2"/>
      <c r="K1864" s="2"/>
      <c r="M1864">
        <f t="shared" si="148"/>
        <v>0</v>
      </c>
      <c r="N1864" t="e">
        <f t="shared" si="147"/>
        <v>#N/A</v>
      </c>
      <c r="O1864" t="e">
        <f t="shared" si="149"/>
        <v>#N/A</v>
      </c>
      <c r="P1864">
        <f>'Nom du personnage'!$U$51</f>
        <v>0</v>
      </c>
    </row>
    <row r="1865" spans="10:16">
      <c r="J1865" s="2"/>
      <c r="K1865" s="2"/>
      <c r="M1865">
        <f t="shared" si="148"/>
        <v>0</v>
      </c>
      <c r="N1865" t="e">
        <f t="shared" si="147"/>
        <v>#N/A</v>
      </c>
      <c r="O1865" t="e">
        <f t="shared" si="149"/>
        <v>#N/A</v>
      </c>
      <c r="P1865">
        <f>'Nom du personnage'!$U$51</f>
        <v>0</v>
      </c>
    </row>
    <row r="1866" spans="10:16">
      <c r="J1866" s="2"/>
      <c r="K1866" s="2"/>
      <c r="M1866">
        <f t="shared" si="148"/>
        <v>0</v>
      </c>
      <c r="N1866" t="e">
        <f t="shared" si="147"/>
        <v>#N/A</v>
      </c>
      <c r="O1866" t="e">
        <f t="shared" si="149"/>
        <v>#N/A</v>
      </c>
      <c r="P1866">
        <f>'Nom du personnage'!$U$51</f>
        <v>0</v>
      </c>
    </row>
    <row r="1867" spans="10:16">
      <c r="J1867" s="2"/>
      <c r="K1867" s="2"/>
      <c r="M1867">
        <f t="shared" si="148"/>
        <v>0</v>
      </c>
      <c r="N1867" t="e">
        <f t="shared" si="147"/>
        <v>#N/A</v>
      </c>
      <c r="O1867" t="e">
        <f t="shared" si="149"/>
        <v>#N/A</v>
      </c>
      <c r="P1867">
        <f>'Nom du personnage'!$U$51</f>
        <v>0</v>
      </c>
    </row>
    <row r="1868" spans="10:16">
      <c r="J1868" s="2"/>
      <c r="K1868" s="2"/>
      <c r="M1868">
        <f t="shared" si="148"/>
        <v>0</v>
      </c>
      <c r="N1868" t="e">
        <f t="shared" si="147"/>
        <v>#N/A</v>
      </c>
      <c r="O1868" t="e">
        <f t="shared" si="149"/>
        <v>#N/A</v>
      </c>
      <c r="P1868">
        <f>'Nom du personnage'!$U$51</f>
        <v>0</v>
      </c>
    </row>
    <row r="1869" spans="10:16">
      <c r="J1869" s="2"/>
      <c r="K1869" s="2"/>
      <c r="M1869">
        <f t="shared" si="148"/>
        <v>0</v>
      </c>
      <c r="N1869" t="e">
        <f t="shared" si="147"/>
        <v>#N/A</v>
      </c>
      <c r="O1869" t="e">
        <f t="shared" si="149"/>
        <v>#N/A</v>
      </c>
      <c r="P1869">
        <f>'Nom du personnage'!$U$51</f>
        <v>0</v>
      </c>
    </row>
    <row r="1870" spans="10:16">
      <c r="J1870" s="2"/>
      <c r="K1870" s="2"/>
      <c r="M1870">
        <f t="shared" si="148"/>
        <v>0</v>
      </c>
      <c r="N1870" t="e">
        <f t="shared" si="147"/>
        <v>#N/A</v>
      </c>
      <c r="O1870" t="e">
        <f t="shared" si="149"/>
        <v>#N/A</v>
      </c>
      <c r="P1870">
        <f>'Nom du personnage'!$U$51</f>
        <v>0</v>
      </c>
    </row>
    <row r="1871" spans="10:16">
      <c r="J1871" s="2"/>
      <c r="K1871" s="2"/>
      <c r="M1871">
        <f t="shared" si="148"/>
        <v>0</v>
      </c>
      <c r="N1871" t="e">
        <f t="shared" si="147"/>
        <v>#N/A</v>
      </c>
      <c r="O1871" t="e">
        <f t="shared" si="149"/>
        <v>#N/A</v>
      </c>
      <c r="P1871">
        <f>'Nom du personnage'!$U$51</f>
        <v>0</v>
      </c>
    </row>
    <row r="1872" spans="10:16">
      <c r="J1872" s="2"/>
      <c r="K1872" s="2"/>
      <c r="M1872">
        <f t="shared" si="148"/>
        <v>0</v>
      </c>
      <c r="N1872" t="e">
        <f t="shared" si="147"/>
        <v>#N/A</v>
      </c>
      <c r="O1872" t="e">
        <f t="shared" si="149"/>
        <v>#N/A</v>
      </c>
      <c r="P1872">
        <f>'Nom du personnage'!$U$51</f>
        <v>0</v>
      </c>
    </row>
    <row r="1873" spans="10:16">
      <c r="J1873" s="2"/>
      <c r="K1873" s="2"/>
      <c r="M1873">
        <f t="shared" si="148"/>
        <v>0</v>
      </c>
      <c r="N1873" t="e">
        <f t="shared" si="147"/>
        <v>#N/A</v>
      </c>
      <c r="O1873" t="e">
        <f t="shared" si="149"/>
        <v>#N/A</v>
      </c>
      <c r="P1873">
        <f>'Nom du personnage'!$U$51</f>
        <v>0</v>
      </c>
    </row>
    <row r="1874" spans="10:16">
      <c r="J1874" s="2"/>
      <c r="K1874" s="2"/>
      <c r="M1874">
        <f t="shared" si="148"/>
        <v>0</v>
      </c>
      <c r="N1874" t="e">
        <f t="shared" si="147"/>
        <v>#N/A</v>
      </c>
      <c r="O1874" t="e">
        <f t="shared" si="149"/>
        <v>#N/A</v>
      </c>
      <c r="P1874">
        <f>'Nom du personnage'!$U$51</f>
        <v>0</v>
      </c>
    </row>
    <row r="1875" spans="10:16">
      <c r="J1875" s="2"/>
      <c r="K1875" s="2"/>
      <c r="M1875">
        <f t="shared" si="148"/>
        <v>0</v>
      </c>
      <c r="N1875" t="e">
        <f t="shared" si="147"/>
        <v>#N/A</v>
      </c>
      <c r="O1875" t="e">
        <f t="shared" si="149"/>
        <v>#N/A</v>
      </c>
      <c r="P1875">
        <f>'Nom du personnage'!$U$51</f>
        <v>0</v>
      </c>
    </row>
    <row r="1876" spans="10:16">
      <c r="J1876" s="2"/>
      <c r="K1876" s="2"/>
      <c r="M1876">
        <f t="shared" si="148"/>
        <v>0</v>
      </c>
      <c r="N1876" t="e">
        <f t="shared" si="147"/>
        <v>#N/A</v>
      </c>
      <c r="O1876" t="e">
        <f t="shared" si="149"/>
        <v>#N/A</v>
      </c>
      <c r="P1876">
        <f>'Nom du personnage'!$U$51</f>
        <v>0</v>
      </c>
    </row>
    <row r="1877" spans="10:16">
      <c r="J1877" s="2"/>
      <c r="K1877" s="2"/>
      <c r="M1877">
        <f t="shared" si="148"/>
        <v>0</v>
      </c>
      <c r="N1877" t="e">
        <f t="shared" si="147"/>
        <v>#N/A</v>
      </c>
      <c r="O1877" t="e">
        <f t="shared" si="149"/>
        <v>#N/A</v>
      </c>
      <c r="P1877">
        <f>'Nom du personnage'!$U$51</f>
        <v>0</v>
      </c>
    </row>
    <row r="1878" spans="10:16">
      <c r="J1878" s="2"/>
      <c r="K1878" s="2"/>
      <c r="M1878">
        <f t="shared" si="148"/>
        <v>0</v>
      </c>
      <c r="N1878" t="e">
        <f t="shared" si="147"/>
        <v>#N/A</v>
      </c>
      <c r="O1878" t="e">
        <f t="shared" si="149"/>
        <v>#N/A</v>
      </c>
      <c r="P1878">
        <f>'Nom du personnage'!$U$51</f>
        <v>0</v>
      </c>
    </row>
    <row r="1879" spans="10:16">
      <c r="J1879" s="2"/>
      <c r="K1879" s="2"/>
      <c r="M1879">
        <f t="shared" si="148"/>
        <v>0</v>
      </c>
      <c r="N1879" t="e">
        <f t="shared" si="147"/>
        <v>#N/A</v>
      </c>
      <c r="O1879" t="e">
        <f t="shared" si="149"/>
        <v>#N/A</v>
      </c>
      <c r="P1879">
        <f>'Nom du personnage'!$U$51</f>
        <v>0</v>
      </c>
    </row>
    <row r="1880" spans="10:16">
      <c r="J1880" s="2"/>
      <c r="K1880" s="2"/>
      <c r="M1880">
        <f t="shared" si="148"/>
        <v>0</v>
      </c>
      <c r="N1880" t="e">
        <f t="shared" si="147"/>
        <v>#N/A</v>
      </c>
      <c r="O1880" t="e">
        <f t="shared" si="149"/>
        <v>#N/A</v>
      </c>
      <c r="P1880">
        <f>'Nom du personnage'!$U$51</f>
        <v>0</v>
      </c>
    </row>
    <row r="1881" spans="10:16">
      <c r="J1881" s="2"/>
      <c r="K1881" s="2"/>
      <c r="M1881">
        <f t="shared" si="148"/>
        <v>0</v>
      </c>
      <c r="N1881" t="e">
        <f t="shared" si="147"/>
        <v>#N/A</v>
      </c>
      <c r="O1881" t="e">
        <f t="shared" si="149"/>
        <v>#N/A</v>
      </c>
      <c r="P1881">
        <f>'Nom du personnage'!$U$51</f>
        <v>0</v>
      </c>
    </row>
    <row r="1882" spans="10:16">
      <c r="J1882" s="2"/>
      <c r="K1882" s="2"/>
      <c r="M1882">
        <f t="shared" si="148"/>
        <v>0</v>
      </c>
      <c r="N1882" t="e">
        <f t="shared" si="147"/>
        <v>#N/A</v>
      </c>
      <c r="O1882" t="e">
        <f t="shared" si="149"/>
        <v>#N/A</v>
      </c>
      <c r="P1882">
        <f>'Nom du personnage'!$U$51</f>
        <v>0</v>
      </c>
    </row>
    <row r="1883" spans="10:16">
      <c r="J1883" s="2"/>
      <c r="K1883" s="2"/>
      <c r="M1883">
        <f t="shared" si="148"/>
        <v>0</v>
      </c>
      <c r="N1883" t="e">
        <f t="shared" si="147"/>
        <v>#N/A</v>
      </c>
      <c r="O1883" t="e">
        <f t="shared" si="149"/>
        <v>#N/A</v>
      </c>
      <c r="P1883">
        <f>'Nom du personnage'!$U$51</f>
        <v>0</v>
      </c>
    </row>
    <row r="1884" spans="10:16">
      <c r="J1884" s="2"/>
      <c r="K1884" s="2"/>
      <c r="M1884">
        <f t="shared" si="148"/>
        <v>0</v>
      </c>
      <c r="N1884" t="e">
        <f t="shared" ref="N1884:N1947" si="150">VLOOKUP(M1884,H1884:J1941,2,FALSE)</f>
        <v>#N/A</v>
      </c>
      <c r="O1884" t="e">
        <f t="shared" si="149"/>
        <v>#N/A</v>
      </c>
      <c r="P1884">
        <f>'Nom du personnage'!$U$51</f>
        <v>0</v>
      </c>
    </row>
    <row r="1885" spans="10:16">
      <c r="J1885" s="2"/>
      <c r="K1885" s="2"/>
      <c r="M1885">
        <f t="shared" si="148"/>
        <v>0</v>
      </c>
      <c r="N1885" t="e">
        <f t="shared" si="150"/>
        <v>#N/A</v>
      </c>
      <c r="O1885" t="e">
        <f t="shared" si="149"/>
        <v>#N/A</v>
      </c>
      <c r="P1885">
        <f>'Nom du personnage'!$U$51</f>
        <v>0</v>
      </c>
    </row>
    <row r="1886" spans="10:16">
      <c r="J1886" s="2"/>
      <c r="K1886" s="2"/>
      <c r="M1886">
        <f t="shared" ref="M1886:M1949" si="151">IF(P1886=J1886,H1886,)</f>
        <v>0</v>
      </c>
      <c r="N1886" t="e">
        <f t="shared" si="150"/>
        <v>#N/A</v>
      </c>
      <c r="O1886" t="e">
        <f t="shared" si="149"/>
        <v>#N/A</v>
      </c>
      <c r="P1886">
        <f>'Nom du personnage'!$U$51</f>
        <v>0</v>
      </c>
    </row>
    <row r="1887" spans="10:16">
      <c r="J1887" s="2"/>
      <c r="K1887" s="2"/>
      <c r="M1887">
        <f t="shared" si="151"/>
        <v>0</v>
      </c>
      <c r="N1887" t="e">
        <f t="shared" si="150"/>
        <v>#N/A</v>
      </c>
      <c r="O1887" t="e">
        <f t="shared" si="149"/>
        <v>#N/A</v>
      </c>
      <c r="P1887">
        <f>'Nom du personnage'!$U$51</f>
        <v>0</v>
      </c>
    </row>
    <row r="1888" spans="10:16">
      <c r="J1888" s="2"/>
      <c r="K1888" s="2"/>
      <c r="M1888">
        <f t="shared" si="151"/>
        <v>0</v>
      </c>
      <c r="N1888" t="e">
        <f t="shared" si="150"/>
        <v>#N/A</v>
      </c>
      <c r="O1888" t="e">
        <f t="shared" si="149"/>
        <v>#N/A</v>
      </c>
      <c r="P1888">
        <f>'Nom du personnage'!$U$51</f>
        <v>0</v>
      </c>
    </row>
    <row r="1889" spans="10:16">
      <c r="J1889" s="2"/>
      <c r="K1889" s="2"/>
      <c r="M1889">
        <f t="shared" si="151"/>
        <v>0</v>
      </c>
      <c r="N1889" t="e">
        <f t="shared" si="150"/>
        <v>#N/A</v>
      </c>
      <c r="O1889" t="e">
        <f t="shared" si="149"/>
        <v>#N/A</v>
      </c>
      <c r="P1889">
        <f>'Nom du personnage'!$U$51</f>
        <v>0</v>
      </c>
    </row>
    <row r="1890" spans="10:16">
      <c r="J1890" s="2"/>
      <c r="K1890" s="2"/>
      <c r="M1890">
        <f t="shared" si="151"/>
        <v>0</v>
      </c>
      <c r="N1890" t="e">
        <f t="shared" si="150"/>
        <v>#N/A</v>
      </c>
      <c r="O1890" t="e">
        <f t="shared" si="149"/>
        <v>#N/A</v>
      </c>
      <c r="P1890">
        <f>'Nom du personnage'!$U$51</f>
        <v>0</v>
      </c>
    </row>
    <row r="1891" spans="10:16">
      <c r="J1891" s="2"/>
      <c r="K1891" s="2"/>
      <c r="M1891">
        <f t="shared" si="151"/>
        <v>0</v>
      </c>
      <c r="N1891" t="e">
        <f t="shared" si="150"/>
        <v>#N/A</v>
      </c>
      <c r="O1891" t="e">
        <f t="shared" si="149"/>
        <v>#N/A</v>
      </c>
      <c r="P1891">
        <f>'Nom du personnage'!$U$51</f>
        <v>0</v>
      </c>
    </row>
    <row r="1892" spans="10:16">
      <c r="J1892" s="2"/>
      <c r="K1892" s="2"/>
      <c r="M1892">
        <f t="shared" si="151"/>
        <v>0</v>
      </c>
      <c r="N1892" t="e">
        <f t="shared" si="150"/>
        <v>#N/A</v>
      </c>
      <c r="O1892" t="e">
        <f t="shared" si="149"/>
        <v>#N/A</v>
      </c>
      <c r="P1892">
        <f>'Nom du personnage'!$U$51</f>
        <v>0</v>
      </c>
    </row>
    <row r="1893" spans="10:16">
      <c r="J1893" s="2"/>
      <c r="K1893" s="2"/>
      <c r="M1893">
        <f t="shared" si="151"/>
        <v>0</v>
      </c>
      <c r="N1893" t="e">
        <f t="shared" si="150"/>
        <v>#N/A</v>
      </c>
      <c r="O1893" t="e">
        <f t="shared" si="149"/>
        <v>#N/A</v>
      </c>
      <c r="P1893">
        <f>'Nom du personnage'!$U$51</f>
        <v>0</v>
      </c>
    </row>
    <row r="1894" spans="10:16">
      <c r="J1894" s="2"/>
      <c r="K1894" s="2"/>
      <c r="M1894">
        <f t="shared" si="151"/>
        <v>0</v>
      </c>
      <c r="N1894" t="e">
        <f t="shared" si="150"/>
        <v>#N/A</v>
      </c>
      <c r="O1894" t="e">
        <f t="shared" si="149"/>
        <v>#N/A</v>
      </c>
      <c r="P1894">
        <f>'Nom du personnage'!$U$51</f>
        <v>0</v>
      </c>
    </row>
    <row r="1895" spans="10:16">
      <c r="J1895" s="2"/>
      <c r="K1895" s="2"/>
      <c r="M1895">
        <f t="shared" si="151"/>
        <v>0</v>
      </c>
      <c r="N1895" t="e">
        <f t="shared" si="150"/>
        <v>#N/A</v>
      </c>
      <c r="O1895" t="e">
        <f t="shared" si="149"/>
        <v>#N/A</v>
      </c>
      <c r="P1895">
        <f>'Nom du personnage'!$U$51</f>
        <v>0</v>
      </c>
    </row>
    <row r="1896" spans="10:16">
      <c r="J1896" s="2"/>
      <c r="K1896" s="2"/>
      <c r="M1896">
        <f t="shared" si="151"/>
        <v>0</v>
      </c>
      <c r="N1896" t="e">
        <f t="shared" si="150"/>
        <v>#N/A</v>
      </c>
      <c r="O1896" t="e">
        <f t="shared" si="149"/>
        <v>#N/A</v>
      </c>
      <c r="P1896">
        <f>'Nom du personnage'!$U$51</f>
        <v>0</v>
      </c>
    </row>
    <row r="1897" spans="10:16">
      <c r="J1897" s="2"/>
      <c r="K1897" s="2"/>
      <c r="M1897">
        <f t="shared" si="151"/>
        <v>0</v>
      </c>
      <c r="N1897" t="e">
        <f t="shared" si="150"/>
        <v>#N/A</v>
      </c>
      <c r="O1897" t="e">
        <f t="shared" si="149"/>
        <v>#N/A</v>
      </c>
      <c r="P1897">
        <f>'Nom du personnage'!$U$51</f>
        <v>0</v>
      </c>
    </row>
    <row r="1898" spans="10:16">
      <c r="J1898" s="2"/>
      <c r="K1898" s="2"/>
      <c r="M1898">
        <f t="shared" si="151"/>
        <v>0</v>
      </c>
      <c r="N1898" t="e">
        <f t="shared" si="150"/>
        <v>#N/A</v>
      </c>
      <c r="O1898" t="e">
        <f t="shared" si="149"/>
        <v>#N/A</v>
      </c>
      <c r="P1898">
        <f>'Nom du personnage'!$U$51</f>
        <v>0</v>
      </c>
    </row>
    <row r="1899" spans="10:16">
      <c r="J1899" s="2"/>
      <c r="K1899" s="2"/>
      <c r="M1899">
        <f t="shared" si="151"/>
        <v>0</v>
      </c>
      <c r="N1899" t="e">
        <f t="shared" si="150"/>
        <v>#N/A</v>
      </c>
      <c r="O1899" t="e">
        <f t="shared" si="149"/>
        <v>#N/A</v>
      </c>
      <c r="P1899">
        <f>'Nom du personnage'!$U$51</f>
        <v>0</v>
      </c>
    </row>
    <row r="1900" spans="10:16">
      <c r="J1900" s="2"/>
      <c r="K1900" s="2"/>
      <c r="M1900">
        <f t="shared" si="151"/>
        <v>0</v>
      </c>
      <c r="N1900" t="e">
        <f t="shared" si="150"/>
        <v>#N/A</v>
      </c>
      <c r="O1900" t="e">
        <f t="shared" si="149"/>
        <v>#N/A</v>
      </c>
      <c r="P1900">
        <f>'Nom du personnage'!$U$51</f>
        <v>0</v>
      </c>
    </row>
    <row r="1901" spans="10:16">
      <c r="J1901" s="2"/>
      <c r="K1901" s="2"/>
      <c r="M1901">
        <f t="shared" si="151"/>
        <v>0</v>
      </c>
      <c r="N1901" t="e">
        <f t="shared" si="150"/>
        <v>#N/A</v>
      </c>
      <c r="O1901" t="e">
        <f t="shared" si="149"/>
        <v>#N/A</v>
      </c>
      <c r="P1901">
        <f>'Nom du personnage'!$U$51</f>
        <v>0</v>
      </c>
    </row>
    <row r="1902" spans="10:16">
      <c r="J1902" s="2"/>
      <c r="K1902" s="2"/>
      <c r="M1902">
        <f t="shared" si="151"/>
        <v>0</v>
      </c>
      <c r="N1902" t="e">
        <f t="shared" si="150"/>
        <v>#N/A</v>
      </c>
      <c r="O1902" t="e">
        <f t="shared" si="149"/>
        <v>#N/A</v>
      </c>
      <c r="P1902">
        <f>'Nom du personnage'!$U$51</f>
        <v>0</v>
      </c>
    </row>
    <row r="1903" spans="10:16">
      <c r="J1903" s="2"/>
      <c r="K1903" s="2"/>
      <c r="M1903">
        <f t="shared" si="151"/>
        <v>0</v>
      </c>
      <c r="N1903" t="e">
        <f t="shared" si="150"/>
        <v>#N/A</v>
      </c>
      <c r="O1903" t="e">
        <f t="shared" si="149"/>
        <v>#N/A</v>
      </c>
      <c r="P1903">
        <f>'Nom du personnage'!$U$51</f>
        <v>0</v>
      </c>
    </row>
    <row r="1904" spans="10:16">
      <c r="J1904" s="2"/>
      <c r="K1904" s="2"/>
      <c r="M1904">
        <f t="shared" si="151"/>
        <v>0</v>
      </c>
      <c r="N1904" t="e">
        <f t="shared" si="150"/>
        <v>#N/A</v>
      </c>
      <c r="O1904" t="e">
        <f t="shared" si="149"/>
        <v>#N/A</v>
      </c>
      <c r="P1904">
        <f>'Nom du personnage'!$U$51</f>
        <v>0</v>
      </c>
    </row>
    <row r="1905" spans="10:16">
      <c r="J1905" s="2"/>
      <c r="K1905" s="2"/>
      <c r="M1905">
        <f t="shared" si="151"/>
        <v>0</v>
      </c>
      <c r="N1905" t="e">
        <f t="shared" si="150"/>
        <v>#N/A</v>
      </c>
      <c r="O1905" t="e">
        <f t="shared" si="149"/>
        <v>#N/A</v>
      </c>
      <c r="P1905">
        <f>'Nom du personnage'!$U$51</f>
        <v>0</v>
      </c>
    </row>
    <row r="1906" spans="10:16">
      <c r="J1906" s="2"/>
      <c r="K1906" s="2"/>
      <c r="M1906">
        <f t="shared" si="151"/>
        <v>0</v>
      </c>
      <c r="N1906" t="e">
        <f t="shared" si="150"/>
        <v>#N/A</v>
      </c>
      <c r="O1906" t="e">
        <f t="shared" si="149"/>
        <v>#N/A</v>
      </c>
      <c r="P1906">
        <f>'Nom du personnage'!$U$51</f>
        <v>0</v>
      </c>
    </row>
    <row r="1907" spans="10:16">
      <c r="J1907" s="2"/>
      <c r="K1907" s="2"/>
      <c r="M1907">
        <f t="shared" si="151"/>
        <v>0</v>
      </c>
      <c r="N1907" t="e">
        <f t="shared" si="150"/>
        <v>#N/A</v>
      </c>
      <c r="O1907" t="e">
        <f t="shared" si="149"/>
        <v>#N/A</v>
      </c>
      <c r="P1907">
        <f>'Nom du personnage'!$U$51</f>
        <v>0</v>
      </c>
    </row>
    <row r="1908" spans="10:16">
      <c r="J1908" s="2"/>
      <c r="K1908" s="2"/>
      <c r="M1908">
        <f t="shared" si="151"/>
        <v>0</v>
      </c>
      <c r="N1908" t="e">
        <f t="shared" si="150"/>
        <v>#N/A</v>
      </c>
      <c r="O1908" t="e">
        <f t="shared" si="149"/>
        <v>#N/A</v>
      </c>
      <c r="P1908">
        <f>'Nom du personnage'!$U$51</f>
        <v>0</v>
      </c>
    </row>
    <row r="1909" spans="10:16">
      <c r="J1909" s="2"/>
      <c r="K1909" s="2"/>
      <c r="M1909">
        <f t="shared" si="151"/>
        <v>0</v>
      </c>
      <c r="N1909" t="e">
        <f t="shared" si="150"/>
        <v>#N/A</v>
      </c>
      <c r="O1909" t="e">
        <f t="shared" si="149"/>
        <v>#N/A</v>
      </c>
      <c r="P1909">
        <f>'Nom du personnage'!$U$51</f>
        <v>0</v>
      </c>
    </row>
    <row r="1910" spans="10:16">
      <c r="J1910" s="2"/>
      <c r="K1910" s="2"/>
      <c r="M1910">
        <f t="shared" si="151"/>
        <v>0</v>
      </c>
      <c r="N1910" t="e">
        <f t="shared" si="150"/>
        <v>#N/A</v>
      </c>
      <c r="O1910" t="e">
        <f t="shared" si="149"/>
        <v>#N/A</v>
      </c>
      <c r="P1910">
        <f>'Nom du personnage'!$U$51</f>
        <v>0</v>
      </c>
    </row>
    <row r="1911" spans="10:16">
      <c r="J1911" s="2"/>
      <c r="K1911" s="2"/>
      <c r="M1911">
        <f t="shared" si="151"/>
        <v>0</v>
      </c>
      <c r="N1911" t="e">
        <f t="shared" si="150"/>
        <v>#N/A</v>
      </c>
      <c r="O1911" t="e">
        <f t="shared" si="149"/>
        <v>#N/A</v>
      </c>
      <c r="P1911">
        <f>'Nom du personnage'!$U$51</f>
        <v>0</v>
      </c>
    </row>
    <row r="1912" spans="10:16">
      <c r="J1912" s="2"/>
      <c r="K1912" s="2"/>
      <c r="M1912">
        <f t="shared" si="151"/>
        <v>0</v>
      </c>
      <c r="N1912" t="e">
        <f t="shared" si="150"/>
        <v>#N/A</v>
      </c>
      <c r="O1912" t="e">
        <f t="shared" si="149"/>
        <v>#N/A</v>
      </c>
      <c r="P1912">
        <f>'Nom du personnage'!$U$51</f>
        <v>0</v>
      </c>
    </row>
    <row r="1913" spans="10:16">
      <c r="J1913" s="2"/>
      <c r="K1913" s="2"/>
      <c r="M1913">
        <f t="shared" si="151"/>
        <v>0</v>
      </c>
      <c r="N1913" t="e">
        <f t="shared" si="150"/>
        <v>#N/A</v>
      </c>
      <c r="O1913" t="e">
        <f t="shared" si="149"/>
        <v>#N/A</v>
      </c>
      <c r="P1913">
        <f>'Nom du personnage'!$U$51</f>
        <v>0</v>
      </c>
    </row>
    <row r="1914" spans="10:16">
      <c r="J1914" s="2"/>
      <c r="K1914" s="2"/>
      <c r="M1914">
        <f t="shared" si="151"/>
        <v>0</v>
      </c>
      <c r="N1914" t="e">
        <f t="shared" si="150"/>
        <v>#N/A</v>
      </c>
      <c r="O1914" t="e">
        <f t="shared" ref="O1914:O1949" si="152">VLOOKUP(M1914,H1914:J1971,2,FALSE)+1</f>
        <v>#N/A</v>
      </c>
      <c r="P1914">
        <f>'Nom du personnage'!$U$51</f>
        <v>0</v>
      </c>
    </row>
    <row r="1915" spans="10:16">
      <c r="J1915" s="2"/>
      <c r="K1915" s="2"/>
      <c r="M1915">
        <f t="shared" si="151"/>
        <v>0</v>
      </c>
      <c r="N1915" t="e">
        <f t="shared" si="150"/>
        <v>#N/A</v>
      </c>
      <c r="O1915" t="e">
        <f t="shared" si="152"/>
        <v>#N/A</v>
      </c>
      <c r="P1915">
        <f>'Nom du personnage'!$U$51</f>
        <v>0</v>
      </c>
    </row>
    <row r="1916" spans="10:16">
      <c r="J1916" s="2"/>
      <c r="K1916" s="2"/>
      <c r="M1916">
        <f t="shared" si="151"/>
        <v>0</v>
      </c>
      <c r="N1916" t="e">
        <f t="shared" si="150"/>
        <v>#N/A</v>
      </c>
      <c r="O1916" t="e">
        <f t="shared" si="152"/>
        <v>#N/A</v>
      </c>
      <c r="P1916">
        <f>'Nom du personnage'!$U$51</f>
        <v>0</v>
      </c>
    </row>
    <row r="1917" spans="10:16">
      <c r="J1917" s="2"/>
      <c r="K1917" s="2"/>
      <c r="M1917">
        <f t="shared" si="151"/>
        <v>0</v>
      </c>
      <c r="N1917" t="e">
        <f t="shared" si="150"/>
        <v>#N/A</v>
      </c>
      <c r="O1917" t="e">
        <f t="shared" si="152"/>
        <v>#N/A</v>
      </c>
      <c r="P1917">
        <f>'Nom du personnage'!$U$51</f>
        <v>0</v>
      </c>
    </row>
    <row r="1918" spans="10:16">
      <c r="J1918" s="2"/>
      <c r="K1918" s="2"/>
      <c r="M1918">
        <f t="shared" si="151"/>
        <v>0</v>
      </c>
      <c r="N1918" t="e">
        <f t="shared" si="150"/>
        <v>#N/A</v>
      </c>
      <c r="O1918" t="e">
        <f t="shared" si="152"/>
        <v>#N/A</v>
      </c>
      <c r="P1918">
        <f>'Nom du personnage'!$U$51</f>
        <v>0</v>
      </c>
    </row>
    <row r="1919" spans="10:16">
      <c r="J1919" s="2"/>
      <c r="K1919" s="2"/>
      <c r="M1919">
        <f t="shared" si="151"/>
        <v>0</v>
      </c>
      <c r="N1919" t="e">
        <f t="shared" si="150"/>
        <v>#N/A</v>
      </c>
      <c r="O1919" t="e">
        <f t="shared" si="152"/>
        <v>#N/A</v>
      </c>
      <c r="P1919">
        <f>'Nom du personnage'!$U$51</f>
        <v>0</v>
      </c>
    </row>
    <row r="1920" spans="10:16">
      <c r="J1920" s="2"/>
      <c r="K1920" s="2"/>
      <c r="M1920">
        <f t="shared" si="151"/>
        <v>0</v>
      </c>
      <c r="N1920" t="e">
        <f t="shared" si="150"/>
        <v>#N/A</v>
      </c>
      <c r="O1920" t="e">
        <f t="shared" si="152"/>
        <v>#N/A</v>
      </c>
      <c r="P1920">
        <f>'Nom du personnage'!$U$51</f>
        <v>0</v>
      </c>
    </row>
    <row r="1921" spans="10:16">
      <c r="J1921" s="2"/>
      <c r="K1921" s="2"/>
      <c r="M1921">
        <f t="shared" si="151"/>
        <v>0</v>
      </c>
      <c r="N1921" t="e">
        <f t="shared" si="150"/>
        <v>#N/A</v>
      </c>
      <c r="O1921" t="e">
        <f t="shared" si="152"/>
        <v>#N/A</v>
      </c>
      <c r="P1921">
        <f>'Nom du personnage'!$U$51</f>
        <v>0</v>
      </c>
    </row>
    <row r="1922" spans="10:16">
      <c r="J1922" s="2"/>
      <c r="K1922" s="2"/>
      <c r="M1922">
        <f t="shared" si="151"/>
        <v>0</v>
      </c>
      <c r="N1922" t="e">
        <f t="shared" si="150"/>
        <v>#N/A</v>
      </c>
      <c r="O1922" t="e">
        <f t="shared" si="152"/>
        <v>#N/A</v>
      </c>
      <c r="P1922">
        <f>'Nom du personnage'!$U$51</f>
        <v>0</v>
      </c>
    </row>
    <row r="1923" spans="10:16">
      <c r="J1923" s="2"/>
      <c r="K1923" s="2"/>
      <c r="M1923">
        <f t="shared" si="151"/>
        <v>0</v>
      </c>
      <c r="N1923" t="e">
        <f t="shared" si="150"/>
        <v>#N/A</v>
      </c>
      <c r="O1923" t="e">
        <f t="shared" si="152"/>
        <v>#N/A</v>
      </c>
      <c r="P1923">
        <f>'Nom du personnage'!$U$51</f>
        <v>0</v>
      </c>
    </row>
    <row r="1924" spans="10:16">
      <c r="J1924" s="2"/>
      <c r="K1924" s="2"/>
      <c r="M1924">
        <f t="shared" si="151"/>
        <v>0</v>
      </c>
      <c r="N1924" t="e">
        <f t="shared" si="150"/>
        <v>#N/A</v>
      </c>
      <c r="O1924" t="e">
        <f t="shared" si="152"/>
        <v>#N/A</v>
      </c>
      <c r="P1924">
        <f>'Nom du personnage'!$U$51</f>
        <v>0</v>
      </c>
    </row>
    <row r="1925" spans="10:16">
      <c r="J1925" s="2"/>
      <c r="K1925" s="2"/>
      <c r="M1925">
        <f t="shared" si="151"/>
        <v>0</v>
      </c>
      <c r="N1925" t="e">
        <f t="shared" si="150"/>
        <v>#N/A</v>
      </c>
      <c r="O1925" t="e">
        <f t="shared" si="152"/>
        <v>#N/A</v>
      </c>
      <c r="P1925">
        <f>'Nom du personnage'!$U$51</f>
        <v>0</v>
      </c>
    </row>
    <row r="1926" spans="10:16">
      <c r="J1926" s="2"/>
      <c r="K1926" s="2"/>
      <c r="M1926">
        <f t="shared" si="151"/>
        <v>0</v>
      </c>
      <c r="N1926" t="e">
        <f t="shared" si="150"/>
        <v>#N/A</v>
      </c>
      <c r="O1926" t="e">
        <f t="shared" si="152"/>
        <v>#N/A</v>
      </c>
      <c r="P1926">
        <f>'Nom du personnage'!$U$51</f>
        <v>0</v>
      </c>
    </row>
    <row r="1927" spans="10:16">
      <c r="J1927" s="2"/>
      <c r="K1927" s="2"/>
      <c r="M1927">
        <f t="shared" si="151"/>
        <v>0</v>
      </c>
      <c r="N1927" t="e">
        <f t="shared" si="150"/>
        <v>#N/A</v>
      </c>
      <c r="O1927" t="e">
        <f t="shared" si="152"/>
        <v>#N/A</v>
      </c>
      <c r="P1927">
        <f>'Nom du personnage'!$U$51</f>
        <v>0</v>
      </c>
    </row>
    <row r="1928" spans="10:16">
      <c r="J1928" s="2"/>
      <c r="K1928" s="2"/>
      <c r="M1928">
        <f t="shared" si="151"/>
        <v>0</v>
      </c>
      <c r="N1928" t="e">
        <f t="shared" si="150"/>
        <v>#N/A</v>
      </c>
      <c r="O1928" t="e">
        <f t="shared" si="152"/>
        <v>#N/A</v>
      </c>
      <c r="P1928">
        <f>'Nom du personnage'!$U$51</f>
        <v>0</v>
      </c>
    </row>
    <row r="1929" spans="10:16">
      <c r="J1929" s="2"/>
      <c r="K1929" s="2"/>
      <c r="M1929">
        <f t="shared" si="151"/>
        <v>0</v>
      </c>
      <c r="N1929" t="e">
        <f t="shared" si="150"/>
        <v>#N/A</v>
      </c>
      <c r="O1929" t="e">
        <f t="shared" si="152"/>
        <v>#N/A</v>
      </c>
      <c r="P1929">
        <f>'Nom du personnage'!$U$51</f>
        <v>0</v>
      </c>
    </row>
    <row r="1930" spans="10:16">
      <c r="J1930" s="2"/>
      <c r="K1930" s="2"/>
      <c r="M1930">
        <f t="shared" si="151"/>
        <v>0</v>
      </c>
      <c r="N1930" t="e">
        <f t="shared" si="150"/>
        <v>#N/A</v>
      </c>
      <c r="O1930" t="e">
        <f t="shared" si="152"/>
        <v>#N/A</v>
      </c>
      <c r="P1930">
        <f>'Nom du personnage'!$U$51</f>
        <v>0</v>
      </c>
    </row>
    <row r="1931" spans="10:16">
      <c r="J1931" s="2"/>
      <c r="K1931" s="2"/>
      <c r="M1931">
        <f t="shared" si="151"/>
        <v>0</v>
      </c>
      <c r="N1931" t="e">
        <f t="shared" si="150"/>
        <v>#N/A</v>
      </c>
      <c r="O1931" t="e">
        <f t="shared" si="152"/>
        <v>#N/A</v>
      </c>
      <c r="P1931">
        <f>'Nom du personnage'!$U$51</f>
        <v>0</v>
      </c>
    </row>
    <row r="1932" spans="10:16">
      <c r="J1932" s="2"/>
      <c r="K1932" s="2"/>
      <c r="M1932">
        <f t="shared" si="151"/>
        <v>0</v>
      </c>
      <c r="N1932" t="e">
        <f t="shared" si="150"/>
        <v>#N/A</v>
      </c>
      <c r="O1932" t="e">
        <f t="shared" si="152"/>
        <v>#N/A</v>
      </c>
      <c r="P1932">
        <f>'Nom du personnage'!$U$51</f>
        <v>0</v>
      </c>
    </row>
    <row r="1933" spans="10:16">
      <c r="J1933" s="2"/>
      <c r="K1933" s="2"/>
      <c r="M1933">
        <f t="shared" si="151"/>
        <v>0</v>
      </c>
      <c r="N1933" t="e">
        <f t="shared" si="150"/>
        <v>#N/A</v>
      </c>
      <c r="O1933" t="e">
        <f t="shared" si="152"/>
        <v>#N/A</v>
      </c>
      <c r="P1933">
        <f>'Nom du personnage'!$U$51</f>
        <v>0</v>
      </c>
    </row>
    <row r="1934" spans="10:16">
      <c r="J1934" s="2"/>
      <c r="K1934" s="2"/>
      <c r="M1934">
        <f t="shared" si="151"/>
        <v>0</v>
      </c>
      <c r="N1934" t="e">
        <f t="shared" si="150"/>
        <v>#N/A</v>
      </c>
      <c r="O1934" t="e">
        <f t="shared" si="152"/>
        <v>#N/A</v>
      </c>
      <c r="P1934">
        <f>'Nom du personnage'!$U$51</f>
        <v>0</v>
      </c>
    </row>
    <row r="1935" spans="10:16">
      <c r="J1935" s="2"/>
      <c r="K1935" s="2"/>
      <c r="M1935">
        <f t="shared" si="151"/>
        <v>0</v>
      </c>
      <c r="N1935" t="e">
        <f t="shared" si="150"/>
        <v>#N/A</v>
      </c>
      <c r="O1935" t="e">
        <f t="shared" si="152"/>
        <v>#N/A</v>
      </c>
      <c r="P1935">
        <f>'Nom du personnage'!$U$51</f>
        <v>0</v>
      </c>
    </row>
    <row r="1936" spans="10:16">
      <c r="J1936" s="2"/>
      <c r="K1936" s="2"/>
      <c r="M1936">
        <f t="shared" si="151"/>
        <v>0</v>
      </c>
      <c r="N1936" t="e">
        <f t="shared" si="150"/>
        <v>#N/A</v>
      </c>
      <c r="O1936" t="e">
        <f t="shared" si="152"/>
        <v>#N/A</v>
      </c>
      <c r="P1936">
        <f>'Nom du personnage'!$U$51</f>
        <v>0</v>
      </c>
    </row>
    <row r="1937" spans="10:16">
      <c r="J1937" s="2"/>
      <c r="K1937" s="2"/>
      <c r="M1937">
        <f t="shared" si="151"/>
        <v>0</v>
      </c>
      <c r="N1937" t="e">
        <f t="shared" si="150"/>
        <v>#N/A</v>
      </c>
      <c r="O1937" t="e">
        <f t="shared" si="152"/>
        <v>#N/A</v>
      </c>
      <c r="P1937">
        <f>'Nom du personnage'!$U$51</f>
        <v>0</v>
      </c>
    </row>
    <row r="1938" spans="10:16">
      <c r="J1938" s="2"/>
      <c r="K1938" s="2"/>
      <c r="M1938">
        <f t="shared" si="151"/>
        <v>0</v>
      </c>
      <c r="N1938" t="e">
        <f t="shared" si="150"/>
        <v>#N/A</v>
      </c>
      <c r="O1938" t="e">
        <f t="shared" si="152"/>
        <v>#N/A</v>
      </c>
      <c r="P1938">
        <f>'Nom du personnage'!$U$51</f>
        <v>0</v>
      </c>
    </row>
    <row r="1939" spans="10:16">
      <c r="J1939" s="2"/>
      <c r="K1939" s="2"/>
      <c r="M1939">
        <f t="shared" si="151"/>
        <v>0</v>
      </c>
      <c r="N1939" t="e">
        <f t="shared" si="150"/>
        <v>#N/A</v>
      </c>
      <c r="O1939" t="e">
        <f t="shared" si="152"/>
        <v>#N/A</v>
      </c>
      <c r="P1939">
        <f>'Nom du personnage'!$U$51</f>
        <v>0</v>
      </c>
    </row>
    <row r="1940" spans="10:16">
      <c r="J1940" s="2"/>
      <c r="K1940" s="2"/>
      <c r="M1940">
        <f t="shared" si="151"/>
        <v>0</v>
      </c>
      <c r="N1940" t="e">
        <f t="shared" si="150"/>
        <v>#N/A</v>
      </c>
      <c r="O1940" t="e">
        <f t="shared" si="152"/>
        <v>#N/A</v>
      </c>
      <c r="P1940">
        <f>'Nom du personnage'!$U$51</f>
        <v>0</v>
      </c>
    </row>
    <row r="1941" spans="10:16">
      <c r="J1941" s="2"/>
      <c r="K1941" s="2"/>
      <c r="M1941">
        <f t="shared" si="151"/>
        <v>0</v>
      </c>
      <c r="N1941" t="e">
        <f t="shared" si="150"/>
        <v>#N/A</v>
      </c>
      <c r="O1941" t="e">
        <f t="shared" si="152"/>
        <v>#N/A</v>
      </c>
      <c r="P1941">
        <f>'Nom du personnage'!$U$51</f>
        <v>0</v>
      </c>
    </row>
    <row r="1942" spans="10:16">
      <c r="J1942" s="2"/>
      <c r="K1942" s="2"/>
      <c r="M1942">
        <f t="shared" si="151"/>
        <v>0</v>
      </c>
      <c r="N1942" t="e">
        <f t="shared" si="150"/>
        <v>#N/A</v>
      </c>
      <c r="O1942" t="e">
        <f t="shared" si="152"/>
        <v>#N/A</v>
      </c>
      <c r="P1942">
        <f>'Nom du personnage'!$U$51</f>
        <v>0</v>
      </c>
    </row>
    <row r="1943" spans="10:16">
      <c r="J1943" s="2"/>
      <c r="K1943" s="2"/>
      <c r="M1943">
        <f t="shared" si="151"/>
        <v>0</v>
      </c>
      <c r="N1943" t="e">
        <f t="shared" si="150"/>
        <v>#N/A</v>
      </c>
      <c r="O1943" t="e">
        <f t="shared" si="152"/>
        <v>#N/A</v>
      </c>
      <c r="P1943">
        <f>'Nom du personnage'!$U$51</f>
        <v>0</v>
      </c>
    </row>
    <row r="1944" spans="10:16">
      <c r="J1944" s="2"/>
      <c r="K1944" s="2"/>
      <c r="M1944">
        <f t="shared" si="151"/>
        <v>0</v>
      </c>
      <c r="N1944" t="e">
        <f t="shared" si="150"/>
        <v>#N/A</v>
      </c>
      <c r="O1944" t="e">
        <f t="shared" si="152"/>
        <v>#N/A</v>
      </c>
      <c r="P1944">
        <f>'Nom du personnage'!$U$51</f>
        <v>0</v>
      </c>
    </row>
    <row r="1945" spans="10:16">
      <c r="J1945" s="2"/>
      <c r="K1945" s="2"/>
      <c r="M1945">
        <f t="shared" si="151"/>
        <v>0</v>
      </c>
      <c r="N1945" t="e">
        <f t="shared" si="150"/>
        <v>#N/A</v>
      </c>
      <c r="O1945" t="e">
        <f t="shared" si="152"/>
        <v>#N/A</v>
      </c>
      <c r="P1945">
        <f>'Nom du personnage'!$U$51</f>
        <v>0</v>
      </c>
    </row>
    <row r="1946" spans="10:16">
      <c r="J1946" s="2"/>
      <c r="K1946" s="2"/>
      <c r="M1946">
        <f t="shared" si="151"/>
        <v>0</v>
      </c>
      <c r="N1946" t="e">
        <f t="shared" si="150"/>
        <v>#N/A</v>
      </c>
      <c r="O1946" t="e">
        <f t="shared" si="152"/>
        <v>#N/A</v>
      </c>
      <c r="P1946">
        <f>'Nom du personnage'!$U$51</f>
        <v>0</v>
      </c>
    </row>
    <row r="1947" spans="10:16">
      <c r="J1947" s="2"/>
      <c r="K1947" s="2"/>
      <c r="M1947">
        <f t="shared" si="151"/>
        <v>0</v>
      </c>
      <c r="N1947" t="e">
        <f t="shared" si="150"/>
        <v>#N/A</v>
      </c>
      <c r="O1947" t="e">
        <f t="shared" si="152"/>
        <v>#N/A</v>
      </c>
      <c r="P1947">
        <f>'Nom du personnage'!$U$51</f>
        <v>0</v>
      </c>
    </row>
    <row r="1948" spans="10:16">
      <c r="J1948" s="2"/>
      <c r="K1948" s="2"/>
      <c r="M1948">
        <f t="shared" si="151"/>
        <v>0</v>
      </c>
      <c r="N1948" t="e">
        <f t="shared" ref="N1948:N1949" si="153">VLOOKUP(M1948,H1948:J2005,2,FALSE)</f>
        <v>#N/A</v>
      </c>
      <c r="O1948" t="e">
        <f t="shared" si="152"/>
        <v>#N/A</v>
      </c>
      <c r="P1948">
        <f>'Nom du personnage'!$U$51</f>
        <v>0</v>
      </c>
    </row>
    <row r="1949" spans="10:16">
      <c r="J1949" s="2"/>
      <c r="K1949" s="2"/>
      <c r="M1949">
        <f t="shared" si="151"/>
        <v>0</v>
      </c>
      <c r="N1949" t="e">
        <f t="shared" si="153"/>
        <v>#N/A</v>
      </c>
      <c r="O1949" t="e">
        <f t="shared" si="152"/>
        <v>#N/A</v>
      </c>
      <c r="P1949">
        <f>'Nom du personnage'!$U$51</f>
        <v>0</v>
      </c>
    </row>
    <row r="1950" spans="10:16">
      <c r="J1950" s="2"/>
      <c r="K1950" s="2"/>
    </row>
    <row r="1951" spans="10:16">
      <c r="J1951" s="2"/>
      <c r="K1951" s="2"/>
    </row>
    <row r="1952" spans="10:16">
      <c r="J1952" s="2"/>
      <c r="K1952" s="2"/>
    </row>
    <row r="1953" spans="10:11">
      <c r="J1953" s="2"/>
      <c r="K1953" s="2"/>
    </row>
    <row r="1954" spans="10:11">
      <c r="J1954" s="2"/>
      <c r="K1954" s="2"/>
    </row>
    <row r="1955" spans="10:11">
      <c r="J1955" s="2"/>
      <c r="K1955" s="2"/>
    </row>
    <row r="1956" spans="10:11">
      <c r="J1956" s="2"/>
      <c r="K1956" s="2"/>
    </row>
    <row r="1957" spans="10:11">
      <c r="J1957" s="2"/>
      <c r="K1957" s="2"/>
    </row>
    <row r="1958" spans="10:11">
      <c r="J1958" s="2"/>
      <c r="K1958" s="2"/>
    </row>
    <row r="1959" spans="10:11">
      <c r="J1959" s="2"/>
      <c r="K1959" s="2"/>
    </row>
    <row r="1960" spans="10:11">
      <c r="J1960" s="2"/>
      <c r="K1960" s="2"/>
    </row>
    <row r="1961" spans="10:11">
      <c r="J1961" s="2"/>
      <c r="K1961" s="2"/>
    </row>
    <row r="1962" spans="10:11">
      <c r="J1962" s="2"/>
      <c r="K1962" s="2"/>
    </row>
    <row r="1963" spans="10:11">
      <c r="J1963" s="2"/>
      <c r="K1963" s="2"/>
    </row>
    <row r="1964" spans="10:11">
      <c r="J1964" s="2"/>
      <c r="K1964" s="2"/>
    </row>
    <row r="1965" spans="10:11">
      <c r="J1965" s="2"/>
      <c r="K1965" s="2"/>
    </row>
    <row r="1966" spans="10:11">
      <c r="J1966" s="2"/>
      <c r="K1966" s="2"/>
    </row>
    <row r="1967" spans="10:11">
      <c r="J1967" s="2"/>
      <c r="K1967" s="2"/>
    </row>
    <row r="1968" spans="10:11">
      <c r="J1968" s="2"/>
      <c r="K1968" s="2"/>
    </row>
    <row r="1969" spans="10:11">
      <c r="J1969" s="2"/>
      <c r="K1969" s="2"/>
    </row>
    <row r="1970" spans="10:11">
      <c r="J1970" s="2"/>
      <c r="K1970" s="2"/>
    </row>
    <row r="1971" spans="10:11">
      <c r="J1971" s="2"/>
      <c r="K1971" s="2"/>
    </row>
    <row r="1972" spans="10:11">
      <c r="J1972" s="2"/>
      <c r="K1972" s="2"/>
    </row>
    <row r="1973" spans="10:11">
      <c r="J1973" s="2"/>
      <c r="K1973" s="2"/>
    </row>
    <row r="1974" spans="10:11">
      <c r="J1974" s="2"/>
      <c r="K1974" s="2"/>
    </row>
    <row r="1975" spans="10:11">
      <c r="J1975" s="2"/>
      <c r="K1975" s="2"/>
    </row>
    <row r="1976" spans="10:11">
      <c r="J1976" s="2"/>
      <c r="K1976" s="2"/>
    </row>
    <row r="1977" spans="10:11">
      <c r="J1977" s="2"/>
      <c r="K1977" s="2"/>
    </row>
    <row r="1978" spans="10:11">
      <c r="J1978" s="2"/>
      <c r="K1978" s="2"/>
    </row>
    <row r="1979" spans="10:11">
      <c r="J1979" s="2"/>
      <c r="K1979" s="2"/>
    </row>
    <row r="1980" spans="10:11">
      <c r="J1980" s="2"/>
      <c r="K1980" s="2"/>
    </row>
    <row r="1981" spans="10:11">
      <c r="J1981" s="2"/>
      <c r="K1981" s="2"/>
    </row>
    <row r="1982" spans="10:11">
      <c r="J1982" s="2"/>
      <c r="K1982" s="2"/>
    </row>
    <row r="1983" spans="10:11">
      <c r="J1983" s="2"/>
      <c r="K1983" s="2"/>
    </row>
    <row r="1984" spans="10:11">
      <c r="J1984" s="2"/>
      <c r="K1984" s="2"/>
    </row>
    <row r="1985" spans="10:11">
      <c r="J1985" s="2"/>
      <c r="K1985" s="2"/>
    </row>
    <row r="1986" spans="10:11">
      <c r="J1986" s="2"/>
      <c r="K1986" s="2"/>
    </row>
    <row r="1987" spans="10:11">
      <c r="J1987" s="2"/>
      <c r="K1987" s="2"/>
    </row>
    <row r="1988" spans="10:11">
      <c r="J1988" s="2"/>
      <c r="K1988" s="2"/>
    </row>
    <row r="1989" spans="10:11">
      <c r="J1989" s="2"/>
      <c r="K1989" s="2"/>
    </row>
    <row r="1990" spans="10:11">
      <c r="J1990" s="2"/>
      <c r="K1990" s="2"/>
    </row>
    <row r="1991" spans="10:11">
      <c r="J1991" s="2"/>
      <c r="K1991" s="2"/>
    </row>
    <row r="1992" spans="10:11">
      <c r="J1992" s="2"/>
      <c r="K1992" s="2"/>
    </row>
    <row r="1993" spans="10:11">
      <c r="J1993" s="2"/>
      <c r="K1993" s="2"/>
    </row>
    <row r="1994" spans="10:11">
      <c r="J1994" s="2"/>
      <c r="K1994" s="2"/>
    </row>
    <row r="1995" spans="10:11">
      <c r="J1995" s="2"/>
      <c r="K1995" s="2"/>
    </row>
    <row r="1996" spans="10:11">
      <c r="J1996" s="2"/>
      <c r="K1996" s="2"/>
    </row>
    <row r="1997" spans="10:11">
      <c r="J1997" s="2"/>
      <c r="K1997" s="2"/>
    </row>
    <row r="1998" spans="10:11">
      <c r="J1998" s="2"/>
      <c r="K1998" s="2"/>
    </row>
    <row r="1999" spans="10:11">
      <c r="J1999" s="2"/>
      <c r="K1999" s="2"/>
    </row>
    <row r="2000" spans="10:11">
      <c r="J2000" s="2"/>
      <c r="K2000" s="2"/>
    </row>
    <row r="2001" spans="10:11">
      <c r="J2001" s="2"/>
      <c r="K2001" s="2"/>
    </row>
    <row r="2002" spans="10:11">
      <c r="J2002" s="2"/>
      <c r="K2002" s="2"/>
    </row>
    <row r="2003" spans="10:11">
      <c r="J2003" s="2"/>
      <c r="K2003" s="2"/>
    </row>
    <row r="2004" spans="10:11">
      <c r="J2004" s="2"/>
      <c r="K2004" s="2"/>
    </row>
    <row r="2005" spans="10:11">
      <c r="J2005" s="2"/>
      <c r="K2005" s="2"/>
    </row>
    <row r="2006" spans="10:11">
      <c r="J2006" s="2"/>
      <c r="K2006" s="2"/>
    </row>
    <row r="2007" spans="10:11">
      <c r="J2007" s="2"/>
      <c r="K2007" s="2"/>
    </row>
    <row r="2008" spans="10:11">
      <c r="J2008" s="2"/>
      <c r="K2008" s="2"/>
    </row>
    <row r="2009" spans="10:11">
      <c r="J2009" s="2"/>
      <c r="K2009" s="2"/>
    </row>
    <row r="2010" spans="10:11">
      <c r="J2010" s="2"/>
      <c r="K2010" s="2"/>
    </row>
    <row r="2011" spans="10:11">
      <c r="J2011" s="2"/>
      <c r="K2011" s="2"/>
    </row>
    <row r="2012" spans="10:11">
      <c r="J2012" s="2"/>
      <c r="K2012" s="2"/>
    </row>
    <row r="2013" spans="10:11">
      <c r="J2013" s="2"/>
      <c r="K2013" s="2"/>
    </row>
    <row r="2014" spans="10:11">
      <c r="J2014" s="2"/>
      <c r="K2014" s="2"/>
    </row>
    <row r="2015" spans="10:11">
      <c r="J2015" s="2"/>
      <c r="K2015" s="2"/>
    </row>
    <row r="2016" spans="10:11">
      <c r="J2016" s="2"/>
      <c r="K2016" s="2"/>
    </row>
    <row r="2017" spans="10:11">
      <c r="J2017" s="2"/>
      <c r="K2017" s="2"/>
    </row>
    <row r="2018" spans="10:11">
      <c r="J2018" s="2"/>
      <c r="K2018" s="2"/>
    </row>
    <row r="2019" spans="10:11">
      <c r="J2019" s="2"/>
      <c r="K2019" s="2"/>
    </row>
    <row r="2020" spans="10:11">
      <c r="J2020" s="2"/>
      <c r="K2020" s="2"/>
    </row>
    <row r="2021" spans="10:11">
      <c r="J2021" s="2"/>
      <c r="K2021" s="2"/>
    </row>
    <row r="2022" spans="10:11">
      <c r="J2022" s="2"/>
      <c r="K2022" s="2"/>
    </row>
    <row r="2023" spans="10:11">
      <c r="J2023" s="2"/>
      <c r="K2023" s="2"/>
    </row>
    <row r="2024" spans="10:11">
      <c r="J2024" s="2"/>
      <c r="K2024" s="2"/>
    </row>
    <row r="2025" spans="10:11">
      <c r="J2025" s="2"/>
      <c r="K2025" s="2"/>
    </row>
    <row r="2026" spans="10:11">
      <c r="J2026" s="2"/>
      <c r="K2026" s="2"/>
    </row>
    <row r="2027" spans="10:11">
      <c r="J2027" s="2"/>
      <c r="K2027" s="2"/>
    </row>
    <row r="2028" spans="10:11">
      <c r="J2028" s="2"/>
      <c r="K2028" s="2"/>
    </row>
    <row r="2029" spans="10:11">
      <c r="J2029" s="2"/>
      <c r="K2029" s="2"/>
    </row>
    <row r="2030" spans="10:11">
      <c r="J2030" s="2"/>
      <c r="K2030" s="2"/>
    </row>
    <row r="2031" spans="10:11">
      <c r="J2031" s="2"/>
      <c r="K2031" s="2"/>
    </row>
    <row r="2032" spans="10:11">
      <c r="J2032" s="2"/>
      <c r="K2032" s="2"/>
    </row>
    <row r="2033" spans="10:11">
      <c r="J2033" s="2"/>
      <c r="K2033" s="2"/>
    </row>
    <row r="2034" spans="10:11">
      <c r="J2034" s="2"/>
      <c r="K2034" s="2"/>
    </row>
    <row r="2035" spans="10:11">
      <c r="J2035" s="2"/>
      <c r="K2035" s="2"/>
    </row>
    <row r="2036" spans="10:11">
      <c r="J2036" s="2"/>
      <c r="K2036" s="2"/>
    </row>
    <row r="2037" spans="10:11">
      <c r="J2037" s="2"/>
      <c r="K2037" s="2"/>
    </row>
    <row r="2038" spans="10:11">
      <c r="J2038" s="2"/>
      <c r="K2038" s="2"/>
    </row>
    <row r="2039" spans="10:11">
      <c r="J2039" s="2"/>
      <c r="K2039" s="2"/>
    </row>
    <row r="2040" spans="10:11">
      <c r="J2040" s="2"/>
      <c r="K2040" s="2"/>
    </row>
    <row r="2041" spans="10:11">
      <c r="J2041" s="2"/>
      <c r="K2041" s="2"/>
    </row>
    <row r="2042" spans="10:11">
      <c r="J2042" s="2"/>
      <c r="K2042" s="2"/>
    </row>
    <row r="2043" spans="10:11">
      <c r="J2043" s="2"/>
      <c r="K2043" s="2"/>
    </row>
    <row r="2044" spans="10:11">
      <c r="J2044" s="2"/>
      <c r="K2044" s="2"/>
    </row>
    <row r="2045" spans="10:11">
      <c r="J2045" s="2"/>
      <c r="K2045" s="2"/>
    </row>
    <row r="2046" spans="10:11">
      <c r="J2046" s="2"/>
      <c r="K2046" s="2"/>
    </row>
    <row r="2047" spans="10:11">
      <c r="J2047" s="2"/>
      <c r="K2047" s="2"/>
    </row>
    <row r="2048" spans="10:11">
      <c r="J2048" s="2"/>
      <c r="K2048" s="2"/>
    </row>
    <row r="2049" spans="10:11">
      <c r="J2049" s="2"/>
      <c r="K2049" s="2"/>
    </row>
    <row r="2050" spans="10:11">
      <c r="J2050" s="2"/>
      <c r="K2050" s="2"/>
    </row>
    <row r="2051" spans="10:11">
      <c r="J2051" s="2"/>
      <c r="K2051" s="2"/>
    </row>
    <row r="2052" spans="10:11">
      <c r="J2052" s="2"/>
      <c r="K2052" s="2"/>
    </row>
    <row r="2053" spans="10:11">
      <c r="J2053" s="2"/>
      <c r="K2053" s="2"/>
    </row>
    <row r="2054" spans="10:11">
      <c r="J2054" s="2"/>
      <c r="K2054" s="2"/>
    </row>
    <row r="2055" spans="10:11">
      <c r="J2055" s="2"/>
      <c r="K2055" s="2"/>
    </row>
    <row r="2056" spans="10:11">
      <c r="J2056" s="2"/>
      <c r="K2056" s="2"/>
    </row>
    <row r="2057" spans="10:11">
      <c r="J2057" s="2"/>
      <c r="K2057" s="2"/>
    </row>
    <row r="2058" spans="10:11">
      <c r="J2058" s="2"/>
      <c r="K2058" s="2"/>
    </row>
    <row r="2059" spans="10:11">
      <c r="J2059" s="2"/>
      <c r="K2059" s="2"/>
    </row>
    <row r="2060" spans="10:11">
      <c r="J2060" s="2"/>
      <c r="K2060" s="2"/>
    </row>
    <row r="2061" spans="10:11">
      <c r="J2061" s="2"/>
      <c r="K2061" s="2"/>
    </row>
    <row r="2062" spans="10:11">
      <c r="J2062" s="2"/>
      <c r="K2062" s="2"/>
    </row>
    <row r="2063" spans="10:11">
      <c r="J2063" s="2"/>
      <c r="K2063" s="2"/>
    </row>
    <row r="2064" spans="10:11">
      <c r="J2064" s="2"/>
      <c r="K2064" s="2"/>
    </row>
    <row r="2065" spans="10:11">
      <c r="J2065" s="2"/>
      <c r="K2065" s="2"/>
    </row>
    <row r="2066" spans="10:11">
      <c r="J2066" s="2"/>
      <c r="K2066" s="2"/>
    </row>
    <row r="2067" spans="10:11">
      <c r="J2067" s="2"/>
      <c r="K2067" s="2"/>
    </row>
    <row r="2068" spans="10:11">
      <c r="J2068" s="2"/>
      <c r="K2068" s="2"/>
    </row>
    <row r="2069" spans="10:11">
      <c r="J2069" s="2"/>
      <c r="K2069" s="2"/>
    </row>
    <row r="2070" spans="10:11">
      <c r="J2070" s="2"/>
      <c r="K2070" s="2"/>
    </row>
    <row r="2071" spans="10:11">
      <c r="J2071" s="2"/>
      <c r="K2071" s="2"/>
    </row>
    <row r="2072" spans="10:11">
      <c r="J2072" s="2"/>
      <c r="K2072" s="2"/>
    </row>
    <row r="2073" spans="10:11">
      <c r="J2073" s="2"/>
      <c r="K2073" s="2"/>
    </row>
    <row r="2074" spans="10:11">
      <c r="J2074" s="2"/>
      <c r="K2074" s="2"/>
    </row>
    <row r="2075" spans="10:11">
      <c r="J2075" s="2"/>
      <c r="K2075" s="2"/>
    </row>
    <row r="2076" spans="10:11">
      <c r="J2076" s="2"/>
      <c r="K2076" s="2"/>
    </row>
    <row r="2077" spans="10:11">
      <c r="J2077" s="2"/>
      <c r="K2077" s="2"/>
    </row>
    <row r="2078" spans="10:11">
      <c r="J2078" s="2"/>
      <c r="K2078" s="2"/>
    </row>
    <row r="2079" spans="10:11">
      <c r="J2079" s="2"/>
      <c r="K2079" s="2"/>
    </row>
    <row r="2080" spans="10:11">
      <c r="J2080" s="2"/>
      <c r="K2080" s="2"/>
    </row>
    <row r="2081" spans="10:11">
      <c r="J2081" s="2"/>
      <c r="K2081" s="2"/>
    </row>
    <row r="2082" spans="10:11">
      <c r="J2082" s="2"/>
      <c r="K2082" s="2"/>
    </row>
    <row r="2083" spans="10:11">
      <c r="J2083" s="2"/>
      <c r="K2083" s="2"/>
    </row>
    <row r="2084" spans="10:11">
      <c r="J2084" s="2"/>
      <c r="K2084" s="2"/>
    </row>
    <row r="2085" spans="10:11">
      <c r="J2085" s="2"/>
      <c r="K2085" s="2"/>
    </row>
    <row r="2086" spans="10:11">
      <c r="J2086" s="2"/>
      <c r="K2086" s="2"/>
    </row>
    <row r="2087" spans="10:11">
      <c r="J2087" s="2"/>
      <c r="K2087" s="2"/>
    </row>
    <row r="2088" spans="10:11">
      <c r="J2088" s="2"/>
      <c r="K2088" s="2"/>
    </row>
    <row r="2089" spans="10:11">
      <c r="J2089" s="2"/>
      <c r="K2089" s="2"/>
    </row>
    <row r="2090" spans="10:11">
      <c r="J2090" s="2"/>
      <c r="K2090" s="2"/>
    </row>
    <row r="2091" spans="10:11">
      <c r="J2091" s="2"/>
      <c r="K2091" s="2"/>
    </row>
    <row r="2092" spans="10:11">
      <c r="J2092" s="2"/>
      <c r="K2092" s="2"/>
    </row>
    <row r="2093" spans="10:11">
      <c r="J2093" s="2"/>
      <c r="K2093" s="2"/>
    </row>
    <row r="2094" spans="10:11">
      <c r="J2094" s="2"/>
      <c r="K2094" s="2"/>
    </row>
    <row r="2095" spans="10:11">
      <c r="J2095" s="2"/>
      <c r="K2095" s="2"/>
    </row>
    <row r="2096" spans="10:11">
      <c r="J2096" s="2"/>
      <c r="K2096" s="2"/>
    </row>
    <row r="2097" spans="10:11">
      <c r="J2097" s="2"/>
      <c r="K2097" s="2"/>
    </row>
    <row r="2098" spans="10:11">
      <c r="J2098" s="2"/>
      <c r="K2098" s="2"/>
    </row>
    <row r="2099" spans="10:11">
      <c r="J2099" s="2"/>
      <c r="K2099" s="2"/>
    </row>
    <row r="2100" spans="10:11">
      <c r="J2100" s="2"/>
      <c r="K2100" s="2"/>
    </row>
    <row r="2101" spans="10:11">
      <c r="J2101" s="2"/>
      <c r="K2101" s="2"/>
    </row>
    <row r="2102" spans="10:11">
      <c r="J2102" s="2"/>
      <c r="K2102" s="2"/>
    </row>
    <row r="2103" spans="10:11">
      <c r="J2103" s="2"/>
      <c r="K2103" s="2"/>
    </row>
    <row r="2104" spans="10:11">
      <c r="J2104" s="2"/>
      <c r="K2104" s="2"/>
    </row>
    <row r="2105" spans="10:11">
      <c r="J2105" s="2"/>
      <c r="K2105" s="2"/>
    </row>
    <row r="2106" spans="10:11">
      <c r="J2106" s="2"/>
      <c r="K2106" s="2"/>
    </row>
    <row r="2107" spans="10:11">
      <c r="J2107" s="2"/>
      <c r="K2107" s="2"/>
    </row>
    <row r="2108" spans="10:11">
      <c r="J2108" s="2"/>
      <c r="K2108" s="2"/>
    </row>
    <row r="2109" spans="10:11">
      <c r="J2109" s="2"/>
      <c r="K2109" s="2"/>
    </row>
    <row r="2110" spans="10:11">
      <c r="J2110" s="2"/>
      <c r="K2110" s="2"/>
    </row>
    <row r="2111" spans="10:11">
      <c r="J2111" s="2"/>
      <c r="K2111" s="2"/>
    </row>
    <row r="2112" spans="10:11">
      <c r="J2112" s="2"/>
      <c r="K2112" s="2"/>
    </row>
    <row r="2113" spans="10:11">
      <c r="J2113" s="2"/>
      <c r="K2113" s="2"/>
    </row>
    <row r="2114" spans="10:11">
      <c r="J2114" s="2"/>
      <c r="K2114" s="2"/>
    </row>
    <row r="2115" spans="10:11">
      <c r="J2115" s="2"/>
      <c r="K2115" s="2"/>
    </row>
    <row r="2116" spans="10:11">
      <c r="J2116" s="2"/>
      <c r="K2116" s="2"/>
    </row>
    <row r="2117" spans="10:11">
      <c r="J2117" s="2"/>
      <c r="K2117" s="2"/>
    </row>
    <row r="2118" spans="10:11">
      <c r="J2118" s="2"/>
      <c r="K2118" s="2"/>
    </row>
    <row r="2119" spans="10:11">
      <c r="J2119" s="2"/>
      <c r="K2119" s="2"/>
    </row>
    <row r="2120" spans="10:11">
      <c r="J2120" s="2"/>
      <c r="K2120" s="2"/>
    </row>
    <row r="2121" spans="10:11">
      <c r="J2121" s="2"/>
      <c r="K2121" s="2"/>
    </row>
    <row r="2122" spans="10:11">
      <c r="J2122" s="2"/>
      <c r="K2122" s="2"/>
    </row>
    <row r="2123" spans="10:11">
      <c r="J2123" s="2"/>
      <c r="K2123" s="2"/>
    </row>
    <row r="2124" spans="10:11">
      <c r="J2124" s="2"/>
      <c r="K2124" s="2"/>
    </row>
    <row r="2125" spans="10:11">
      <c r="J2125" s="2"/>
      <c r="K2125" s="2"/>
    </row>
    <row r="2126" spans="10:11">
      <c r="J2126" s="2"/>
      <c r="K2126" s="2"/>
    </row>
    <row r="2127" spans="10:11">
      <c r="J2127" s="2"/>
      <c r="K2127" s="2"/>
    </row>
    <row r="2128" spans="10:11">
      <c r="J2128" s="2"/>
      <c r="K2128" s="2"/>
    </row>
    <row r="2129" spans="10:11">
      <c r="J2129" s="2"/>
      <c r="K2129" s="2"/>
    </row>
    <row r="2130" spans="10:11">
      <c r="J2130" s="2"/>
      <c r="K2130" s="2"/>
    </row>
    <row r="2131" spans="10:11">
      <c r="J2131" s="2"/>
      <c r="K2131" s="2"/>
    </row>
    <row r="2132" spans="10:11">
      <c r="J2132" s="2"/>
      <c r="K2132" s="2"/>
    </row>
    <row r="2133" spans="10:11">
      <c r="J2133" s="2"/>
      <c r="K2133" s="2"/>
    </row>
    <row r="2134" spans="10:11">
      <c r="J2134" s="2"/>
      <c r="K2134" s="2"/>
    </row>
    <row r="2135" spans="10:11">
      <c r="J2135" s="2"/>
      <c r="K2135" s="2"/>
    </row>
    <row r="2136" spans="10:11">
      <c r="J2136" s="2"/>
      <c r="K2136" s="2"/>
    </row>
    <row r="2137" spans="10:11">
      <c r="J2137" s="2"/>
      <c r="K2137" s="2"/>
    </row>
    <row r="2138" spans="10:11">
      <c r="J2138" s="2"/>
      <c r="K2138" s="2"/>
    </row>
    <row r="2139" spans="10:11">
      <c r="J2139" s="2"/>
      <c r="K2139" s="2"/>
    </row>
    <row r="2140" spans="10:11">
      <c r="J2140" s="2"/>
      <c r="K2140" s="2"/>
    </row>
    <row r="2141" spans="10:11">
      <c r="J2141" s="2"/>
      <c r="K2141" s="2"/>
    </row>
    <row r="2142" spans="10:11">
      <c r="J2142" s="2"/>
      <c r="K2142" s="2"/>
    </row>
    <row r="2143" spans="10:11">
      <c r="J2143" s="2"/>
      <c r="K2143" s="2"/>
    </row>
    <row r="2144" spans="10:11">
      <c r="J2144" s="2"/>
      <c r="K2144" s="2"/>
    </row>
    <row r="2145" spans="10:11">
      <c r="J2145" s="2"/>
      <c r="K2145" s="2"/>
    </row>
    <row r="2146" spans="10:11">
      <c r="J2146" s="2"/>
      <c r="K2146" s="2"/>
    </row>
    <row r="2147" spans="10:11">
      <c r="J2147" s="2"/>
      <c r="K2147" s="2"/>
    </row>
    <row r="2148" spans="10:11">
      <c r="J2148" s="2"/>
      <c r="K2148" s="2"/>
    </row>
    <row r="2149" spans="10:11">
      <c r="J2149" s="2"/>
      <c r="K2149" s="2"/>
    </row>
    <row r="2150" spans="10:11">
      <c r="J2150" s="2"/>
      <c r="K2150" s="2"/>
    </row>
    <row r="2151" spans="10:11">
      <c r="J2151" s="2"/>
      <c r="K2151" s="2"/>
    </row>
    <row r="2152" spans="10:11">
      <c r="J2152" s="2"/>
      <c r="K2152" s="2"/>
    </row>
    <row r="2153" spans="10:11">
      <c r="J2153" s="2"/>
      <c r="K2153" s="2"/>
    </row>
    <row r="2154" spans="10:11">
      <c r="J2154" s="2"/>
      <c r="K2154" s="2"/>
    </row>
    <row r="2155" spans="10:11">
      <c r="J2155" s="2"/>
      <c r="K2155" s="2"/>
    </row>
    <row r="2156" spans="10:11">
      <c r="J2156" s="2"/>
      <c r="K2156" s="2"/>
    </row>
    <row r="2157" spans="10:11">
      <c r="J2157" s="2"/>
      <c r="K2157" s="2"/>
    </row>
    <row r="2158" spans="10:11">
      <c r="J2158" s="2"/>
      <c r="K2158" s="2"/>
    </row>
    <row r="2159" spans="10:11">
      <c r="J2159" s="2"/>
      <c r="K2159" s="2"/>
    </row>
  </sheetData>
  <autoFilter ref="H1:M1081" xr:uid="{1118D9D4-A38E-4F34-B5A5-14336259E0DF}">
    <filterColumn colId="0">
      <filters>
        <filter val="Endurance guerrière"/>
        <filter val="Touche à tout - Endurance guerrière"/>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7F6E-DA95-46B9-8987-9900A0308C34}">
  <dimension ref="C1:J45"/>
  <sheetViews>
    <sheetView topLeftCell="A28" workbookViewId="0">
      <selection activeCell="K8" sqref="K8"/>
    </sheetView>
  </sheetViews>
  <sheetFormatPr baseColWidth="10" defaultRowHeight="15"/>
  <cols>
    <col min="4" max="4" width="30.81640625" bestFit="1" customWidth="1"/>
    <col min="10" max="10" width="15.1796875" bestFit="1" customWidth="1"/>
  </cols>
  <sheetData>
    <row r="1" spans="3:10">
      <c r="C1" s="14"/>
      <c r="I1" t="s">
        <v>1004</v>
      </c>
      <c r="J1" t="s">
        <v>1003</v>
      </c>
    </row>
    <row r="3" spans="3:10">
      <c r="D3" t="s">
        <v>451</v>
      </c>
      <c r="E3" t="s">
        <v>1000</v>
      </c>
      <c r="F3" t="s">
        <v>691</v>
      </c>
      <c r="G3" t="s">
        <v>1001</v>
      </c>
      <c r="H3" t="s">
        <v>1002</v>
      </c>
    </row>
    <row r="4" spans="3:10">
      <c r="D4" s="2" t="s">
        <v>959</v>
      </c>
      <c r="E4" t="b" cm="1">
        <f t="array" ref="E4">AND(OR(D4='Nom du personnage'!$C$65:$L$85,D4='Nom du personnage'!$Q$65:$Z$84)=TRUE,D4&lt;&gt;0)</f>
        <v>0</v>
      </c>
      <c r="F4">
        <f>+IF(E4=TRUE,1,0)</f>
        <v>0</v>
      </c>
      <c r="G4">
        <v>0</v>
      </c>
      <c r="H4">
        <f>IF(AND('Nom du personnage'!$F$51=Données!$C$14,'Bonus Humain'!G4=0,OR('Bonus Humain'!F4=1,'Bonus Humain'!F4=2,2&gt;'Bonus Humain'!$F$45)),1,0)</f>
        <v>0</v>
      </c>
    </row>
    <row r="5" spans="3:10">
      <c r="D5" s="2" t="s">
        <v>960</v>
      </c>
      <c r="E5" t="b" cm="1">
        <f t="array" ref="E5">AND(OR(D5='Nom du personnage'!$C$65:$L$85,D5='Nom du personnage'!$Q$65:$Z$84)=TRUE,D5&lt;&gt;0)</f>
        <v>0</v>
      </c>
      <c r="F5">
        <f t="shared" ref="F5:F44" si="0">+IF(E5=TRUE,1,0)</f>
        <v>0</v>
      </c>
      <c r="G5">
        <v>0</v>
      </c>
      <c r="H5">
        <f>IF(AND('Nom du personnage'!$F$51=Données!$C$14,'Bonus Humain'!G5=0,OR('Bonus Humain'!F5=1,'Bonus Humain'!F5=2,2&gt;'Bonus Humain'!$F$45)),1,0)</f>
        <v>0</v>
      </c>
    </row>
    <row r="6" spans="3:10">
      <c r="D6" s="2" t="s">
        <v>961</v>
      </c>
      <c r="E6" t="b" cm="1">
        <f t="array" ref="E6">AND(OR(D6='Nom du personnage'!$C$65:$L$85,D6='Nom du personnage'!$Q$65:$Z$84)=TRUE,D6&lt;&gt;0)</f>
        <v>0</v>
      </c>
      <c r="F6">
        <f>+IF(E6=TRUE,1,0)</f>
        <v>0</v>
      </c>
      <c r="G6">
        <f ca="1">IF(COUNTIF('Nom du personnage'!C66:AC85,Compétences!M4)&gt;0,0,5)</f>
        <v>5</v>
      </c>
      <c r="H6">
        <f ca="1">IF(AND('Nom du personnage'!$F$51=Données!$C$14,'Bonus Humain'!G6=0,OR('Bonus Humain'!F6=1,'Bonus Humain'!F6=2,2&gt;'Bonus Humain'!$F$45)),1,0)</f>
        <v>0</v>
      </c>
    </row>
    <row r="7" spans="3:10">
      <c r="D7" s="2" t="s">
        <v>962</v>
      </c>
      <c r="E7" t="b" cm="1">
        <f t="array" ref="E7">AND(OR(D7='Nom du personnage'!$C$65:$L$85,D7='Nom du personnage'!$Q$65:$Z$84)=TRUE,D7&lt;&gt;0)</f>
        <v>0</v>
      </c>
      <c r="F7">
        <f t="shared" si="0"/>
        <v>0</v>
      </c>
      <c r="G7">
        <v>0</v>
      </c>
      <c r="H7">
        <f>IF(AND('Nom du personnage'!$F$51=Données!$C$14,'Bonus Humain'!G7=0,OR('Bonus Humain'!F7=1,'Bonus Humain'!F7=2,2&gt;'Bonus Humain'!$F$45)),1,0)</f>
        <v>0</v>
      </c>
    </row>
    <row r="8" spans="3:10">
      <c r="D8" s="2" t="s">
        <v>963</v>
      </c>
      <c r="E8" t="b" cm="1">
        <f t="array" ref="E8">AND(OR(D8='Nom du personnage'!$C$65:$L$85,D8='Nom du personnage'!$Q$65:$Z$84)=TRUE,D8&lt;&gt;0)</f>
        <v>0</v>
      </c>
      <c r="F8">
        <f t="shared" si="0"/>
        <v>0</v>
      </c>
      <c r="G8">
        <v>0</v>
      </c>
      <c r="H8">
        <f>IF(AND('Nom du personnage'!$F$51=Données!$C$14,'Bonus Humain'!G8=0,OR('Bonus Humain'!F8=1,'Bonus Humain'!F8=2,2&gt;'Bonus Humain'!$F$45)),1,0)</f>
        <v>0</v>
      </c>
    </row>
    <row r="9" spans="3:10">
      <c r="D9" s="2" t="s">
        <v>964</v>
      </c>
      <c r="E9" t="b" cm="1">
        <f t="array" ref="E9">AND(OR(D9='Nom du personnage'!$C$65:$L$85,D9='Nom du personnage'!$Q$65:$Z$84)=TRUE,D9&lt;&gt;0)</f>
        <v>0</v>
      </c>
      <c r="F9">
        <f t="shared" si="0"/>
        <v>0</v>
      </c>
      <c r="G9">
        <v>0</v>
      </c>
      <c r="H9">
        <f>IF(AND('Nom du personnage'!$F$51=Données!$C$14,'Bonus Humain'!G9=0,OR('Bonus Humain'!F9=1,'Bonus Humain'!F9=2,2&gt;'Bonus Humain'!$F$45)),1,0)</f>
        <v>0</v>
      </c>
    </row>
    <row r="10" spans="3:10">
      <c r="D10" s="2" t="s">
        <v>965</v>
      </c>
      <c r="E10" t="b" cm="1">
        <f t="array" ref="E10">AND(OR(D10='Nom du personnage'!$C$65:$L$85,D10='Nom du personnage'!$Q$65:$Z$84)=TRUE,D10&lt;&gt;0)</f>
        <v>0</v>
      </c>
      <c r="F10">
        <f t="shared" si="0"/>
        <v>0</v>
      </c>
      <c r="G10">
        <f ca="1">IF(IF(COUNTIF('Nom du personnage'!C66:AC85,Compétences!M8)&gt;0,Compétences!H9,0)=0,5,0)</f>
        <v>5</v>
      </c>
      <c r="H10">
        <f ca="1">IF(AND('Nom du personnage'!$F$51=Données!$C$14,'Bonus Humain'!G10=0,OR('Bonus Humain'!F10=1,'Bonus Humain'!F10=2,2&gt;'Bonus Humain'!$F$45)),1,0)</f>
        <v>0</v>
      </c>
    </row>
    <row r="11" spans="3:10">
      <c r="D11" s="2" t="s">
        <v>966</v>
      </c>
      <c r="E11" t="b" cm="1">
        <f t="array" ref="E11">AND(OR(D11='Nom du personnage'!$C$65:$L$85,D11='Nom du personnage'!$Q$65:$Z$84)=TRUE,D11&lt;&gt;0)</f>
        <v>0</v>
      </c>
      <c r="F11">
        <f t="shared" si="0"/>
        <v>0</v>
      </c>
      <c r="G11">
        <f ca="1">IF(IF('Compétences raciales + carrière'!B36&gt;0,Compétences!H10,0)=0,5,0)</f>
        <v>5</v>
      </c>
      <c r="H11">
        <f ca="1">IF(AND('Nom du personnage'!$F$51=Données!$C$14,'Bonus Humain'!G11=0,OR('Bonus Humain'!F11=1,'Bonus Humain'!F11=2,2&gt;'Bonus Humain'!$F$45)),1,0)</f>
        <v>0</v>
      </c>
      <c r="J11" s="15"/>
    </row>
    <row r="12" spans="3:10">
      <c r="D12" s="2" t="s">
        <v>967</v>
      </c>
      <c r="E12" t="b" cm="1">
        <f t="array" ref="E12">AND(OR(D12='Nom du personnage'!$C$65:$L$85,D12='Nom du personnage'!$Q$65:$Z$84)=TRUE,D12&lt;&gt;0)</f>
        <v>0</v>
      </c>
      <c r="F12">
        <f>+IF(E12=TRUE,1,0)</f>
        <v>0</v>
      </c>
      <c r="G12">
        <f>IF(IF(ISERROR(IF(VLOOKUP('Nom du personnage'!$U$51,Données!P3:S30,2,FALSE)&gt;0,Compétences!H11,0)=TRUE),0,IF(VLOOKUP('Nom du personnage'!$U$51,Données!P3:S30,2,FALSE)&gt;0,Compétences!H11,0))=0,5,0)</f>
        <v>5</v>
      </c>
      <c r="H12">
        <f>IF(AND('Nom du personnage'!$F$51=Données!$C$14,'Bonus Humain'!G12=0,OR('Bonus Humain'!F12=1,'Bonus Humain'!F12=2,2&gt;'Bonus Humain'!$F$45)),1,0)</f>
        <v>0</v>
      </c>
    </row>
    <row r="13" spans="3:10">
      <c r="D13" s="2" t="s">
        <v>968</v>
      </c>
      <c r="E13" t="b" cm="1">
        <f t="array" ref="E13">AND(OR(D13='Nom du personnage'!$C$65:$L$85,D13='Nom du personnage'!$Q$65:$Z$84)=TRUE,D13&lt;&gt;0)</f>
        <v>0</v>
      </c>
      <c r="F13">
        <f t="shared" si="0"/>
        <v>0</v>
      </c>
      <c r="G13">
        <v>0</v>
      </c>
      <c r="H13">
        <f>IF(AND('Nom du personnage'!$F$51=Données!$C$14,'Bonus Humain'!G13=0,OR('Bonus Humain'!F13=1,'Bonus Humain'!F13=2,2&gt;'Bonus Humain'!$F$45)),1,0)</f>
        <v>0</v>
      </c>
    </row>
    <row r="14" spans="3:10">
      <c r="D14" s="2" t="s">
        <v>969</v>
      </c>
      <c r="E14" t="b" cm="1">
        <f t="array" ref="E14">AND(OR(D14='Nom du personnage'!$C$65:$L$85,D14='Nom du personnage'!$Q$65:$Z$84)=TRUE,D14&lt;&gt;0)</f>
        <v>0</v>
      </c>
      <c r="F14">
        <f t="shared" si="0"/>
        <v>0</v>
      </c>
      <c r="G14">
        <v>0</v>
      </c>
      <c r="H14">
        <f>IF(AND('Nom du personnage'!$F$51=Données!$C$14,'Bonus Humain'!G14=0,OR('Bonus Humain'!F14=1,'Bonus Humain'!F14=2,2&gt;'Bonus Humain'!$F$45)),1,0)</f>
        <v>0</v>
      </c>
    </row>
    <row r="15" spans="3:10">
      <c r="D15" s="2" t="s">
        <v>970</v>
      </c>
      <c r="E15" t="b" cm="1">
        <f t="array" ref="E15">AND(OR(D15='Nom du personnage'!$C$65:$L$85,D15='Nom du personnage'!$Q$65:$Z$84)=TRUE,D15&lt;&gt;0)</f>
        <v>0</v>
      </c>
      <c r="F15">
        <f t="shared" si="0"/>
        <v>0</v>
      </c>
      <c r="G15">
        <f>IF(IF('Compétences raciales + carrière'!B29=1,Compétences!H14,0)=0,5,0)</f>
        <v>5</v>
      </c>
      <c r="H15">
        <f>IF(AND('Nom du personnage'!$F$51=Données!$C$14,'Bonus Humain'!G15=0,OR('Bonus Humain'!F15=1,'Bonus Humain'!F15=2,2&gt;'Bonus Humain'!$F$45)),1,0)</f>
        <v>0</v>
      </c>
    </row>
    <row r="16" spans="3:10">
      <c r="D16" s="2" t="s">
        <v>971</v>
      </c>
      <c r="E16" t="b" cm="1">
        <f t="array" ref="E16">AND(OR(D16='Nom du personnage'!$C$65:$L$85,D16='Nom du personnage'!$Q$65:$Z$84)=TRUE,D16&lt;&gt;0)</f>
        <v>0</v>
      </c>
      <c r="F16">
        <f t="shared" si="0"/>
        <v>0</v>
      </c>
      <c r="G16">
        <f>IF(Concoction!J20=0,5,0)</f>
        <v>5</v>
      </c>
      <c r="H16">
        <f>IF(AND('Nom du personnage'!$F$51=Données!$C$14,'Bonus Humain'!G16=0,OR('Bonus Humain'!F16=1,'Bonus Humain'!F16=2,2&gt;'Bonus Humain'!$F$45)),1,0)</f>
        <v>0</v>
      </c>
    </row>
    <row r="17" spans="4:8">
      <c r="D17" s="2" t="s">
        <v>972</v>
      </c>
      <c r="E17" t="b" cm="1">
        <f t="array" ref="E17">AND(OR(D17='Nom du personnage'!$C$65:$L$85,D17='Nom du personnage'!$Q$65:$Z$84)=TRUE,D17&lt;&gt;0)</f>
        <v>0</v>
      </c>
      <c r="F17">
        <f t="shared" si="0"/>
        <v>0</v>
      </c>
      <c r="G17">
        <f>IF(Concoction!J21=0,5,0)</f>
        <v>5</v>
      </c>
      <c r="H17">
        <f>IF(AND('Nom du personnage'!$F$51=Données!$C$14,'Bonus Humain'!G17=0,OR('Bonus Humain'!F17=1,'Bonus Humain'!F17=2,2&gt;'Bonus Humain'!$F$45)),1,0)</f>
        <v>0</v>
      </c>
    </row>
    <row r="18" spans="4:8">
      <c r="D18" s="2" t="s">
        <v>973</v>
      </c>
      <c r="E18" t="b" cm="1">
        <f t="array" ref="E18">AND(OR(D18='Nom du personnage'!$C$65:$L$85,D18='Nom du personnage'!$Q$65:$Z$84)=TRUE,D18&lt;&gt;0)</f>
        <v>0</v>
      </c>
      <c r="F18">
        <f t="shared" si="0"/>
        <v>0</v>
      </c>
      <c r="G18">
        <f>IF(Concoction!J22=0,5,0)</f>
        <v>5</v>
      </c>
      <c r="H18">
        <f>IF(AND('Nom du personnage'!$F$51=Données!$C$14,'Bonus Humain'!G18=0,OR('Bonus Humain'!F18=1,'Bonus Humain'!F18=2,2&gt;'Bonus Humain'!$F$45)),1,0)</f>
        <v>0</v>
      </c>
    </row>
    <row r="19" spans="4:8">
      <c r="D19" s="2" t="s">
        <v>974</v>
      </c>
      <c r="E19" t="b" cm="1">
        <f t="array" ref="E19">AND(OR(D19='Nom du personnage'!$C$65:$L$85,D19='Nom du personnage'!$Q$65:$Z$84)=TRUE,D19&lt;&gt;0)</f>
        <v>0</v>
      </c>
      <c r="F19">
        <f t="shared" si="0"/>
        <v>0</v>
      </c>
      <c r="G19">
        <v>0</v>
      </c>
      <c r="H19">
        <f>IF(AND('Nom du personnage'!$F$51=Données!$C$14,'Bonus Humain'!G19=0,OR('Bonus Humain'!F19=1,'Bonus Humain'!F19=2,2&gt;'Bonus Humain'!$F$45)),1,0)</f>
        <v>0</v>
      </c>
    </row>
    <row r="20" spans="4:8">
      <c r="D20" s="2" t="s">
        <v>975</v>
      </c>
      <c r="E20" t="b" cm="1">
        <f t="array" ref="E20">AND(OR(D20='Nom du personnage'!$C$65:$L$85,D20='Nom du personnage'!$Q$65:$Z$84)=TRUE,D20&lt;&gt;0)</f>
        <v>0</v>
      </c>
      <c r="F20">
        <f t="shared" si="0"/>
        <v>0</v>
      </c>
      <c r="G20">
        <v>0</v>
      </c>
      <c r="H20">
        <f>IF(AND('Nom du personnage'!$F$51=Données!$C$14,'Bonus Humain'!G20=0,OR('Bonus Humain'!F20=1,'Bonus Humain'!F20=2,2&gt;'Bonus Humain'!$F$45)),1,0)</f>
        <v>0</v>
      </c>
    </row>
    <row r="21" spans="4:8">
      <c r="D21" s="2" t="s">
        <v>976</v>
      </c>
      <c r="E21" t="b" cm="1">
        <f t="array" ref="E21">AND(OR(D21='Nom du personnage'!$C$65:$L$85,D21='Nom du personnage'!$Q$65:$Z$84)=TRUE,D21&lt;&gt;0)</f>
        <v>0</v>
      </c>
      <c r="F21">
        <f t="shared" si="0"/>
        <v>0</v>
      </c>
      <c r="G21">
        <v>0</v>
      </c>
      <c r="H21">
        <v>0</v>
      </c>
    </row>
    <row r="22" spans="4:8">
      <c r="D22" s="2" t="s">
        <v>977</v>
      </c>
      <c r="E22" t="b" cm="1">
        <f t="array" ref="E22">AND(OR(D22='Nom du personnage'!$C$65:$L$85,D22='Nom du personnage'!$Q$65:$Z$84)=TRUE,D22&lt;&gt;0)</f>
        <v>0</v>
      </c>
      <c r="F22">
        <f t="shared" si="0"/>
        <v>0</v>
      </c>
      <c r="G22" t="e">
        <f ca="1">IF(AND('Nom du personnage'!$S$60&gt;0,ISTEXT('Nom du personnage'!$F$54))=FALSE,5,0)</f>
        <v>#N/A</v>
      </c>
      <c r="H22" t="e">
        <f ca="1">IF(AND('Nom du personnage'!$F$51=Données!$C$14,'Bonus Humain'!G22=0,OR('Bonus Humain'!F22=1,'Bonus Humain'!F22=2,2&gt;'Bonus Humain'!$F$45)),1,0)</f>
        <v>#N/A</v>
      </c>
    </row>
    <row r="23" spans="4:8">
      <c r="D23" s="2" t="s">
        <v>978</v>
      </c>
      <c r="E23" t="b" cm="1">
        <f t="array" ref="E23">AND(OR(D23='Nom du personnage'!$C$65:$L$85,D23='Nom du personnage'!$Q$65:$Z$84)=TRUE,D23&lt;&gt;0)</f>
        <v>0</v>
      </c>
      <c r="F23">
        <f t="shared" si="0"/>
        <v>0</v>
      </c>
      <c r="G23">
        <f>IF(+'Lecture et écriture'!AS4=0,5,0)</f>
        <v>0</v>
      </c>
      <c r="H23">
        <f>IF(AND('Nom du personnage'!$F$51=Données!$C$14,'Bonus Humain'!G23=0,OR('Bonus Humain'!F23=1,'Bonus Humain'!F23=2,2&gt;'Bonus Humain'!$F$45)),1,0)</f>
        <v>0</v>
      </c>
    </row>
    <row r="24" spans="4:8">
      <c r="D24" s="2" t="s">
        <v>979</v>
      </c>
      <c r="E24" t="b" cm="1">
        <f t="array" ref="E24">AND(OR(D24='Nom du personnage'!$C$65:$L$85,D24='Nom du personnage'!$Q$65:$Z$84)=TRUE,D24&lt;&gt;0)</f>
        <v>0</v>
      </c>
      <c r="F24">
        <f t="shared" si="0"/>
        <v>0</v>
      </c>
      <c r="G24">
        <f>IF(+'Lecture et écriture'!AS5=0,5,0)</f>
        <v>0</v>
      </c>
      <c r="H24">
        <f>IF(AND('Nom du personnage'!$F$51=Données!$C$14,'Bonus Humain'!G24=0,OR('Bonus Humain'!F24=1,'Bonus Humain'!F24=2,2&gt;'Bonus Humain'!$F$45)),1,0)</f>
        <v>0</v>
      </c>
    </row>
    <row r="25" spans="4:8">
      <c r="D25" s="2" t="s">
        <v>980</v>
      </c>
      <c r="E25" t="b" cm="1">
        <f t="array" ref="E25">AND(OR(D25='Nom du personnage'!$C$65:$L$85,D25='Nom du personnage'!$Q$65:$Z$84)=TRUE,D25&lt;&gt;0)</f>
        <v>0</v>
      </c>
      <c r="F25">
        <f>+IF(E25=TRUE,1,0)</f>
        <v>0</v>
      </c>
      <c r="G25">
        <f>IF(+'Lecture et écriture'!AS6=0,5,0)</f>
        <v>0</v>
      </c>
      <c r="H25">
        <f>IF(AND('Nom du personnage'!$F$51=Données!$C$14,'Bonus Humain'!G25=0,OR('Bonus Humain'!F25=1,'Bonus Humain'!F25=2,2&gt;'Bonus Humain'!$F$45)),1,0)</f>
        <v>0</v>
      </c>
    </row>
    <row r="26" spans="4:8">
      <c r="D26" s="2" t="s">
        <v>981</v>
      </c>
      <c r="E26" t="b" cm="1">
        <f t="array" ref="E26">AND(OR(D26='Nom du personnage'!$C$65:$L$85,D26='Nom du personnage'!$Q$65:$Z$84)=TRUE,D26&lt;&gt;0)</f>
        <v>0</v>
      </c>
      <c r="F26">
        <f t="shared" si="0"/>
        <v>0</v>
      </c>
      <c r="G26">
        <f>IF(+'Lecture et écriture'!AS7=0,5,0)</f>
        <v>0</v>
      </c>
      <c r="H26">
        <f>IF(AND('Nom du personnage'!$F$51=Données!$C$14,'Bonus Humain'!G26=0,OR('Bonus Humain'!F26=1,'Bonus Humain'!F26=2,2&gt;'Bonus Humain'!$F$45)),1,0)</f>
        <v>0</v>
      </c>
    </row>
    <row r="27" spans="4:8">
      <c r="D27" s="2" t="s">
        <v>982</v>
      </c>
      <c r="E27" t="b" cm="1">
        <f t="array" ref="E27">AND(OR(D27='Nom du personnage'!$C$65:$L$85,D27='Nom du personnage'!$Q$65:$Z$84)=TRUE,D27&lt;&gt;0)</f>
        <v>0</v>
      </c>
      <c r="F27">
        <f t="shared" si="0"/>
        <v>0</v>
      </c>
      <c r="G27">
        <f>IF(+'Lecture et écriture'!AS8=0,5,0)</f>
        <v>0</v>
      </c>
      <c r="H27">
        <f>IF(AND('Nom du personnage'!$F$51=Données!$C$14,'Bonus Humain'!G27=0,OR('Bonus Humain'!F27=1,'Bonus Humain'!F27=2,2&gt;'Bonus Humain'!$F$45)),1,0)</f>
        <v>0</v>
      </c>
    </row>
    <row r="28" spans="4:8">
      <c r="D28" s="2" t="s">
        <v>983</v>
      </c>
      <c r="E28" t="b" cm="1">
        <f t="array" ref="E28">AND(OR(D28='Nom du personnage'!$C$65:$L$85,D28='Nom du personnage'!$Q$65:$Z$84)=TRUE,D28&lt;&gt;0)</f>
        <v>0</v>
      </c>
      <c r="F28">
        <f t="shared" si="0"/>
        <v>0</v>
      </c>
      <c r="G28">
        <f>IF(+'Lecture et écriture'!AS9=0,5,0)</f>
        <v>0</v>
      </c>
      <c r="H28">
        <f>IF(AND('Nom du personnage'!$F$51=Données!$C$14,'Bonus Humain'!G28=0,OR('Bonus Humain'!F28=1,'Bonus Humain'!F28=2,2&gt;'Bonus Humain'!$F$45)),1,0)</f>
        <v>0</v>
      </c>
    </row>
    <row r="29" spans="4:8">
      <c r="D29" s="2" t="s">
        <v>984</v>
      </c>
      <c r="E29" t="b" cm="1">
        <f t="array" ref="E29">AND(OR(D29='Nom du personnage'!$C$65:$L$85,D29='Nom du personnage'!$Q$65:$Z$84)=TRUE,D29&lt;&gt;0)</f>
        <v>0</v>
      </c>
      <c r="F29">
        <f t="shared" si="0"/>
        <v>0</v>
      </c>
      <c r="G29">
        <f>IF(+'Lecture et écriture'!AS10=0,5,0)</f>
        <v>0</v>
      </c>
      <c r="H29">
        <f>IF(AND('Nom du personnage'!$F$51=Données!$C$14,'Bonus Humain'!G29=0,OR('Bonus Humain'!F29=1,'Bonus Humain'!F29=2,2&gt;'Bonus Humain'!$F$45)),1,0)</f>
        <v>0</v>
      </c>
    </row>
    <row r="30" spans="4:8">
      <c r="D30" s="2" t="s">
        <v>985</v>
      </c>
      <c r="E30" t="b" cm="1">
        <f t="array" ref="E30">AND(OR(D30='Nom du personnage'!$C$65:$L$85,D30='Nom du personnage'!$Q$65:$Z$84)=TRUE,D30&lt;&gt;0)</f>
        <v>0</v>
      </c>
      <c r="F30">
        <f t="shared" si="0"/>
        <v>0</v>
      </c>
      <c r="G30">
        <f>IF(+'Lecture et écriture'!AS11=0,5,0)</f>
        <v>0</v>
      </c>
      <c r="H30">
        <f>IF(AND('Nom du personnage'!$F$51=Données!$C$14,'Bonus Humain'!G30=0,OR('Bonus Humain'!F30=1,'Bonus Humain'!F30=2,2&gt;'Bonus Humain'!$F$45)),1,0)</f>
        <v>0</v>
      </c>
    </row>
    <row r="31" spans="4:8">
      <c r="D31" s="2" t="s">
        <v>986</v>
      </c>
      <c r="E31" t="b" cm="1">
        <f t="array" ref="E31">AND(OR(D31='Nom du personnage'!$C$65:$L$85,D31='Nom du personnage'!$Q$65:$Z$84)=TRUE,D31&lt;&gt;0)</f>
        <v>0</v>
      </c>
      <c r="F31">
        <f t="shared" si="0"/>
        <v>0</v>
      </c>
      <c r="G31">
        <f>IF(+'Lecture et écriture'!AS12=0,5,0)</f>
        <v>0</v>
      </c>
      <c r="H31">
        <f>IF(AND('Nom du personnage'!$F$51=Données!$C$14,'Bonus Humain'!G31=0,OR('Bonus Humain'!F31=1,'Bonus Humain'!F31=2,2&gt;'Bonus Humain'!$F$45)),1,0)</f>
        <v>0</v>
      </c>
    </row>
    <row r="32" spans="4:8">
      <c r="D32" s="2" t="s">
        <v>987</v>
      </c>
      <c r="E32" t="b" cm="1">
        <f t="array" ref="E32">AND(OR(D32='Nom du personnage'!$C$65:$L$85,D32='Nom du personnage'!$Q$65:$Z$84)=TRUE,D32&lt;&gt;0)</f>
        <v>0</v>
      </c>
      <c r="F32">
        <f t="shared" si="0"/>
        <v>0</v>
      </c>
      <c r="G32">
        <f>IF(+'Lecture et écriture'!AS13=0,5,0)</f>
        <v>0</v>
      </c>
      <c r="H32">
        <f>IF(AND('Nom du personnage'!$F$51=Données!$C$14,'Bonus Humain'!G32=0,OR('Bonus Humain'!F32=1,'Bonus Humain'!F32=2,2&gt;'Bonus Humain'!$F$45)),1,0)</f>
        <v>0</v>
      </c>
    </row>
    <row r="33" spans="4:8">
      <c r="D33" s="2" t="s">
        <v>988</v>
      </c>
      <c r="E33" t="b" cm="1">
        <f t="array" ref="E33">AND(OR(D33='Nom du personnage'!$C$65:$L$85,D33='Nom du personnage'!$Q$65:$Z$84)=TRUE,D33&lt;&gt;0)</f>
        <v>0</v>
      </c>
      <c r="F33">
        <f t="shared" si="0"/>
        <v>0</v>
      </c>
      <c r="G33">
        <f>IF(+'Lecture et écriture'!AS14=0,5,0)</f>
        <v>0</v>
      </c>
      <c r="H33">
        <f>IF(AND('Nom du personnage'!$F$51=Données!$C$14,'Bonus Humain'!G33=0,OR('Bonus Humain'!F33=1,'Bonus Humain'!F33=2,2&gt;'Bonus Humain'!$F$45)),1,0)</f>
        <v>0</v>
      </c>
    </row>
    <row r="34" spans="4:8">
      <c r="D34" s="2" t="s">
        <v>989</v>
      </c>
      <c r="E34" t="b" cm="1">
        <f t="array" ref="E34">AND(OR(D34='Nom du personnage'!$C$65:$L$85,D34='Nom du personnage'!$Q$65:$Z$84)=TRUE,D34&lt;&gt;0)</f>
        <v>0</v>
      </c>
      <c r="F34">
        <f t="shared" si="0"/>
        <v>0</v>
      </c>
      <c r="G34">
        <f>IF(+'Lecture et écriture'!AS15=0,5,0)</f>
        <v>0</v>
      </c>
      <c r="H34">
        <f>IF(AND('Nom du personnage'!$F$51=Données!$C$14,'Bonus Humain'!G34=0,OR('Bonus Humain'!F34=1,'Bonus Humain'!F34=2,2&gt;'Bonus Humain'!$F$45)),1,0)</f>
        <v>0</v>
      </c>
    </row>
    <row r="35" spans="4:8">
      <c r="D35" s="2" t="s">
        <v>990</v>
      </c>
      <c r="E35" t="b" cm="1">
        <f t="array" ref="E35">AND(OR(D35='Nom du personnage'!$C$65:$L$85,D35='Nom du personnage'!$Q$65:$Z$84)=TRUE,D35&lt;&gt;0)</f>
        <v>0</v>
      </c>
      <c r="F35">
        <f t="shared" si="0"/>
        <v>0</v>
      </c>
      <c r="G35">
        <v>0</v>
      </c>
      <c r="H35">
        <f>IF(AND('Nom du personnage'!$F$51=Données!$C$14,'Bonus Humain'!G35=0,OR('Bonus Humain'!F35=1,'Bonus Humain'!F35=2,2&gt;'Bonus Humain'!$F$45)),1,0)</f>
        <v>0</v>
      </c>
    </row>
    <row r="36" spans="4:8">
      <c r="D36" s="2" t="s">
        <v>991</v>
      </c>
      <c r="E36" t="b" cm="1">
        <f t="array" ref="E36">AND(OR(D36='Nom du personnage'!$C$65:$L$85,D36='Nom du personnage'!$Q$65:$Z$84)=TRUE,D36&lt;&gt;0)</f>
        <v>0</v>
      </c>
      <c r="F36">
        <f t="shared" si="0"/>
        <v>0</v>
      </c>
      <c r="G36">
        <v>0</v>
      </c>
      <c r="H36">
        <f>IF(AND('Nom du personnage'!$F$51=Données!$C$14,'Bonus Humain'!G36=0,OR('Bonus Humain'!F36=1,'Bonus Humain'!F36=2,2&gt;'Bonus Humain'!$F$45)),1,0)</f>
        <v>0</v>
      </c>
    </row>
    <row r="37" spans="4:8">
      <c r="D37" s="2" t="s">
        <v>992</v>
      </c>
      <c r="E37" t="b" cm="1">
        <f t="array" ref="E37">AND(OR(D37='Nom du personnage'!$C$65:$L$85,D37='Nom du personnage'!$Q$65:$Z$84)=TRUE,D37&lt;&gt;0)</f>
        <v>0</v>
      </c>
      <c r="F37">
        <f t="shared" si="0"/>
        <v>0</v>
      </c>
      <c r="G37">
        <f>IF(OR('Nom du personnage'!E91=Magie!B123,'Nom du personnage'!E91=Magie!B124,'Nom du personnage'!E91=Magie!B125,'Nom du personnage'!S91=Magie!B123,'Nom du personnage'!S91=Magie!B124,'Nom du personnage'!S91=Magie!B125)=TRUE,0,5)</f>
        <v>5</v>
      </c>
      <c r="H37">
        <f>IF(AND('Nom du personnage'!$F$51=Données!$C$14,'Bonus Humain'!G37=0,OR('Bonus Humain'!F37=1,'Bonus Humain'!F37=2,2&gt;'Bonus Humain'!$F$45)),1,0)</f>
        <v>0</v>
      </c>
    </row>
    <row r="38" spans="4:8">
      <c r="D38" s="2" t="s">
        <v>993</v>
      </c>
      <c r="E38" t="b" cm="1">
        <f t="array" ref="E38">AND(OR(D38='Nom du personnage'!$C$65:$L$85,D38='Nom du personnage'!$Q$65:$Z$84)=TRUE,D38&lt;&gt;0)</f>
        <v>0</v>
      </c>
      <c r="F38">
        <f t="shared" si="0"/>
        <v>0</v>
      </c>
      <c r="G38">
        <f>IF('Compétences raciales + carrière'!B14=1,0,5)</f>
        <v>5</v>
      </c>
      <c r="H38">
        <f>IF(AND('Nom du personnage'!$F$51=Données!$C$14,'Bonus Humain'!G38=0,OR('Bonus Humain'!F38=1,'Bonus Humain'!F38=2,2&gt;'Bonus Humain'!$F$45)),1,0)</f>
        <v>0</v>
      </c>
    </row>
    <row r="39" spans="4:8">
      <c r="D39" s="2" t="s">
        <v>994</v>
      </c>
      <c r="E39" t="b" cm="1">
        <f t="array" ref="E39">AND(OR(D39='Nom du personnage'!$C$65:$L$85,D39='Nom du personnage'!$Q$65:$Z$84)=TRUE,D39&lt;&gt;0)</f>
        <v>0</v>
      </c>
      <c r="F39">
        <f t="shared" si="0"/>
        <v>0</v>
      </c>
      <c r="G39" t="str">
        <f>IF(Religion!F22=1,5,Compétences!H38)</f>
        <v>Religion</v>
      </c>
      <c r="H39">
        <f>IF(AND('Nom du personnage'!$F$51=Données!$C$14,'Bonus Humain'!G39=0,OR('Bonus Humain'!F39=1,'Bonus Humain'!F39=2,2&gt;'Bonus Humain'!$F$45)),1,0)</f>
        <v>0</v>
      </c>
    </row>
    <row r="40" spans="4:8">
      <c r="D40" s="2" t="s">
        <v>995</v>
      </c>
      <c r="E40" t="b" cm="1">
        <f t="array" ref="E40">AND(OR(D40='Nom du personnage'!$C$65:$L$85,D40='Nom du personnage'!$Q$65:$Z$84)=TRUE,D40&lt;&gt;0)</f>
        <v>0</v>
      </c>
      <c r="F40">
        <f t="shared" si="0"/>
        <v>0</v>
      </c>
      <c r="G40">
        <v>0</v>
      </c>
      <c r="H40">
        <f>IF(AND('Nom du personnage'!$F$51=Données!$C$14,'Bonus Humain'!G40=0,OR('Bonus Humain'!F40=1,'Bonus Humain'!F40=2,2&gt;'Bonus Humain'!$F$45)),1,0)</f>
        <v>0</v>
      </c>
    </row>
    <row r="41" spans="4:8">
      <c r="D41" s="2" t="s">
        <v>996</v>
      </c>
      <c r="E41" t="b" cm="1">
        <f t="array" ref="E41">AND(OR(D41='Nom du personnage'!$C$65:$L$85,D41='Nom du personnage'!$Q$65:$Z$84)=TRUE,D41&lt;&gt;0)</f>
        <v>0</v>
      </c>
      <c r="F41">
        <f>+IF(E41=TRUE,1,0)</f>
        <v>0</v>
      </c>
      <c r="G41">
        <v>0</v>
      </c>
      <c r="H41">
        <f>IF(AND('Nom du personnage'!$F$51=Données!$C$14,'Bonus Humain'!G41=0,OR('Bonus Humain'!F41=1,'Bonus Humain'!F41=2,2&gt;'Bonus Humain'!$F$45)),1,0)</f>
        <v>0</v>
      </c>
    </row>
    <row r="42" spans="4:8">
      <c r="D42" s="2" t="s">
        <v>997</v>
      </c>
      <c r="E42" t="b" cm="1">
        <f t="array" ref="E42">AND(OR(D42='Nom du personnage'!$C$65:$L$85,D42='Nom du personnage'!$Q$65:$Z$84)=TRUE,D42&lt;&gt;0)</f>
        <v>0</v>
      </c>
      <c r="F42">
        <f t="shared" si="0"/>
        <v>0</v>
      </c>
      <c r="G42">
        <f>IF(AND(Religion!D29=TRUE,'Lecture et écriture'!G99=TRUE),0,5)</f>
        <v>5</v>
      </c>
      <c r="H42">
        <f>IF(AND('Nom du personnage'!$F$51=Données!$C$14,'Bonus Humain'!G42=0,OR('Bonus Humain'!F42=1,'Bonus Humain'!F42=2,2&gt;'Bonus Humain'!$F$45)),1,0)</f>
        <v>0</v>
      </c>
    </row>
    <row r="43" spans="4:8">
      <c r="D43" s="2" t="s">
        <v>998</v>
      </c>
      <c r="E43" t="b" cm="1">
        <f t="array" ref="E43">AND(OR(D43='Nom du personnage'!$C$65:$L$85,D43='Nom du personnage'!$Q$65:$Z$84)=TRUE,D43&lt;&gt;0)</f>
        <v>0</v>
      </c>
      <c r="F43">
        <f t="shared" si="0"/>
        <v>0</v>
      </c>
      <c r="G43">
        <f>IF(OR(AND(Religion!D29=TRUE,'Nom du personnage'!F60=Données!N5)=TRUE,OR('Nom du personnage'!F51=Données!C18,'Nom du personnage'!F51=Données!C19,'Nom du personnage'!F51=Données!C32,'Nom du personnage'!F51=Données!C7)=TRUE),0,5)</f>
        <v>5</v>
      </c>
      <c r="H43">
        <f>IF(AND('Nom du personnage'!$F$51=Données!$C$14,'Bonus Humain'!G43=0,OR('Bonus Humain'!F43=1,'Bonus Humain'!F43=2,2&gt;'Bonus Humain'!$F$45)),1,0)</f>
        <v>0</v>
      </c>
    </row>
    <row r="44" spans="4:8">
      <c r="D44" s="2" t="s">
        <v>999</v>
      </c>
      <c r="E44" t="b" cm="1">
        <f t="array" ref="E44">AND(OR(D44='Nom du personnage'!$C$65:$L$85,D44='Nom du personnage'!$Q$65:$Z$84)=TRUE,D44&lt;&gt;0)</f>
        <v>0</v>
      </c>
      <c r="F44">
        <f t="shared" si="0"/>
        <v>0</v>
      </c>
      <c r="G44">
        <f>IF(AND(Religion!D29=TRUE,'Nom du personnage'!F60=Données!N3),0,5)</f>
        <v>5</v>
      </c>
      <c r="H44">
        <f>IF(AND('Nom du personnage'!$F$51=Données!$C$14,'Bonus Humain'!G44=0,OR('Bonus Humain'!F44=1,'Bonus Humain'!F44=2,2&gt;'Bonus Humain'!$F$45)),1,0)</f>
        <v>0</v>
      </c>
    </row>
    <row r="45" spans="4:8">
      <c r="F45">
        <f>+SUM(F4:F44)</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8ED5-0A78-41DC-848A-45676ED909BC}">
  <dimension ref="A1:G19"/>
  <sheetViews>
    <sheetView topLeftCell="B1" workbookViewId="0">
      <selection activeCell="K8" sqref="K8"/>
    </sheetView>
  </sheetViews>
  <sheetFormatPr baseColWidth="10" defaultRowHeight="15"/>
  <cols>
    <col min="1" max="1" width="42.36328125" bestFit="1" customWidth="1"/>
    <col min="5" max="5" width="29.453125" bestFit="1" customWidth="1"/>
    <col min="6" max="6" width="22.7265625" bestFit="1" customWidth="1"/>
    <col min="7" max="7" width="42.36328125" bestFit="1" customWidth="1"/>
  </cols>
  <sheetData>
    <row r="1" spans="1:7">
      <c r="A1">
        <f>'Nom du personnage'!U51</f>
        <v>0</v>
      </c>
    </row>
    <row r="2" spans="1:7">
      <c r="E2" s="2" t="s">
        <v>43</v>
      </c>
      <c r="F2" s="10" t="s">
        <v>957</v>
      </c>
      <c r="G2" s="2" t="s">
        <v>273</v>
      </c>
    </row>
    <row r="3" spans="1:7">
      <c r="A3" s="2" t="s">
        <v>247</v>
      </c>
      <c r="B3" s="2">
        <v>5</v>
      </c>
      <c r="C3" t="b" cm="1">
        <f t="array" ref="C3">OR('Nom du personnage'!$C$65:$L$85='Contact marchand'!A3,'Nom du personnage'!$Q$65:$Z$85='Contact marchand'!A3)</f>
        <v>0</v>
      </c>
      <c r="D3">
        <f>IF(C3=TRUE,1,0)</f>
        <v>0</v>
      </c>
      <c r="E3">
        <f>IF(AND($A$1=$E$2,SUMIF($D$3:$D$9,1,$D$3:$D$9)&lt;3),A3,IF(AND($A$1=$E$2,D3=1),A3,0))</f>
        <v>0</v>
      </c>
      <c r="F3" t="str">
        <f t="shared" ref="F3:F9" si="0">IF(AND($A$1&lt;&gt;$E$2,SUMIF($D$3:$D$9,1,$D$3:$D$9)=0),A3,IF(AND($A$1&lt;&gt;$E$2,D3=1),A3,0))</f>
        <v>Contact Marchand - Mineur</v>
      </c>
      <c r="G3" t="str">
        <f>IF(AND($A$1&lt;&gt;$E$2,SUMIF($D$10:$D$16,1,$D$10:$D$16)=0),A13,IF(AND($A$1&lt;&gt;$E$2,D13=1),A13,0))</f>
        <v>Touche à tout - Contact Marchand - Brasseur</v>
      </c>
    </row>
    <row r="4" spans="1:7">
      <c r="A4" s="2" t="s">
        <v>248</v>
      </c>
      <c r="B4" s="2">
        <v>5</v>
      </c>
      <c r="C4" t="b" cm="1">
        <f t="array" ref="C4">OR('Nom du personnage'!$C$65:$L$85='Contact marchand'!A4,'Nom du personnage'!$Q$65:$Z$85='Contact marchand'!A4)</f>
        <v>0</v>
      </c>
      <c r="D4">
        <f t="shared" ref="D4:D19" si="1">IF(C4=TRUE,1,0)</f>
        <v>0</v>
      </c>
      <c r="E4">
        <f t="shared" ref="E4:E9" si="2">IF(AND($A$1=$E$2,SUMIF($D$3:$D$9,1,$D$3:$D$9)&lt;3),A4,IF(AND($A$1=$E$2,D4=1),A4,0))</f>
        <v>0</v>
      </c>
      <c r="F4" t="str">
        <f t="shared" si="0"/>
        <v>Contact Marchand - Druide</v>
      </c>
      <c r="G4" t="str">
        <f>IF(AND($A$1&lt;&gt;$E$2,SUMIF($D$10:$D$16,1,$D$10:$D$16)=0),A14,IF(AND($A$1&lt;&gt;$E$2,D14=1),A14,0))</f>
        <v>Touche à tout - Contact Marchand - Commanditaire</v>
      </c>
    </row>
    <row r="5" spans="1:7">
      <c r="A5" s="2" t="s">
        <v>249</v>
      </c>
      <c r="B5" s="2">
        <v>5</v>
      </c>
      <c r="C5" t="b" cm="1">
        <f t="array" ref="C5">OR('Nom du personnage'!$C$65:$L$85='Contact marchand'!A5,'Nom du personnage'!$Q$65:$Z$85='Contact marchand'!A5)</f>
        <v>0</v>
      </c>
      <c r="D5">
        <f t="shared" si="1"/>
        <v>0</v>
      </c>
      <c r="E5">
        <f t="shared" si="2"/>
        <v>0</v>
      </c>
      <c r="F5" t="str">
        <f t="shared" si="0"/>
        <v>Contact Marchand - Brasseur</v>
      </c>
      <c r="G5" t="str">
        <f>IF(AND($A$1&lt;&gt;$E$2,SUMIF($D$10:$D$16,1,$D$10:$D$16)=0),A15,IF(AND($A$1&lt;&gt;$E$2,D15=1),A15,0))</f>
        <v>Touche à tout - Contact Marchand - Druide</v>
      </c>
    </row>
    <row r="6" spans="1:7">
      <c r="A6" s="2" t="s">
        <v>250</v>
      </c>
      <c r="B6" s="2">
        <v>5</v>
      </c>
      <c r="C6" t="b" cm="1">
        <f t="array" ref="C6">OR('Nom du personnage'!$C$65:$L$85='Contact marchand'!A6,'Nom du personnage'!$Q$65:$Z$85='Contact marchand'!A6)</f>
        <v>0</v>
      </c>
      <c r="D6">
        <f t="shared" si="1"/>
        <v>0</v>
      </c>
      <c r="E6">
        <f t="shared" si="2"/>
        <v>0</v>
      </c>
      <c r="F6" t="str">
        <f t="shared" si="0"/>
        <v>Contact Marchand - Forgeron</v>
      </c>
      <c r="G6" t="str">
        <f>IF(AND($A$1&lt;&gt;$E$2,SUMIF($D$10:$D$16,1,$D$10:$D$16)=0),A16,IF(AND($A$1&lt;&gt;$E$2,D16=1),A16,0))</f>
        <v>Touche à tout - Contact Marchand - Forgeron</v>
      </c>
    </row>
    <row r="7" spans="1:7">
      <c r="A7" s="2" t="s">
        <v>251</v>
      </c>
      <c r="B7" s="2">
        <v>6</v>
      </c>
      <c r="C7" t="b" cm="1">
        <f t="array" ref="C7">OR('Nom du personnage'!$C$65:$L$85='Contact marchand'!A7,'Nom du personnage'!$Q$65:$Z$85='Contact marchand'!A7)</f>
        <v>0</v>
      </c>
      <c r="D7">
        <f t="shared" si="1"/>
        <v>0</v>
      </c>
      <c r="E7">
        <f t="shared" si="2"/>
        <v>0</v>
      </c>
      <c r="F7" t="str">
        <f t="shared" si="0"/>
        <v>Contact Marchand - Scribe</v>
      </c>
      <c r="G7" t="str">
        <f>IF(AND($A$1&lt;&gt;$E$2,SUMIF($D$10:$D$16,1,$D$10:$D$16)=0),A10,IF(AND($A$1&lt;&gt;$E$2,D10=1),A10,0))</f>
        <v>Touche à tout - Contact Marchand - Mineur</v>
      </c>
    </row>
    <row r="8" spans="1:7">
      <c r="A8" s="2" t="s">
        <v>252</v>
      </c>
      <c r="B8" s="2">
        <v>10</v>
      </c>
      <c r="C8" t="b" cm="1">
        <f t="array" ref="C8">OR('Nom du personnage'!$C$65:$L$85='Contact marchand'!A8,'Nom du personnage'!$Q$65:$Z$85='Contact marchand'!A8)</f>
        <v>0</v>
      </c>
      <c r="D8">
        <f t="shared" si="1"/>
        <v>0</v>
      </c>
      <c r="E8">
        <f t="shared" si="2"/>
        <v>0</v>
      </c>
      <c r="F8" t="str">
        <f t="shared" si="0"/>
        <v>Contact Marchand - Sorcier</v>
      </c>
      <c r="G8" t="str">
        <f>IF(AND($A$1&lt;&gt;$E$2,SUMIF($D$10:$D$16,1,$D$10:$D$16)=0),A11,IF(AND($A$1&lt;&gt;$E$2,D11=1),A11,0))</f>
        <v>Touche à tout - Contact Marchand - Scribe</v>
      </c>
    </row>
    <row r="9" spans="1:7">
      <c r="A9" s="2" t="s">
        <v>253</v>
      </c>
      <c r="B9" s="2">
        <v>10</v>
      </c>
      <c r="C9" t="b" cm="1">
        <f t="array" ref="C9">OR('Nom du personnage'!$C$65:$L$85='Contact marchand'!A9,'Nom du personnage'!$Q$65:$Z$85='Contact marchand'!A9)</f>
        <v>0</v>
      </c>
      <c r="D9">
        <f t="shared" si="1"/>
        <v>0</v>
      </c>
      <c r="E9">
        <f t="shared" si="2"/>
        <v>0</v>
      </c>
      <c r="F9" t="str">
        <f t="shared" si="0"/>
        <v>Contact Marchand - Commanditaire</v>
      </c>
      <c r="G9" t="str">
        <f>IF(AND($A$1&lt;&gt;$E$2,SUMIF($D$10:$D$16,1,$D$10:$D$16)=0),A12,IF(AND($A$1&lt;&gt;$E$2,D12=1),A12,0))</f>
        <v>Touche à tout - Contact Marchand - Sorcier</v>
      </c>
    </row>
    <row r="10" spans="1:7">
      <c r="A10" t="s">
        <v>589</v>
      </c>
      <c r="B10">
        <v>11</v>
      </c>
      <c r="C10" t="b" cm="1">
        <f t="array" ref="C10">OR('Nom du personnage'!$C$65:$L$85='Contact marchand'!A10,'Nom du personnage'!$Q$65:$Z$85='Contact marchand'!A10)</f>
        <v>0</v>
      </c>
      <c r="D10">
        <f t="shared" si="1"/>
        <v>0</v>
      </c>
    </row>
    <row r="11" spans="1:7">
      <c r="A11" t="s">
        <v>593</v>
      </c>
      <c r="B11">
        <v>12</v>
      </c>
      <c r="C11" t="b" cm="1">
        <f t="array" ref="C11">OR('Nom du personnage'!$C$65:$L$85='Contact marchand'!A11,'Nom du personnage'!$Q$65:$Z$85='Contact marchand'!A11)</f>
        <v>0</v>
      </c>
      <c r="D11">
        <f t="shared" si="1"/>
        <v>0</v>
      </c>
    </row>
    <row r="12" spans="1:7">
      <c r="A12" t="s">
        <v>594</v>
      </c>
      <c r="B12">
        <v>16</v>
      </c>
      <c r="C12" t="b" cm="1">
        <f t="array" ref="C12">OR('Nom du personnage'!$C$65:$L$85='Contact marchand'!A12,'Nom du personnage'!$Q$65:$Z$85='Contact marchand'!A12)</f>
        <v>0</v>
      </c>
      <c r="D12">
        <f t="shared" si="1"/>
        <v>0</v>
      </c>
    </row>
    <row r="13" spans="1:7">
      <c r="A13" t="s">
        <v>591</v>
      </c>
      <c r="B13">
        <v>11</v>
      </c>
      <c r="C13" t="b" cm="1">
        <f t="array" ref="C13">OR('Nom du personnage'!$C$65:$L$85='Contact marchand'!A13,'Nom du personnage'!$Q$65:$Z$85='Contact marchand'!A13)</f>
        <v>0</v>
      </c>
      <c r="D13">
        <f t="shared" si="1"/>
        <v>0</v>
      </c>
    </row>
    <row r="14" spans="1:7">
      <c r="A14" t="s">
        <v>595</v>
      </c>
      <c r="B14">
        <v>16</v>
      </c>
      <c r="C14" t="b" cm="1">
        <f t="array" ref="C14">OR('Nom du personnage'!$C$65:$L$85='Contact marchand'!A14,'Nom du personnage'!$Q$65:$Z$85='Contact marchand'!A14)</f>
        <v>0</v>
      </c>
      <c r="D14">
        <f t="shared" si="1"/>
        <v>0</v>
      </c>
    </row>
    <row r="15" spans="1:7">
      <c r="A15" t="s">
        <v>590</v>
      </c>
      <c r="B15">
        <v>11</v>
      </c>
      <c r="C15" t="b" cm="1">
        <f t="array" ref="C15">OR('Nom du personnage'!$C$65:$L$85='Contact marchand'!A15,'Nom du personnage'!$Q$65:$Z$85='Contact marchand'!A15)</f>
        <v>0</v>
      </c>
      <c r="D15">
        <f t="shared" si="1"/>
        <v>0</v>
      </c>
    </row>
    <row r="16" spans="1:7">
      <c r="A16" t="s">
        <v>592</v>
      </c>
      <c r="B16">
        <v>11</v>
      </c>
      <c r="C16" t="b" cm="1">
        <f t="array" ref="C16">OR('Nom du personnage'!$C$65:$L$85='Contact marchand'!A16,'Nom du personnage'!$Q$65:$Z$85='Contact marchand'!A16)</f>
        <v>0</v>
      </c>
      <c r="D16">
        <f t="shared" si="1"/>
        <v>0</v>
      </c>
    </row>
    <row r="17" spans="1:4">
      <c r="A17" t="s">
        <v>589</v>
      </c>
      <c r="B17">
        <v>11</v>
      </c>
      <c r="C17" t="b" cm="1">
        <f t="array" ref="C17">OR('Nom du personnage'!$C$65:$L$85='Contact marchand'!A17,'Nom du personnage'!$Q$65:$Z$85='Contact marchand'!A17)</f>
        <v>0</v>
      </c>
      <c r="D17">
        <f t="shared" si="1"/>
        <v>0</v>
      </c>
    </row>
    <row r="18" spans="1:4">
      <c r="A18" t="s">
        <v>593</v>
      </c>
      <c r="B18">
        <v>12</v>
      </c>
      <c r="C18" t="b" cm="1">
        <f t="array" ref="C18">OR('Nom du personnage'!$C$65:$L$85='Contact marchand'!A18,'Nom du personnage'!$Q$65:$Z$85='Contact marchand'!A18)</f>
        <v>0</v>
      </c>
      <c r="D18">
        <f t="shared" si="1"/>
        <v>0</v>
      </c>
    </row>
    <row r="19" spans="1:4">
      <c r="A19" t="s">
        <v>594</v>
      </c>
      <c r="B19">
        <v>16</v>
      </c>
      <c r="C19" t="b" cm="1">
        <f t="array" ref="C19">OR('Nom du personnage'!$C$65:$L$85='Contact marchand'!A19,'Nom du personnage'!$Q$65:$Z$85='Contact marchand'!A19)</f>
        <v>0</v>
      </c>
      <c r="D19">
        <f t="shared" si="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0289-5069-470B-A6FC-D0372BFD28BA}">
  <dimension ref="A1:AT99"/>
  <sheetViews>
    <sheetView topLeftCell="A91" workbookViewId="0">
      <selection activeCell="K8" sqref="K8"/>
    </sheetView>
  </sheetViews>
  <sheetFormatPr baseColWidth="10" defaultRowHeight="15"/>
  <cols>
    <col min="1" max="1" width="18.36328125" bestFit="1" customWidth="1"/>
    <col min="2" max="2" width="3.54296875" customWidth="1"/>
    <col min="3" max="3" width="27.36328125" bestFit="1" customWidth="1"/>
    <col min="4" max="4" width="3.54296875" customWidth="1"/>
    <col min="6" max="6" width="42.54296875" bestFit="1" customWidth="1"/>
    <col min="7" max="7" width="8" customWidth="1"/>
    <col min="8" max="8" width="4.26953125" bestFit="1" customWidth="1"/>
    <col min="10" max="10" width="3.453125" customWidth="1"/>
    <col min="13" max="13" width="27.36328125" bestFit="1" customWidth="1"/>
    <col min="14" max="14" width="8.54296875" customWidth="1"/>
    <col min="15" max="15" width="11.81640625" customWidth="1"/>
    <col min="16" max="16" width="4.08984375" bestFit="1" customWidth="1"/>
    <col min="17" max="17" width="6.26953125" customWidth="1"/>
    <col min="18" max="18" width="5.7265625" bestFit="1" customWidth="1"/>
    <col min="19" max="19" width="11.54296875" customWidth="1"/>
    <col min="20" max="20" width="12.81640625" customWidth="1"/>
    <col min="21" max="21" width="5.453125" customWidth="1"/>
    <col min="22" max="22" width="5" customWidth="1"/>
    <col min="23" max="23" width="10.54296875" customWidth="1"/>
    <col min="24" max="24" width="12.453125" customWidth="1"/>
    <col min="25" max="25" width="4.26953125" customWidth="1"/>
    <col min="26" max="26" width="6.7265625" customWidth="1"/>
    <col min="27" max="27" width="10.08984375" customWidth="1"/>
    <col min="28" max="28" width="37.54296875" bestFit="1" customWidth="1"/>
    <col min="29" max="30" width="5.7265625" customWidth="1"/>
    <col min="31" max="31" width="9.90625" customWidth="1"/>
    <col min="32" max="32" width="46" customWidth="1"/>
    <col min="33" max="33" width="5.90625" customWidth="1"/>
    <col min="35" max="35" width="9.26953125" customWidth="1"/>
    <col min="36" max="36" width="40.90625" customWidth="1"/>
    <col min="37" max="37" width="5.1796875" customWidth="1"/>
    <col min="38" max="38" width="5.81640625" customWidth="1"/>
    <col min="39" max="39" width="9.453125" customWidth="1"/>
    <col min="40" max="40" width="13.6328125" customWidth="1"/>
    <col min="41" max="41" width="5.54296875" customWidth="1"/>
    <col min="45" max="45" width="39.36328125" bestFit="1" customWidth="1"/>
  </cols>
  <sheetData>
    <row r="1" spans="1:46">
      <c r="A1" t="s">
        <v>141</v>
      </c>
      <c r="C1" s="2" t="s">
        <v>742</v>
      </c>
    </row>
    <row r="2" spans="1:46">
      <c r="A2" t="s">
        <v>142</v>
      </c>
      <c r="C2" s="2" t="s">
        <v>743</v>
      </c>
      <c r="E2" s="4" t="s">
        <v>39</v>
      </c>
      <c r="F2" s="2" t="s">
        <v>783</v>
      </c>
      <c r="G2" s="2" t="b" cm="1">
        <f t="array" ref="G2">OR('Nom du personnage'!$C$65:$L$85='Lecture et écriture'!F2,'Nom du personnage'!$Q$65:$Z$85=F2)</f>
        <v>0</v>
      </c>
      <c r="H2" s="7" t="s">
        <v>868</v>
      </c>
      <c r="I2" s="4" t="s">
        <v>39</v>
      </c>
      <c r="N2" s="182" t="str">
        <f>A15</f>
        <v>Orque</v>
      </c>
      <c r="O2" s="182"/>
      <c r="P2" s="182"/>
      <c r="Q2" s="182"/>
      <c r="R2" t="s">
        <v>42</v>
      </c>
      <c r="S2" s="182" t="str">
        <f>A6</f>
        <v>Elfe Sauvage</v>
      </c>
      <c r="T2" s="182"/>
      <c r="U2" s="182"/>
      <c r="V2" s="182"/>
      <c r="W2" s="180" t="str">
        <f>A18</f>
        <v>Norde</v>
      </c>
      <c r="X2" s="180"/>
      <c r="Y2" s="180"/>
      <c r="Z2" s="180"/>
      <c r="AA2" s="183" t="s">
        <v>147</v>
      </c>
      <c r="AB2" s="183"/>
      <c r="AC2" s="183"/>
      <c r="AD2" s="183"/>
      <c r="AE2" s="181" t="s">
        <v>142</v>
      </c>
      <c r="AF2" s="181"/>
      <c r="AG2" s="181"/>
      <c r="AH2" s="181"/>
      <c r="AI2" s="183" t="s">
        <v>141</v>
      </c>
      <c r="AJ2" s="183"/>
      <c r="AK2" s="183"/>
      <c r="AL2" s="183"/>
      <c r="AM2" s="180">
        <f>IF(AND('Nom du personnage'!F51&lt;&gt;'Lecture et écriture'!N2,'Nom du personnage'!F51&lt;&gt;'Lecture et écriture'!R2,'Nom du personnage'!F51&lt;&gt;'Lecture et écriture'!S2,'Nom du personnage'!F51&lt;&gt;'Lecture et écriture'!W2,'Nom du personnage'!F51&lt;&gt;'Lecture et écriture'!AA2,'Nom du personnage'!F51&lt;&gt;'Lecture et écriture'!AE2,'Nom du personnage'!F51&lt;&gt;'Lecture et écriture'!AI2),'Nom du personnage'!F51,FALSE)</f>
        <v>0</v>
      </c>
      <c r="AN2" s="180"/>
      <c r="AO2" s="180"/>
      <c r="AP2" s="180"/>
      <c r="AR2" s="181" t="s">
        <v>937</v>
      </c>
      <c r="AS2" s="181"/>
      <c r="AT2" s="181"/>
    </row>
    <row r="3" spans="1:46">
      <c r="A3" t="s">
        <v>143</v>
      </c>
      <c r="C3" s="2" t="s">
        <v>744</v>
      </c>
      <c r="E3" s="4" t="s">
        <v>63</v>
      </c>
      <c r="F3" t="s">
        <v>795</v>
      </c>
      <c r="G3" s="2" t="b" cm="1">
        <f t="array" ref="G3">OR('Nom du personnage'!$C$65:$L$85='Lecture et écriture'!F3,'Nom du personnage'!$Q$65:$Z$85=F3)</f>
        <v>0</v>
      </c>
      <c r="H3" t="s">
        <v>880</v>
      </c>
      <c r="I3" s="4" t="s">
        <v>63</v>
      </c>
      <c r="N3" s="12" t="s">
        <v>936</v>
      </c>
      <c r="O3" s="12" t="s">
        <v>27</v>
      </c>
      <c r="P3" s="12" t="s">
        <v>6</v>
      </c>
      <c r="Q3" s="9"/>
      <c r="S3" s="12" t="s">
        <v>936</v>
      </c>
      <c r="T3" s="12" t="s">
        <v>27</v>
      </c>
      <c r="U3" s="12" t="s">
        <v>6</v>
      </c>
      <c r="V3" s="9"/>
      <c r="W3" s="2" t="s">
        <v>936</v>
      </c>
      <c r="X3" s="2" t="s">
        <v>27</v>
      </c>
      <c r="Y3" s="2" t="s">
        <v>6</v>
      </c>
      <c r="AA3" s="12" t="s">
        <v>936</v>
      </c>
      <c r="AB3" s="12" t="s">
        <v>27</v>
      </c>
      <c r="AC3" s="12" t="s">
        <v>6</v>
      </c>
      <c r="AD3" s="9"/>
      <c r="AE3" t="s">
        <v>936</v>
      </c>
      <c r="AF3" t="s">
        <v>27</v>
      </c>
      <c r="AG3" t="s">
        <v>6</v>
      </c>
      <c r="AI3" s="9" t="s">
        <v>936</v>
      </c>
      <c r="AJ3" s="9" t="s">
        <v>27</v>
      </c>
      <c r="AK3" s="9" t="s">
        <v>6</v>
      </c>
      <c r="AL3" s="9"/>
      <c r="AM3" t="s">
        <v>936</v>
      </c>
      <c r="AN3" t="s">
        <v>27</v>
      </c>
      <c r="AO3" t="s">
        <v>6</v>
      </c>
      <c r="AR3" s="2" t="s">
        <v>936</v>
      </c>
      <c r="AS3" s="2" t="s">
        <v>451</v>
      </c>
      <c r="AT3" s="2" t="s">
        <v>6</v>
      </c>
    </row>
    <row r="4" spans="1:46">
      <c r="A4" t="s">
        <v>145</v>
      </c>
      <c r="C4" s="2" t="s">
        <v>745</v>
      </c>
      <c r="E4" s="4" t="s">
        <v>73</v>
      </c>
      <c r="F4" t="s">
        <v>807</v>
      </c>
      <c r="G4" s="2" t="b" cm="1">
        <f t="array" ref="G4">OR('Nom du personnage'!$C$65:$L$85='Lecture et écriture'!F4,'Nom du personnage'!$Q$65:$Z$85=F4)</f>
        <v>0</v>
      </c>
      <c r="H4" s="7" t="s">
        <v>892</v>
      </c>
      <c r="I4" s="4" t="s">
        <v>73</v>
      </c>
      <c r="M4" s="2" t="s">
        <v>742</v>
      </c>
      <c r="N4" s="9" t="b">
        <f>IF(OR('Nom du personnage'!U51=E2,'Nom du personnage'!U51=E3,'Nom du personnage'!U51=E4,'Nom du personnage'!U51=E5,'Nom du personnage'!U51=E6),VLOOKUP('Nom du personnage'!U51,'Lecture et écriture'!E2:I6,2,FALSE),FALSE)</f>
        <v>0</v>
      </c>
      <c r="O4" s="9" t="str">
        <f>IF(N4=FALSE,$M4,IF(Q4&gt;=0,N4,$M4))</f>
        <v>Lecture et écriture - Commun</v>
      </c>
      <c r="P4" s="9">
        <f>IF(N4=O4,0,2)</f>
        <v>2</v>
      </c>
      <c r="Q4" s="9" cm="1">
        <f t="array" ref="Q4">MIN(IF(OR('Nom du personnage'!$C$65:$L$85=N4,'Nom du personnage'!$Q$65:$Z$85=N4)=TRUE,1,IF(SUMIF($Q$4:$Q$15,1,$Q$4:$Q$15)=1,-1,0)))</f>
        <v>1</v>
      </c>
      <c r="R4" s="2" t="s">
        <v>935</v>
      </c>
      <c r="S4" s="12" t="s">
        <v>935</v>
      </c>
      <c r="T4" s="12"/>
      <c r="U4" s="12"/>
      <c r="V4" s="9"/>
      <c r="W4" s="2" t="s">
        <v>935</v>
      </c>
      <c r="X4" s="2"/>
      <c r="Y4" s="2"/>
      <c r="AA4" s="9" t="b">
        <f>IF(OR('Nom du personnage'!$U$51=E2,'Nom du personnage'!$U$51=E3,'Nom du personnage'!$U$51=E4,'Nom du personnage'!$U$51=E5,'Nom du personnage'!$U$51=E6),VLOOKUP('Nom du personnage'!$U$51,'Lecture et écriture'!E2:I6,2,FALSE),FALSE)</f>
        <v>0</v>
      </c>
      <c r="AB4" s="9" t="str">
        <f>IF(AA4=FALSE,$M4,IF(AD4&gt;=0,AA4,$M4))</f>
        <v>Lecture et écriture - Commun</v>
      </c>
      <c r="AC4" s="9">
        <f>IF(AA4=AB4,0,2)</f>
        <v>2</v>
      </c>
      <c r="AD4" s="9" cm="1">
        <f t="array" ref="AD4">MIN(IF(OR('Nom du personnage'!$C$65:$L$85=AA4,'Nom du personnage'!$Q$65:$Z$85=AA4)=TRUE,1,IF(SUMIF($AD$4:$AD$15,1,$AD$4:$AD$15)=1,-1,0)))</f>
        <v>1</v>
      </c>
      <c r="AE4" t="b">
        <f>IF(OR('Nom du personnage'!$U$51=E2,'Nom du personnage'!$U$51=E3,'Nom du personnage'!$U$51=E4,'Nom du personnage'!$U$51=E5,'Nom du personnage'!$U$51=E6),VLOOKUP('Nom du personnage'!$U$51,'Lecture et écriture'!E2:I6,2,FALSE),FALSE)</f>
        <v>0</v>
      </c>
      <c r="AF4" t="str">
        <f>IF(AE4=FALSE,$M4,IF(AH4&gt;=0,AE4,F8))</f>
        <v>Lecture et écriture - Commun</v>
      </c>
      <c r="AG4">
        <f>IF(AE4=AF4,0,1)</f>
        <v>1</v>
      </c>
      <c r="AH4" cm="1">
        <f t="array" ref="AH4">MIN(IF(OR('Nom du personnage'!$C$65:$L$85=AE4,'Nom du personnage'!$Q$65:$Z$85=AE4)=TRUE,1,IF(SUMIF($AH$4:$AH$15,1,$AH$4:$AH$15)=1,-1,0)))</f>
        <v>1</v>
      </c>
      <c r="AI4" s="9" t="b">
        <f>IF(OR('Nom du personnage'!$U$51=E2,'Nom du personnage'!$U$51=E3,'Nom du personnage'!$U$51=E4,'Nom du personnage'!$U$51=E5,'Nom du personnage'!$U$51=E6),VLOOKUP('Nom du personnage'!$U$51,'Lecture et écriture'!E2:I6,2,FALSE),FALSE)</f>
        <v>0</v>
      </c>
      <c r="AJ4" s="9" t="str">
        <f>IF(AI4=FALSE,$M4,IF(AL4&gt;=0,AI4,$F7))</f>
        <v>Lecture et écriture - Commun</v>
      </c>
      <c r="AK4" s="9">
        <f>IF(AI4=AJ4,0,1)</f>
        <v>1</v>
      </c>
      <c r="AL4" s="9" cm="1">
        <f t="array" ref="AL4">MIN(IF(OR('Nom du personnage'!$C$65:$L$85=AI4,'Nom du personnage'!$Q$65:$Z$85=AI4)=TRUE,1,IF(SUMIF($AL$4:$AL$15,1,$AL$4:$AL$15)=1,-1,0)))</f>
        <v>1</v>
      </c>
      <c r="AM4" t="b">
        <f>IF(OR('Nom du personnage'!U51=E2,'Nom du personnage'!U51=E3,'Nom du personnage'!U51=E4,'Nom du personnage'!U51=E5,'Nom du personnage'!U51=E6),VLOOKUP('Nom du personnage'!U51,'Lecture et écriture'!E2:I6,2,FALSE),FALSE)</f>
        <v>0</v>
      </c>
      <c r="AN4" t="str">
        <f t="shared" ref="AN4:AN15" si="0">IF(AM4=FALSE,$M4,IF(AP4&gt;=0,AM4,$M4))</f>
        <v>Lecture et écriture - Commun</v>
      </c>
      <c r="AO4">
        <f>IF(AM4=AN4,0,2)</f>
        <v>2</v>
      </c>
      <c r="AP4" cm="1">
        <f t="array" ref="AP4">MIN(IF(OR('Nom du personnage'!$C$65:$L$85=AM4,'Nom du personnage'!$Q$65:$Z$85=AM4)=TRUE,1,IF(SUMIF($AP$4:$AP$15,1,$AP$4:$AP$15)=1,-1,0)))</f>
        <v>1</v>
      </c>
      <c r="AR4" s="2" t="s">
        <v>938</v>
      </c>
      <c r="AS4" t="str">
        <f>IF('Nom du personnage'!$F$51='Lecture et écriture'!$N$2,'Lecture et écriture'!O4,IF('Nom du personnage'!$F$51='Lecture et écriture'!$S$2,'Lecture et écriture'!T4,IF('Nom du personnage'!$F$51='Lecture et écriture'!$W$2,'Lecture et écriture'!X4,IF('Nom du personnage'!$F$51='Lecture et écriture'!$AA$2,'Lecture et écriture'!AB4,IF('Nom du personnage'!$F$51='Lecture et écriture'!$AE$2,'Lecture et écriture'!AF4,IF('Nom du personnage'!$F$51='Lecture et écriture'!$AI$2,'Lecture et écriture'!AJ4,IF('Nom du personnage'!$F$51='Lecture et écriture'!$AM$2,'Lecture et écriture'!AN4,IF('Nom du personnage'!$F$51=$R$2,"",FALSE))))))))</f>
        <v>Lecture et écriture - Commun</v>
      </c>
      <c r="AT4">
        <f>IF('Nom du personnage'!$F$51='Lecture et écriture'!$N$2,'Lecture et écriture'!P4,IF('Nom du personnage'!$F$51='Lecture et écriture'!$S$2,'Lecture et écriture'!U4,IF('Nom du personnage'!$F$51='Lecture et écriture'!$W$2,'Lecture et écriture'!Y4,IF('Nom du personnage'!$F$51='Lecture et écriture'!$AA$2,'Lecture et écriture'!AC4,IF('Nom du personnage'!$F$51='Lecture et écriture'!$AE$2,'Lecture et écriture'!AG4,IF('Nom du personnage'!$F$51='Lecture et écriture'!$AI$2,'Lecture et écriture'!AK4,IF('Nom du personnage'!$F$51='Lecture et écriture'!$AM$2,'Lecture et écriture'!AO4,IF('Nom du personnage'!$F$51=$R$2,0,FALSE))))))))</f>
        <v>2</v>
      </c>
    </row>
    <row r="5" spans="1:46">
      <c r="A5" t="s">
        <v>144</v>
      </c>
      <c r="C5" s="2" t="s">
        <v>746</v>
      </c>
      <c r="E5" s="4" t="s">
        <v>110</v>
      </c>
      <c r="F5" t="s">
        <v>819</v>
      </c>
      <c r="G5" s="2" t="b" cm="1">
        <f t="array" ref="G5">OR('Nom du personnage'!$C$65:$L$85='Lecture et écriture'!F5,'Nom du personnage'!$Q$65:$Z$85=F5)</f>
        <v>0</v>
      </c>
      <c r="H5" t="s">
        <v>904</v>
      </c>
      <c r="I5" s="4" t="s">
        <v>110</v>
      </c>
      <c r="M5" s="2" t="s">
        <v>743</v>
      </c>
      <c r="N5" s="12" t="s">
        <v>935</v>
      </c>
      <c r="O5" s="12"/>
      <c r="P5" s="12"/>
      <c r="Q5" s="9"/>
      <c r="R5" s="2" t="s">
        <v>935</v>
      </c>
      <c r="S5" s="9" t="b">
        <f>IF(OR('Nom du personnage'!U51=E9,'Nom du personnage'!U51=E10,'Nom du personnage'!U51=E11,'Nom du personnage'!U51=E12,'Nom du personnage'!U51=E13),VLOOKUP('Nom du personnage'!U51,'Lecture et écriture'!E9:I13,2,FALSE),FALSE)</f>
        <v>0</v>
      </c>
      <c r="T5" s="9" t="str">
        <f>IF(S5=FALSE,$M5,IF(V5&gt;=0,S5,$M5))</f>
        <v>Lecture et écriture - Elfique</v>
      </c>
      <c r="U5" s="9">
        <f>IF(S5=T5,0,2)</f>
        <v>2</v>
      </c>
      <c r="V5" s="9">
        <f ca="1">SUMIF('Nom du personnage'!$C$65:$AC$85,'Lecture et écriture'!S5)</f>
        <v>0</v>
      </c>
      <c r="W5" s="2" t="s">
        <v>935</v>
      </c>
      <c r="X5" s="2"/>
      <c r="Y5" s="2"/>
      <c r="AA5" s="9" t="str">
        <f>F86</f>
        <v>Lecture et écriture - Elfique (Bonus Haut Elfe)</v>
      </c>
      <c r="AB5" s="9" t="str">
        <f>IF(AD5&gt;=0,AA5,$M5)</f>
        <v>Lecture et écriture - Elfique (Bonus Haut Elfe)</v>
      </c>
      <c r="AC5" s="9">
        <v>0</v>
      </c>
      <c r="AD5" s="9"/>
      <c r="AE5" t="b">
        <f>IF(OR('Nom du personnage'!U51=E9,'Nom du personnage'!U51=E10,'Nom du personnage'!U51=E11,'Nom du personnage'!U51=E12,'Nom du personnage'!U51=E13),VLOOKUP('Nom du personnage'!U51,'Lecture et écriture'!E9:I13,2,FALSE),FALSE)</f>
        <v>0</v>
      </c>
      <c r="AF5" t="str">
        <f>IF(AE5=FALSE,$M5,IF(AH5&gt;=0,AE5,F15))</f>
        <v>Lecture et écriture - Elfique</v>
      </c>
      <c r="AG5">
        <f t="shared" ref="AG5:AG15" si="1">IF(AE5=AF5,0,1)</f>
        <v>1</v>
      </c>
      <c r="AH5" cm="1">
        <f t="array" ref="AH5">MIN(IF(OR('Nom du personnage'!$C$65:$L$85=AE5,'Nom du personnage'!$Q$65:$Z$85=AE5)=TRUE,1,IF(SUMIF($AH$4:$AH$15,1,$AH$4:$AH$15)=1,-1,0)))</f>
        <v>1</v>
      </c>
      <c r="AI5" s="9" t="b">
        <f>IF(OR('Nom du personnage'!U51=E9,'Nom du personnage'!U51=E10,'Nom du personnage'!U51=E11,'Nom du personnage'!U51=E12,'Nom du personnage'!U51=E13),VLOOKUP('Nom du personnage'!U51,'Lecture et écriture'!E9:I13,2,FALSE),FALSE)</f>
        <v>0</v>
      </c>
      <c r="AJ5" s="9" t="str">
        <f>IF(AI5=FALSE,$M5,IF(AL5&gt;=0,AI5,$F14))</f>
        <v>Lecture et écriture - Elfique</v>
      </c>
      <c r="AK5" s="9">
        <f t="shared" ref="AK5:AK15" si="2">IF(AI5=AJ5,0,1)</f>
        <v>1</v>
      </c>
      <c r="AL5" s="9" cm="1">
        <f t="array" ref="AL5">MIN(IF(OR('Nom du personnage'!$C$65:$L$85=AI5,'Nom du personnage'!$Q$65:$Z$85=AI5)=TRUE,1,IF(SUMIF($AL$4:$AL$15,1,$AL$4:$AL$15)=1,-1,0)))</f>
        <v>1</v>
      </c>
      <c r="AM5" t="b">
        <f>IF(OR('Nom du personnage'!U51=E9,'Nom du personnage'!U51=E10,'Nom du personnage'!U51=E11,'Nom du personnage'!U51=E12,'Nom du personnage'!U51=E13),VLOOKUP('Nom du personnage'!U51,'Lecture et écriture'!E9:I13,2,FALSE),FALSE)</f>
        <v>0</v>
      </c>
      <c r="AN5" t="str">
        <f t="shared" si="0"/>
        <v>Lecture et écriture - Elfique</v>
      </c>
      <c r="AO5">
        <f t="shared" ref="AO5:AO15" si="3">IF(AM5=AN5,0,2)</f>
        <v>2</v>
      </c>
      <c r="AP5" cm="1">
        <f t="array" ref="AP5">MIN(IF(OR('Nom du personnage'!$C$65:$L$85=AM5,'Nom du personnage'!$Q$65:$Z$85=AM5)=TRUE,1,IF(SUMIF($AP$4:$AP$15,1,$AP$4:$AP$15)=1,-1,0)))</f>
        <v>1</v>
      </c>
      <c r="AR5" s="2" t="s">
        <v>939</v>
      </c>
      <c r="AS5" t="str">
        <f>IF('Nom du personnage'!$F$51='Lecture et écriture'!$N$2,'Lecture et écriture'!O5,IF('Nom du personnage'!$F$51='Lecture et écriture'!$S$2,'Lecture et écriture'!T5,IF('Nom du personnage'!$F$51='Lecture et écriture'!$W$2,'Lecture et écriture'!X5,IF('Nom du personnage'!$F$51='Lecture et écriture'!$AA$2,'Lecture et écriture'!AB5,IF('Nom du personnage'!$F$51='Lecture et écriture'!$AE$2,'Lecture et écriture'!AF5,IF('Nom du personnage'!$F$51='Lecture et écriture'!$AI$2,'Lecture et écriture'!AJ5,IF('Nom du personnage'!$F$51='Lecture et écriture'!$AM$2,'Lecture et écriture'!AN5,IF('Nom du personnage'!$F$51=$R$2,"",FALSE))))))))</f>
        <v>Lecture et écriture - Elfique</v>
      </c>
      <c r="AT5">
        <f>IF('Nom du personnage'!$F$51='Lecture et écriture'!$N$2,'Lecture et écriture'!P5,IF('Nom du personnage'!$F$51='Lecture et écriture'!$S$2,'Lecture et écriture'!U5,IF('Nom du personnage'!$F$51='Lecture et écriture'!$W$2,'Lecture et écriture'!Y5,IF('Nom du personnage'!$F$51='Lecture et écriture'!$AA$2,'Lecture et écriture'!AC5,IF('Nom du personnage'!$F$51='Lecture et écriture'!$AE$2,'Lecture et écriture'!AG5,IF('Nom du personnage'!$F$51='Lecture et écriture'!$AI$2,'Lecture et écriture'!AK5,IF('Nom du personnage'!$F$51='Lecture et écriture'!$AM$2,'Lecture et écriture'!AO5,IF('Nom du personnage'!$F$51=$R$2,0,FALSE))))))))</f>
        <v>2</v>
      </c>
    </row>
    <row r="6" spans="1:46">
      <c r="A6" t="s">
        <v>146</v>
      </c>
      <c r="C6" s="2" t="s">
        <v>747</v>
      </c>
      <c r="E6" s="4" t="s">
        <v>113</v>
      </c>
      <c r="F6" t="s">
        <v>831</v>
      </c>
      <c r="G6" s="2" t="b" cm="1">
        <f t="array" ref="G6">OR('Nom du personnage'!$C$65:$L$85='Lecture et écriture'!F6,'Nom du personnage'!$Q$65:$Z$85=F6)</f>
        <v>0</v>
      </c>
      <c r="H6" s="7" t="s">
        <v>916</v>
      </c>
      <c r="I6" s="4" t="s">
        <v>113</v>
      </c>
      <c r="M6" s="2" t="s">
        <v>744</v>
      </c>
      <c r="N6" s="12" t="s">
        <v>935</v>
      </c>
      <c r="O6" s="12"/>
      <c r="P6" s="12"/>
      <c r="Q6" s="9"/>
      <c r="R6" s="2" t="s">
        <v>935</v>
      </c>
      <c r="S6" s="12" t="s">
        <v>935</v>
      </c>
      <c r="T6" s="12"/>
      <c r="U6" s="12"/>
      <c r="V6" s="9"/>
      <c r="W6" s="2" t="s">
        <v>935</v>
      </c>
      <c r="X6" s="2"/>
      <c r="Y6" s="2"/>
      <c r="AA6" s="9" t="b">
        <f>IF(OR('Nom du personnage'!U51=$E$2,'Nom du personnage'!U51=$E$3,'Nom du personnage'!U51=$E$4,'Nom du personnage'!U51=$E$5,'Nom du personnage'!U51=$E$6),VLOOKUP('Nom du personnage'!U51,'Lecture et écriture'!E16:I20,2,FALSE),FALSE)</f>
        <v>0</v>
      </c>
      <c r="AB6" s="9" t="str">
        <f t="shared" ref="AB6:AB15" si="4">IF(AA6=FALSE,$M6,IF(AD6&gt;=0,AA6,$M6))</f>
        <v>Lecture et écriture - Rakuzan</v>
      </c>
      <c r="AC6" s="9">
        <f>IF(AA6=AB6,0,2)</f>
        <v>2</v>
      </c>
      <c r="AD6" s="9" cm="1">
        <f t="array" ref="AD6">MIN(IF(OR('Nom du personnage'!$C$65:$L$85=AA6,'Nom du personnage'!$Q$65:$Z$85=AA6)=TRUE,1,IF(SUMIF($AD$4:$AD$15,1,$AD$4:$AD$15)=1,-1,0)))</f>
        <v>1</v>
      </c>
      <c r="AE6" t="b">
        <f>IF(OR('Nom du personnage'!U51=$E$2,'Nom du personnage'!U51=$E$3,'Nom du personnage'!U51=$E$4,'Nom du personnage'!U51=$E$5,'Nom du personnage'!U51=$E$6),VLOOKUP('Nom du personnage'!U51,'Lecture et écriture'!E16:I20,2,FALSE),FALSE)</f>
        <v>0</v>
      </c>
      <c r="AF6" t="str">
        <f>IF(AE6=FALSE,$M6,IF(AH6&gt;=0,AE6,F22))</f>
        <v>Lecture et écriture - Rakuzan</v>
      </c>
      <c r="AG6">
        <f t="shared" si="1"/>
        <v>1</v>
      </c>
      <c r="AH6" cm="1">
        <f t="array" ref="AH6">MIN(IF(OR('Nom du personnage'!$C$65:$L$85=AE6,'Nom du personnage'!$Q$65:$Z$85=AE6)=TRUE,1,IF(SUMIF($AH$4:$AH$15,1,$AH$4:$AH$15)=1,-1,0)))</f>
        <v>1</v>
      </c>
      <c r="AI6" s="9" t="b">
        <f>IF(OR('Nom du personnage'!U51=$E$2,'Nom du personnage'!U51=$E$3,'Nom du personnage'!U51=$E$4,'Nom du personnage'!U51=$E$5,'Nom du personnage'!U51=$E$6),VLOOKUP('Nom du personnage'!U51,'Lecture et écriture'!E16:I20,2,FALSE),FALSE)</f>
        <v>0</v>
      </c>
      <c r="AJ6" s="9" t="str">
        <f>IF(AI6=FALSE,$M6,IF(AL6&gt;=0,AI6,$F21))</f>
        <v>Lecture et écriture - Rakuzan</v>
      </c>
      <c r="AK6" s="9">
        <f>IF(AI6=AJ6,0,1)</f>
        <v>1</v>
      </c>
      <c r="AL6" s="9" cm="1">
        <f t="array" ref="AL6">MIN(IF(OR('Nom du personnage'!$C$65:$L$85=AI6,'Nom du personnage'!$Q$65:$Z$85=AI6)=TRUE,1,IF(SUMIF($AL$4:$AL$15,1,$AL$4:$AL$15)=1,-1,0)))</f>
        <v>1</v>
      </c>
      <c r="AM6" t="b">
        <f>IF(OR('Nom du personnage'!U51=$E$2,'Nom du personnage'!U51=$E$3,'Nom du personnage'!U51=$E$4,'Nom du personnage'!U51=$E$5,'Nom du personnage'!U51=$E$6),VLOOKUP('Nom du personnage'!U51,'Lecture et écriture'!E16:I20,2,FALSE),FALSE)</f>
        <v>0</v>
      </c>
      <c r="AN6" t="str">
        <f t="shared" si="0"/>
        <v>Lecture et écriture - Rakuzan</v>
      </c>
      <c r="AO6">
        <f t="shared" si="3"/>
        <v>2</v>
      </c>
      <c r="AP6" cm="1">
        <f t="array" ref="AP6">MIN(IF(OR('Nom du personnage'!$C$65:$L$85=AM6,'Nom du personnage'!$Q$65:$Z$85=AM6)=TRUE,1,IF(SUMIF($AP$4:$AP$15,1,$AP$4:$AP$15)=1,-1,0)))</f>
        <v>1</v>
      </c>
      <c r="AR6" s="2" t="s">
        <v>940</v>
      </c>
      <c r="AS6" t="str">
        <f>IF('Nom du personnage'!$F$51='Lecture et écriture'!$N$2,'Lecture et écriture'!O6,IF('Nom du personnage'!$F$51='Lecture et écriture'!$S$2,'Lecture et écriture'!T6,IF('Nom du personnage'!$F$51='Lecture et écriture'!$W$2,'Lecture et écriture'!X6,IF('Nom du personnage'!$F$51='Lecture et écriture'!$AA$2,'Lecture et écriture'!AB6,IF('Nom du personnage'!$F$51='Lecture et écriture'!$AE$2,'Lecture et écriture'!AF6,IF('Nom du personnage'!$F$51='Lecture et écriture'!$AI$2,'Lecture et écriture'!AJ6,IF('Nom du personnage'!$F$51='Lecture et écriture'!$AM$2,'Lecture et écriture'!AN6,IF('Nom du personnage'!$F$51=$R$2,"",FALSE))))))))</f>
        <v>Lecture et écriture - Rakuzan</v>
      </c>
      <c r="AT6">
        <f>IF('Nom du personnage'!$F$51='Lecture et écriture'!$N$2,'Lecture et écriture'!P6,IF('Nom du personnage'!$F$51='Lecture et écriture'!$S$2,'Lecture et écriture'!U6,IF('Nom du personnage'!$F$51='Lecture et écriture'!$W$2,'Lecture et écriture'!Y6,IF('Nom du personnage'!$F$51='Lecture et écriture'!$AA$2,'Lecture et écriture'!AC6,IF('Nom du personnage'!$F$51='Lecture et écriture'!$AE$2,'Lecture et écriture'!AG6,IF('Nom du personnage'!$F$51='Lecture et écriture'!$AI$2,'Lecture et écriture'!AK6,IF('Nom du personnage'!$F$51='Lecture et écriture'!$AM$2,'Lecture et écriture'!AO6,IF('Nom du personnage'!$F$51=$R$2,0,FALSE))))))))</f>
        <v>2</v>
      </c>
    </row>
    <row r="7" spans="1:46">
      <c r="A7" s="2" t="s">
        <v>672</v>
      </c>
      <c r="C7" s="2" t="s">
        <v>748</v>
      </c>
      <c r="E7" t="s">
        <v>141</v>
      </c>
      <c r="F7" s="2" t="s">
        <v>758</v>
      </c>
      <c r="G7" s="2" t="b" cm="1">
        <f t="array" ref="G7">OR('Nom du personnage'!$C$65:$L$85='Lecture et écriture'!F7,'Nom du personnage'!$Q$65:$Z$85=F7)</f>
        <v>0</v>
      </c>
      <c r="H7" t="s">
        <v>843</v>
      </c>
      <c r="I7" t="s">
        <v>141</v>
      </c>
      <c r="M7" s="2" t="s">
        <v>745</v>
      </c>
      <c r="N7" s="12" t="s">
        <v>935</v>
      </c>
      <c r="O7" s="12"/>
      <c r="P7" s="12"/>
      <c r="Q7" s="9"/>
      <c r="R7" s="2" t="s">
        <v>935</v>
      </c>
      <c r="S7" s="12" t="s">
        <v>935</v>
      </c>
      <c r="T7" s="12"/>
      <c r="U7" s="12"/>
      <c r="V7" s="9"/>
      <c r="W7" s="2" t="s">
        <v>935</v>
      </c>
      <c r="X7" s="2"/>
      <c r="Y7" s="2"/>
      <c r="AA7" s="9" t="b">
        <f>IF(OR('Nom du personnage'!U51=$E$2,'Nom du personnage'!U51=$E$3,'Nom du personnage'!U51=$E$4,'Nom du personnage'!U51=$E$5,'Nom du personnage'!U51=$E$6),VLOOKUP('Nom du personnage'!U51,'Lecture et écriture'!E23:I27,2,FALSE),FALSE)</f>
        <v>0</v>
      </c>
      <c r="AB7" s="9" t="str">
        <f t="shared" si="4"/>
        <v>Lecture et écriture - Infernal</v>
      </c>
      <c r="AC7" s="9">
        <f>IF(AA7=AB7,0,2)</f>
        <v>2</v>
      </c>
      <c r="AD7" s="9" cm="1">
        <f t="array" ref="AD7">MIN(IF(OR('Nom du personnage'!$C$65:$L$85=AA7,'Nom du personnage'!$Q$65:$Z$85=AA7)=TRUE,1,IF(SUMIF($AD$4:$AD$15,1,$AD$4:$AD$15)=1,-1,0)))</f>
        <v>1</v>
      </c>
      <c r="AE7" t="b">
        <f>IF(OR('Nom du personnage'!U51=$E$2,'Nom du personnage'!U51=$E$3,'Nom du personnage'!U51=$E$4,'Nom du personnage'!U51=$E$5,'Nom du personnage'!U51=$E$6),VLOOKUP('Nom du personnage'!U51,'Lecture et écriture'!E23:I27,2,FALSE),FALSE)</f>
        <v>0</v>
      </c>
      <c r="AF7" t="str">
        <f>IF(AE7=FALSE,$M7,IF(AH7&gt;=0,AE7,F29))</f>
        <v>Lecture et écriture - Infernal</v>
      </c>
      <c r="AG7">
        <f t="shared" si="1"/>
        <v>1</v>
      </c>
      <c r="AH7" cm="1">
        <f t="array" ref="AH7">MIN(IF(OR('Nom du personnage'!$C$65:$L$85=AE7,'Nom du personnage'!$Q$65:$Z$85=AE7)=TRUE,1,IF(SUMIF($AH$4:$AH$15,1,$AH$4:$AH$15)=1,-1,0)))</f>
        <v>1</v>
      </c>
      <c r="AI7" s="9" t="b">
        <f>IF(OR('Nom du personnage'!U51=$E$2,'Nom du personnage'!U51=$E$3,'Nom du personnage'!U51=$E$4,'Nom du personnage'!U51=$E$5,'Nom du personnage'!U51=$E$6),VLOOKUP('Nom du personnage'!U51,'Lecture et écriture'!E23:I27,2,FALSE),FALSE)</f>
        <v>0</v>
      </c>
      <c r="AJ7" s="9" t="str">
        <f>IF(AI7=FALSE,$M7,IF(AL7&gt;=0,AI7,$F28))</f>
        <v>Lecture et écriture - Infernal</v>
      </c>
      <c r="AK7" s="9">
        <f t="shared" si="2"/>
        <v>1</v>
      </c>
      <c r="AL7" s="9" cm="1">
        <f t="array" ref="AL7">MIN(IF(OR('Nom du personnage'!$C$65:$L$85=AI7,'Nom du personnage'!$Q$65:$Z$85=AI7)=TRUE,1,IF(SUMIF($AL$4:$AL$15,1,$AL$4:$AL$15)=1,-1,0)))</f>
        <v>1</v>
      </c>
      <c r="AM7" t="b">
        <f>IF(OR('Nom du personnage'!U51=$E$2,'Nom du personnage'!U51=$E$3,'Nom du personnage'!U51=$E$4,'Nom du personnage'!U51=$E$5,'Nom du personnage'!U51=$E$6),VLOOKUP('Nom du personnage'!U51,'Lecture et écriture'!E23:I27,2,FALSE),FALSE)</f>
        <v>0</v>
      </c>
      <c r="AN7" t="str">
        <f t="shared" si="0"/>
        <v>Lecture et écriture - Infernal</v>
      </c>
      <c r="AO7">
        <f t="shared" si="3"/>
        <v>2</v>
      </c>
      <c r="AP7" cm="1">
        <f t="array" ref="AP7">MIN(IF(OR('Nom du personnage'!$C$65:$L$85=AM7,'Nom du personnage'!$Q$65:$Z$85=AM7)=TRUE,1,IF(SUMIF($AP$4:$AP$15,1,$AP$4:$AP$15)=1,-1,0)))</f>
        <v>1</v>
      </c>
      <c r="AR7" s="2" t="s">
        <v>941</v>
      </c>
      <c r="AS7" t="str">
        <f>IF('Nom du personnage'!$F$51='Lecture et écriture'!$N$2,'Lecture et écriture'!O7,IF('Nom du personnage'!$F$51='Lecture et écriture'!$S$2,'Lecture et écriture'!T7,IF('Nom du personnage'!$F$51='Lecture et écriture'!$W$2,'Lecture et écriture'!X7,IF('Nom du personnage'!$F$51='Lecture et écriture'!$AA$2,'Lecture et écriture'!AB7,IF('Nom du personnage'!$F$51='Lecture et écriture'!$AE$2,'Lecture et écriture'!AF7,IF('Nom du personnage'!$F$51='Lecture et écriture'!$AI$2,'Lecture et écriture'!AJ7,IF('Nom du personnage'!$F$51='Lecture et écriture'!$AM$2,'Lecture et écriture'!AN7,IF('Nom du personnage'!$F$51=$R$2,"",FALSE))))))))</f>
        <v>Lecture et écriture - Infernal</v>
      </c>
      <c r="AT7">
        <f>IF('Nom du personnage'!$F$51='Lecture et écriture'!$N$2,'Lecture et écriture'!P7,IF('Nom du personnage'!$F$51='Lecture et écriture'!$S$2,'Lecture et écriture'!U7,IF('Nom du personnage'!$F$51='Lecture et écriture'!$W$2,'Lecture et écriture'!Y7,IF('Nom du personnage'!$F$51='Lecture et écriture'!$AA$2,'Lecture et écriture'!AC7,IF('Nom du personnage'!$F$51='Lecture et écriture'!$AE$2,'Lecture et écriture'!AG7,IF('Nom du personnage'!$F$51='Lecture et écriture'!$AI$2,'Lecture et écriture'!AK7,IF('Nom du personnage'!$F$51='Lecture et écriture'!$AM$2,'Lecture et écriture'!AO7,IF('Nom du personnage'!$F$51=$R$2,0,FALSE))))))))</f>
        <v>2</v>
      </c>
    </row>
    <row r="8" spans="1:46">
      <c r="A8" s="2" t="s">
        <v>671</v>
      </c>
      <c r="C8" s="2" t="s">
        <v>749</v>
      </c>
      <c r="E8" t="s">
        <v>142</v>
      </c>
      <c r="F8" s="2" t="s">
        <v>770</v>
      </c>
      <c r="G8" s="2" t="b" cm="1">
        <f t="array" ref="G8">OR('Nom du personnage'!$C$65:$L$85='Lecture et écriture'!F8,'Nom du personnage'!$Q$65:$Z$85=F8)</f>
        <v>0</v>
      </c>
      <c r="H8" t="s">
        <v>855</v>
      </c>
      <c r="I8" t="s">
        <v>142</v>
      </c>
      <c r="M8" s="2" t="s">
        <v>746</v>
      </c>
      <c r="N8" s="12" t="s">
        <v>935</v>
      </c>
      <c r="O8" s="12"/>
      <c r="P8" s="12"/>
      <c r="Q8" s="9"/>
      <c r="R8" s="2" t="s">
        <v>935</v>
      </c>
      <c r="S8" s="12" t="s">
        <v>935</v>
      </c>
      <c r="T8" s="12"/>
      <c r="U8" s="12"/>
      <c r="V8" s="9"/>
      <c r="W8" s="2" t="s">
        <v>935</v>
      </c>
      <c r="X8" s="2"/>
      <c r="Y8" s="2"/>
      <c r="AA8" s="9" t="b">
        <f>IF(OR('Nom du personnage'!U51=$E$2,'Nom du personnage'!U51=$E$3,'Nom du personnage'!U51=$E$4,'Nom du personnage'!U51=$E$5,'Nom du personnage'!U51=$E$6),VLOOKUP('Nom du personnage'!U51,'Lecture et écriture'!E30:I34,2,FALSE),FALSE)</f>
        <v>0</v>
      </c>
      <c r="AB8" s="9" t="str">
        <f t="shared" si="4"/>
        <v>Lecture et écriture - Céleste</v>
      </c>
      <c r="AC8" s="9">
        <f>IF(AA8=AB8,0,2)</f>
        <v>2</v>
      </c>
      <c r="AD8" s="9" cm="1">
        <f t="array" ref="AD8">MIN(IF(OR('Nom du personnage'!$C$65:$L$85=AA8,'Nom du personnage'!$Q$65:$Z$85=AA8)=TRUE,1,IF(SUMIF($AD$4:$AD$15,1,$AD$4:$AD$15)=1,-1,0)))</f>
        <v>1</v>
      </c>
      <c r="AE8" t="b">
        <f>IF(OR('Nom du personnage'!U51=$E$2,'Nom du personnage'!U51=$E$3,'Nom du personnage'!U51=$E$4,'Nom du personnage'!U51=$E$5,'Nom du personnage'!U51=$E$6),VLOOKUP('Nom du personnage'!U51,'Lecture et écriture'!E30:I34,2,FALSE),FALSE)</f>
        <v>0</v>
      </c>
      <c r="AF8" t="str">
        <f>IF(AE8=FALSE,$M8,IF(AH8&gt;=0,AE8,F36))</f>
        <v>Lecture et écriture - Céleste</v>
      </c>
      <c r="AG8">
        <f t="shared" si="1"/>
        <v>1</v>
      </c>
      <c r="AH8" cm="1">
        <f t="array" ref="AH8">MIN(IF(OR('Nom du personnage'!$C$65:$L$85=AE8,'Nom du personnage'!$Q$65:$Z$85=AE8)=TRUE,1,IF(SUMIF($AH$4:$AH$15,1,$AH$4:$AH$15)=1,-1,0)))</f>
        <v>1</v>
      </c>
      <c r="AI8" s="9" t="b">
        <f>IF(OR('Nom du personnage'!U51=$E$2,'Nom du personnage'!U51=$E$3,'Nom du personnage'!U51=$E$4,'Nom du personnage'!U51=$E$5,'Nom du personnage'!U51=$E$6),VLOOKUP('Nom du personnage'!U51,'Lecture et écriture'!E30:I34,2,FALSE),FALSE)</f>
        <v>0</v>
      </c>
      <c r="AJ8" s="9" t="str">
        <f>IF(AI8=FALSE,$M8,IF(AL8&gt;=0,AI8,$F35))</f>
        <v>Lecture et écriture - Céleste</v>
      </c>
      <c r="AK8" s="9">
        <f t="shared" si="2"/>
        <v>1</v>
      </c>
      <c r="AL8" s="9" cm="1">
        <f t="array" ref="AL8">MIN(IF(OR('Nom du personnage'!$C$65:$L$85=AI8,'Nom du personnage'!$Q$65:$Z$85=AI8)=TRUE,1,IF(SUMIF($AL$4:$AL$15,1,$AL$4:$AL$15)=1,-1,0)))</f>
        <v>1</v>
      </c>
      <c r="AM8" t="b">
        <f>IF(OR('Nom du personnage'!U51=$E$2,'Nom du personnage'!U51=$E$3,'Nom du personnage'!U51=$E$4,'Nom du personnage'!U51=$E$5,'Nom du personnage'!U51=$E$6),VLOOKUP('Nom du personnage'!U51,'Lecture et écriture'!E30:I34,2,FALSE),FALSE)</f>
        <v>0</v>
      </c>
      <c r="AN8" t="str">
        <f t="shared" si="0"/>
        <v>Lecture et écriture - Céleste</v>
      </c>
      <c r="AO8">
        <f t="shared" si="3"/>
        <v>2</v>
      </c>
      <c r="AP8" cm="1">
        <f t="array" ref="AP8">MIN(IF(OR('Nom du personnage'!$C$65:$L$85=AM8,'Nom du personnage'!$Q$65:$Z$85=AM8)=TRUE,1,IF(SUMIF($AP$4:$AP$15,1,$AP$4:$AP$15)=1,-1,0)))</f>
        <v>1</v>
      </c>
      <c r="AR8" s="2" t="s">
        <v>942</v>
      </c>
      <c r="AS8" t="str">
        <f>IF('Nom du personnage'!$F$51='Lecture et écriture'!$N$2,'Lecture et écriture'!O8,IF('Nom du personnage'!$F$51='Lecture et écriture'!$S$2,'Lecture et écriture'!T8,IF('Nom du personnage'!$F$51='Lecture et écriture'!$W$2,'Lecture et écriture'!X8,IF('Nom du personnage'!$F$51='Lecture et écriture'!$AA$2,'Lecture et écriture'!AB8,IF('Nom du personnage'!$F$51='Lecture et écriture'!$AE$2,'Lecture et écriture'!AF8,IF('Nom du personnage'!$F$51='Lecture et écriture'!$AI$2,'Lecture et écriture'!AJ8,IF('Nom du personnage'!$F$51='Lecture et écriture'!$AM$2,'Lecture et écriture'!AN8,IF('Nom du personnage'!$F$51=$R$2,"",FALSE))))))))</f>
        <v>Lecture et écriture - Céleste</v>
      </c>
      <c r="AT8">
        <f>IF('Nom du personnage'!$F$51='Lecture et écriture'!$N$2,'Lecture et écriture'!P8,IF('Nom du personnage'!$F$51='Lecture et écriture'!$S$2,'Lecture et écriture'!U8,IF('Nom du personnage'!$F$51='Lecture et écriture'!$W$2,'Lecture et écriture'!Y8,IF('Nom du personnage'!$F$51='Lecture et écriture'!$AA$2,'Lecture et écriture'!AC8,IF('Nom du personnage'!$F$51='Lecture et écriture'!$AE$2,'Lecture et écriture'!AG8,IF('Nom du personnage'!$F$51='Lecture et écriture'!$AI$2,'Lecture et écriture'!AK8,IF('Nom du personnage'!$F$51='Lecture et écriture'!$AM$2,'Lecture et écriture'!AO8,IF('Nom du personnage'!$F$51=$R$2,0,FALSE))))))))</f>
        <v>2</v>
      </c>
    </row>
    <row r="9" spans="1:46">
      <c r="A9" s="2" t="s">
        <v>673</v>
      </c>
      <c r="C9" s="2" t="s">
        <v>751</v>
      </c>
      <c r="E9" s="4" t="s">
        <v>39</v>
      </c>
      <c r="F9" s="2" t="s">
        <v>784</v>
      </c>
      <c r="G9" s="2" t="b" cm="1">
        <f t="array" ref="G9">OR('Nom du personnage'!$C$65:$L$85='Lecture et écriture'!F9,'Nom du personnage'!$Q$65:$Z$85=F9)</f>
        <v>0</v>
      </c>
      <c r="H9" s="7" t="s">
        <v>869</v>
      </c>
      <c r="I9" s="4" t="s">
        <v>39</v>
      </c>
      <c r="M9" s="2" t="s">
        <v>747</v>
      </c>
      <c r="N9" s="12" t="s">
        <v>935</v>
      </c>
      <c r="O9" s="12"/>
      <c r="P9" s="12"/>
      <c r="Q9" s="9"/>
      <c r="R9" s="2" t="s">
        <v>935</v>
      </c>
      <c r="S9" s="12" t="s">
        <v>935</v>
      </c>
      <c r="T9" s="12"/>
      <c r="U9" s="12"/>
      <c r="V9" s="9"/>
      <c r="W9" s="2" t="s">
        <v>935</v>
      </c>
      <c r="X9" s="2"/>
      <c r="Y9" s="2"/>
      <c r="AA9" s="9" t="b">
        <f>IF(OR('Nom du personnage'!U51=$E$2,'Nom du personnage'!U51=$E$3,'Nom du personnage'!U51=$E$4,'Nom du personnage'!U51=$E$5,'Nom du personnage'!U51=$E$6),VLOOKUP('Nom du personnage'!U51,'Lecture et écriture'!E37:I41,2,FALSE),FALSE)</f>
        <v>0</v>
      </c>
      <c r="AB9" s="9" t="str">
        <f t="shared" si="4"/>
        <v>Lecture et écriture - Outremonde</v>
      </c>
      <c r="AC9" s="9">
        <f>IF(AA9=AB9,0,2)</f>
        <v>2</v>
      </c>
      <c r="AD9" s="9" cm="1">
        <f t="array" ref="AD9">MIN(IF(OR('Nom du personnage'!$C$65:$L$85=AA9,'Nom du personnage'!$Q$65:$Z$85=AA9)=TRUE,1,IF(SUMIF($AD$4:$AD$15,1,$AD$4:$AD$15)=1,-1,0)))</f>
        <v>1</v>
      </c>
      <c r="AE9" t="b">
        <f>IF(OR('Nom du personnage'!U51=$E$2,'Nom du personnage'!U51=$E$3,'Nom du personnage'!U51=$E$4,'Nom du personnage'!U51=$E$5,'Nom du personnage'!U51=$E$6),VLOOKUP('Nom du personnage'!U51,'Lecture et écriture'!E37:I41,2,FALSE),FALSE)</f>
        <v>0</v>
      </c>
      <c r="AF9" t="str">
        <f>IF(AE9=FALSE,$M9,IF(AH9&gt;=0,AE9,F43))</f>
        <v>Lecture et écriture - Outremonde</v>
      </c>
      <c r="AG9">
        <f t="shared" si="1"/>
        <v>1</v>
      </c>
      <c r="AH9" cm="1">
        <f t="array" ref="AH9">MIN(IF(OR('Nom du personnage'!$C$65:$L$85=AE9,'Nom du personnage'!$Q$65:$Z$85=AE9)=TRUE,1,IF(SUMIF($AH$4:$AH$15,1,$AH$4:$AH$15)=1,-1,0)))</f>
        <v>1</v>
      </c>
      <c r="AI9" s="9" t="b">
        <f>IF(OR('Nom du personnage'!U51=$E$2,'Nom du personnage'!U51=$E$3,'Nom du personnage'!U51=$E$4,'Nom du personnage'!U51=$E$5,'Nom du personnage'!U51=$E$6),VLOOKUP('Nom du personnage'!U51,'Lecture et écriture'!E37:I41,2,FALSE),FALSE)</f>
        <v>0</v>
      </c>
      <c r="AJ9" s="9" t="str">
        <f>IF(AI9=FALSE,$M9,IF(AL9&gt;=0,AI9,$F42))</f>
        <v>Lecture et écriture - Outremonde</v>
      </c>
      <c r="AK9" s="9">
        <f t="shared" si="2"/>
        <v>1</v>
      </c>
      <c r="AL9" s="9" cm="1">
        <f t="array" ref="AL9">MIN(IF(OR('Nom du personnage'!$C$65:$L$85=AI9,'Nom du personnage'!$Q$65:$Z$85=AI9)=TRUE,1,IF(SUMIF($AL$4:$AL$15,1,$AL$4:$AL$15)=1,-1,0)))</f>
        <v>1</v>
      </c>
      <c r="AM9" t="b">
        <f>IF(OR('Nom du personnage'!U51=$E$2,'Nom du personnage'!U51=$E$3,'Nom du personnage'!U51=$E$4,'Nom du personnage'!U51=$E$5,'Nom du personnage'!U51=$E$6),VLOOKUP('Nom du personnage'!U51,'Lecture et écriture'!E37:I41,2,FALSE),FALSE)</f>
        <v>0</v>
      </c>
      <c r="AN9" t="str">
        <f t="shared" si="0"/>
        <v>Lecture et écriture - Outremonde</v>
      </c>
      <c r="AO9">
        <f t="shared" si="3"/>
        <v>2</v>
      </c>
      <c r="AP9" cm="1">
        <f t="array" ref="AP9">MIN(IF(OR('Nom du personnage'!$C$65:$L$85=AM9,'Nom du personnage'!$Q$65:$Z$85=AM9)=TRUE,1,IF(SUMIF($AP$4:$AP$15,1,$AP$4:$AP$15)=1,-1,0)))</f>
        <v>1</v>
      </c>
      <c r="AR9" s="2" t="s">
        <v>943</v>
      </c>
      <c r="AS9" t="str">
        <f>IF('Nom du personnage'!$F$51='Lecture et écriture'!$N$2,'Lecture et écriture'!O9,IF('Nom du personnage'!$F$51='Lecture et écriture'!$S$2,'Lecture et écriture'!T9,IF('Nom du personnage'!$F$51='Lecture et écriture'!$W$2,'Lecture et écriture'!X9,IF('Nom du personnage'!$F$51='Lecture et écriture'!$AA$2,'Lecture et écriture'!AB9,IF('Nom du personnage'!$F$51='Lecture et écriture'!$AE$2,'Lecture et écriture'!AF9,IF('Nom du personnage'!$F$51='Lecture et écriture'!$AI$2,'Lecture et écriture'!AJ9,IF('Nom du personnage'!$F$51='Lecture et écriture'!$AM$2,'Lecture et écriture'!AN9,IF('Nom du personnage'!$F$51=$R$2,"",FALSE))))))))</f>
        <v>Lecture et écriture - Outremonde</v>
      </c>
      <c r="AT9">
        <f>IF('Nom du personnage'!$F$51='Lecture et écriture'!$N$2,'Lecture et écriture'!P9,IF('Nom du personnage'!$F$51='Lecture et écriture'!$S$2,'Lecture et écriture'!U9,IF('Nom du personnage'!$F$51='Lecture et écriture'!$W$2,'Lecture et écriture'!Y9,IF('Nom du personnage'!$F$51='Lecture et écriture'!$AA$2,'Lecture et écriture'!AC9,IF('Nom du personnage'!$F$51='Lecture et écriture'!$AE$2,'Lecture et écriture'!AG9,IF('Nom du personnage'!$F$51='Lecture et écriture'!$AI$2,'Lecture et écriture'!AK9,IF('Nom du personnage'!$F$51='Lecture et écriture'!$AM$2,'Lecture et écriture'!AO9,IF('Nom du personnage'!$F$51=$R$2,0,FALSE))))))))</f>
        <v>2</v>
      </c>
    </row>
    <row r="10" spans="1:46">
      <c r="A10" s="2" t="s">
        <v>674</v>
      </c>
      <c r="C10" s="2" t="s">
        <v>750</v>
      </c>
      <c r="E10" s="4" t="s">
        <v>63</v>
      </c>
      <c r="F10" t="s">
        <v>796</v>
      </c>
      <c r="G10" s="2" t="b" cm="1">
        <f t="array" ref="G10">OR('Nom du personnage'!$C$65:$L$85='Lecture et écriture'!F10,'Nom du personnage'!$Q$65:$Z$85=F10)</f>
        <v>0</v>
      </c>
      <c r="H10" t="s">
        <v>881</v>
      </c>
      <c r="I10" s="4" t="s">
        <v>63</v>
      </c>
      <c r="M10" s="2" t="s">
        <v>748</v>
      </c>
      <c r="N10" s="12" t="s">
        <v>935</v>
      </c>
      <c r="O10" s="12"/>
      <c r="P10" s="12"/>
      <c r="Q10" s="9"/>
      <c r="R10" s="2" t="s">
        <v>935</v>
      </c>
      <c r="S10" s="12" t="s">
        <v>935</v>
      </c>
      <c r="T10" s="12"/>
      <c r="U10" s="12"/>
      <c r="V10" s="9"/>
      <c r="W10" s="2" t="s">
        <v>935</v>
      </c>
      <c r="X10" s="2"/>
      <c r="Y10" s="2"/>
      <c r="AA10" s="9" t="b">
        <f>IF(OR('Nom du personnage'!U51=$E$2,'Nom du personnage'!U51=$E$3,'Nom du personnage'!U51=$E$4,'Nom du personnage'!U51=$E$5,'Nom du personnage'!U51=$E$6),VLOOKUP('Nom du personnage'!U51,'Lecture et écriture'!E44:I48,2,FALSE),FALSE)</f>
        <v>0</v>
      </c>
      <c r="AB10" s="9" t="str">
        <f t="shared" si="4"/>
        <v>Lecture et écriture - Vermilangue</v>
      </c>
      <c r="AC10" s="9">
        <f t="shared" ref="AC10:AC15" si="5">IF(AA10=AB10,0,2)</f>
        <v>2</v>
      </c>
      <c r="AD10" s="9" cm="1">
        <f t="array" ref="AD10">MIN(IF(OR('Nom du personnage'!$C$65:$L$85=AA10,'Nom du personnage'!$Q$65:$Z$85=AA10)=TRUE,1,IF(SUMIF($AD$4:$AD$15,1,$AD$4:$AD$15)=1,-1,0)))</f>
        <v>1</v>
      </c>
      <c r="AE10" t="b">
        <f>IF(OR('Nom du personnage'!U51=$E$2,'Nom du personnage'!U51=$E$3,'Nom du personnage'!U51=$E$4,'Nom du personnage'!U51=$E$5,'Nom du personnage'!U51=$E$6),VLOOKUP('Nom du personnage'!U51,'Lecture et écriture'!E44:I48,2,FALSE),FALSE)</f>
        <v>0</v>
      </c>
      <c r="AF10" t="str">
        <f>IF(AE10=FALSE,$M10,IF(AH10&gt;=0,AE10,F50))</f>
        <v>Lecture et écriture - Vermilangue</v>
      </c>
      <c r="AG10">
        <f t="shared" si="1"/>
        <v>1</v>
      </c>
      <c r="AH10" cm="1">
        <f t="array" ref="AH10">MIN(IF(OR('Nom du personnage'!$C$65:$L$85=AE10,'Nom du personnage'!$Q$65:$Z$85=AE10)=TRUE,1,IF(SUMIF($AH$4:$AH$15,1,$AH$4:$AH$15)=1,-1,0)))</f>
        <v>1</v>
      </c>
      <c r="AI10" s="9" t="b">
        <f>IF(OR('Nom du personnage'!U51=$E$2,'Nom du personnage'!U51=$E$3,'Nom du personnage'!U51=$E$4,'Nom du personnage'!U51=$E$5,'Nom du personnage'!U51=$E$6),VLOOKUP('Nom du personnage'!U51,'Lecture et écriture'!E44:I48,2,FALSE),FALSE)</f>
        <v>0</v>
      </c>
      <c r="AJ10" s="9" t="str">
        <f>IF(AI10=FALSE,$M10,IF(AL10&gt;=0,AI10,$F49))</f>
        <v>Lecture et écriture - Vermilangue</v>
      </c>
      <c r="AK10" s="9">
        <f t="shared" si="2"/>
        <v>1</v>
      </c>
      <c r="AL10" s="9" cm="1">
        <f t="array" ref="AL10">MIN(IF(OR('Nom du personnage'!$C$65:$L$85=AI10,'Nom du personnage'!$Q$65:$Z$85=AI10)=TRUE,1,IF(SUMIF($AL$4:$AL$15,1,$AL$4:$AL$15)=1,-1,0)))</f>
        <v>1</v>
      </c>
      <c r="AM10" t="b">
        <f>IF(OR('Nom du personnage'!U51=$E$2,'Nom du personnage'!U51=$E$3,'Nom du personnage'!U51=$E$4,'Nom du personnage'!U51=$E$5,'Nom du personnage'!U51=$E$6),VLOOKUP('Nom du personnage'!U51,'Lecture et écriture'!E44:I48,2,FALSE),FALSE)</f>
        <v>0</v>
      </c>
      <c r="AN10" t="str">
        <f t="shared" si="0"/>
        <v>Lecture et écriture - Vermilangue</v>
      </c>
      <c r="AO10">
        <f t="shared" si="3"/>
        <v>2</v>
      </c>
      <c r="AP10" cm="1">
        <f t="array" ref="AP10">MIN(IF(OR('Nom du personnage'!$C$65:$L$85=AM10,'Nom du personnage'!$Q$65:$Z$85=AM10)=TRUE,1,IF(SUMIF($AP$4:$AP$15,1,$AP$4:$AP$15)=1,-1,0)))</f>
        <v>1</v>
      </c>
      <c r="AR10" s="2" t="s">
        <v>944</v>
      </c>
      <c r="AS10" t="str">
        <f>IF('Nom du personnage'!$F$51='Lecture et écriture'!$N$2,'Lecture et écriture'!O10,IF('Nom du personnage'!$F$51='Lecture et écriture'!$S$2,'Lecture et écriture'!T10,IF('Nom du personnage'!$F$51='Lecture et écriture'!$W$2,'Lecture et écriture'!X10,IF('Nom du personnage'!$F$51='Lecture et écriture'!$AA$2,'Lecture et écriture'!AB10,IF('Nom du personnage'!$F$51='Lecture et écriture'!$AE$2,'Lecture et écriture'!AF10,IF('Nom du personnage'!$F$51='Lecture et écriture'!$AI$2,'Lecture et écriture'!AJ10,IF('Nom du personnage'!$F$51='Lecture et écriture'!$AM$2,'Lecture et écriture'!AN10,IF('Nom du personnage'!$F$51=$R$2,"",FALSE))))))))</f>
        <v>Lecture et écriture - Vermilangue</v>
      </c>
      <c r="AT10">
        <f>IF('Nom du personnage'!$F$51='Lecture et écriture'!$N$2,'Lecture et écriture'!P10,IF('Nom du personnage'!$F$51='Lecture et écriture'!$S$2,'Lecture et écriture'!U10,IF('Nom du personnage'!$F$51='Lecture et écriture'!$W$2,'Lecture et écriture'!Y10,IF('Nom du personnage'!$F$51='Lecture et écriture'!$AA$2,'Lecture et écriture'!AC10,IF('Nom du personnage'!$F$51='Lecture et écriture'!$AE$2,'Lecture et écriture'!AG10,IF('Nom du personnage'!$F$51='Lecture et écriture'!$AI$2,'Lecture et écriture'!AK10,IF('Nom du personnage'!$F$51='Lecture et écriture'!$AM$2,'Lecture et écriture'!AO10,IF('Nom du personnage'!$F$51=$R$2,0,FALSE))))))))</f>
        <v>2</v>
      </c>
    </row>
    <row r="11" spans="1:46">
      <c r="A11" t="s">
        <v>147</v>
      </c>
      <c r="C11" s="2" t="s">
        <v>752</v>
      </c>
      <c r="E11" s="4" t="s">
        <v>73</v>
      </c>
      <c r="F11" t="s">
        <v>808</v>
      </c>
      <c r="G11" s="2" t="b" cm="1">
        <f t="array" ref="G11">OR('Nom du personnage'!$C$65:$L$85='Lecture et écriture'!F11,'Nom du personnage'!$Q$65:$Z$85=F11)</f>
        <v>0</v>
      </c>
      <c r="H11" s="7" t="s">
        <v>893</v>
      </c>
      <c r="I11" s="4" t="s">
        <v>73</v>
      </c>
      <c r="M11" s="2" t="s">
        <v>749</v>
      </c>
      <c r="N11" s="9" t="b">
        <f>IF(OR('Nom du personnage'!U51=E51,'Nom du personnage'!U51=E52,'Nom du personnage'!U51=E53,'Nom du personnage'!U51=E54,'Nom du personnage'!U51=E55),VLOOKUP('Nom du personnage'!U51,'Lecture et écriture'!E51:I55,2,FALSE),FALSE)</f>
        <v>0</v>
      </c>
      <c r="O11" s="9" t="str">
        <f>IF(N11=FALSE,$M11,IF(Q11&gt;=0,N11,$M11))</f>
        <v>Lecture et écriture - Orque</v>
      </c>
      <c r="P11" s="9">
        <f>IF(N11=O11,0,2)</f>
        <v>2</v>
      </c>
      <c r="Q11" s="9" cm="1">
        <f t="array" ref="Q11">MIN(IF(OR('Nom du personnage'!$C$65:$L$85=N11,'Nom du personnage'!$Q$65:$Z$85=N11)=TRUE,1,IF(SUMIF($Q$4:$Q$15,1,$Q$4:$Q$15)=1,-1,0)))</f>
        <v>1</v>
      </c>
      <c r="R11" s="2" t="s">
        <v>935</v>
      </c>
      <c r="S11" s="12" t="s">
        <v>935</v>
      </c>
      <c r="T11" s="12"/>
      <c r="U11" s="12"/>
      <c r="V11" s="9"/>
      <c r="W11" s="2" t="s">
        <v>935</v>
      </c>
      <c r="X11" s="2"/>
      <c r="Y11" s="2"/>
      <c r="AA11" s="9" t="b">
        <f>IF(OR('Nom du personnage'!U51=$E$2,'Nom du personnage'!U51=$E$3,'Nom du personnage'!U51=$E$4,'Nom du personnage'!U51=$E$5,'Nom du personnage'!U51=$E$6),VLOOKUP('Nom du personnage'!U51,'Lecture et écriture'!E51:I55,2,FALSE),FALSE)</f>
        <v>0</v>
      </c>
      <c r="AB11" s="9" t="str">
        <f t="shared" si="4"/>
        <v>Lecture et écriture - Orque</v>
      </c>
      <c r="AC11" s="9">
        <f>IF(AA11=AB11,0,2)</f>
        <v>2</v>
      </c>
      <c r="AD11" s="9" cm="1">
        <f t="array" ref="AD11">MIN(IF(OR('Nom du personnage'!$C$65:$L$85=AA11,'Nom du personnage'!$Q$65:$Z$85=AA11)=TRUE,1,IF(SUMIF($AD$4:$AD$15,1,$AD$4:$AD$15)=1,-1,0)))</f>
        <v>1</v>
      </c>
      <c r="AE11" t="b">
        <f>IF(OR('Nom du personnage'!U51=$E$2,'Nom du personnage'!U51=$E$3,'Nom du personnage'!U51=$E$4,'Nom du personnage'!U51=$E$5,'Nom du personnage'!U51=$E$6),VLOOKUP('Nom du personnage'!U51,'Lecture et écriture'!E51:I55,2,FALSE),FALSE)</f>
        <v>0</v>
      </c>
      <c r="AF11" t="str">
        <f>IF(AE11=FALSE,$M11,IF(AH11&gt;=0,AE11,F57))</f>
        <v>Lecture et écriture - Orque</v>
      </c>
      <c r="AG11">
        <f t="shared" si="1"/>
        <v>1</v>
      </c>
      <c r="AH11" cm="1">
        <f t="array" ref="AH11">MIN(IF(OR('Nom du personnage'!$C$65:$L$85=AE11,'Nom du personnage'!$Q$65:$Z$85=AE11)=TRUE,1,IF(SUMIF($AH$4:$AH$15,1,$AH$4:$AH$15)=1,-1,0)))</f>
        <v>1</v>
      </c>
      <c r="AI11" s="9" t="b">
        <f>IF(OR('Nom du personnage'!U51=$E$2,'Nom du personnage'!U51=$E$3,'Nom du personnage'!U51=$E$4,'Nom du personnage'!U51=$E$5,'Nom du personnage'!U51=$E$6),VLOOKUP('Nom du personnage'!U51,'Lecture et écriture'!E51:I55,2,FALSE),FALSE)</f>
        <v>0</v>
      </c>
      <c r="AJ11" s="9" t="str">
        <f>IF(AI11=FALSE,$M11,IF(AL11&gt;=0,AI11,$F56))</f>
        <v>Lecture et écriture - Orque</v>
      </c>
      <c r="AK11" s="9">
        <f t="shared" si="2"/>
        <v>1</v>
      </c>
      <c r="AL11" s="9" cm="1">
        <f t="array" ref="AL11">MIN(IF(OR('Nom du personnage'!$C$65:$L$85=AI11,'Nom du personnage'!$Q$65:$Z$85=AI11)=TRUE,1,IF(SUMIF($AL$4:$AL$15,1,$AL$4:$AL$15)=1,-1,0)))</f>
        <v>1</v>
      </c>
      <c r="AM11" t="b">
        <f>IF(OR('Nom du personnage'!U51=$E$2,'Nom du personnage'!U51=$E$3,'Nom du personnage'!U51=$E$4,'Nom du personnage'!U51=$E$5,'Nom du personnage'!U51=$E$6),VLOOKUP('Nom du personnage'!U51,'Lecture et écriture'!E51:I55,2,FALSE),FALSE)</f>
        <v>0</v>
      </c>
      <c r="AN11" t="str">
        <f t="shared" si="0"/>
        <v>Lecture et écriture - Orque</v>
      </c>
      <c r="AO11">
        <f t="shared" si="3"/>
        <v>2</v>
      </c>
      <c r="AP11" cm="1">
        <f t="array" ref="AP11">MIN(IF(OR('Nom du personnage'!$C$65:$L$85=AM11,'Nom du personnage'!$Q$65:$Z$85=AM11)=TRUE,1,IF(SUMIF($AP$4:$AP$15,1,$AP$4:$AP$15)=1,-1,0)))</f>
        <v>1</v>
      </c>
      <c r="AR11" s="2" t="s">
        <v>103</v>
      </c>
      <c r="AS11" t="str">
        <f>IF('Nom du personnage'!$F$51='Lecture et écriture'!$N$2,'Lecture et écriture'!O11,IF('Nom du personnage'!$F$51='Lecture et écriture'!$S$2,'Lecture et écriture'!T11,IF('Nom du personnage'!$F$51='Lecture et écriture'!$W$2,'Lecture et écriture'!X11,IF('Nom du personnage'!$F$51='Lecture et écriture'!$AA$2,'Lecture et écriture'!AB11,IF('Nom du personnage'!$F$51='Lecture et écriture'!$AE$2,'Lecture et écriture'!AF11,IF('Nom du personnage'!$F$51='Lecture et écriture'!$AI$2,'Lecture et écriture'!AJ11,IF('Nom du personnage'!$F$51='Lecture et écriture'!$AM$2,'Lecture et écriture'!AN11,IF('Nom du personnage'!$F$51=$R$2,"",FALSE))))))))</f>
        <v>Lecture et écriture - Orque</v>
      </c>
      <c r="AT11">
        <f>IF('Nom du personnage'!$F$51='Lecture et écriture'!$N$2,'Lecture et écriture'!P11,IF('Nom du personnage'!$F$51='Lecture et écriture'!$S$2,'Lecture et écriture'!U11,IF('Nom du personnage'!$F$51='Lecture et écriture'!$W$2,'Lecture et écriture'!Y11,IF('Nom du personnage'!$F$51='Lecture et écriture'!$AA$2,'Lecture et écriture'!AC11,IF('Nom du personnage'!$F$51='Lecture et écriture'!$AE$2,'Lecture et écriture'!AG11,IF('Nom du personnage'!$F$51='Lecture et écriture'!$AI$2,'Lecture et écriture'!AK11,IF('Nom du personnage'!$F$51='Lecture et écriture'!$AM$2,'Lecture et écriture'!AO11,IF('Nom du personnage'!$F$51=$R$2,0,FALSE))))))))</f>
        <v>2</v>
      </c>
    </row>
    <row r="12" spans="1:46">
      <c r="A12" t="s">
        <v>87</v>
      </c>
      <c r="C12" s="2" t="s">
        <v>753</v>
      </c>
      <c r="E12" s="4" t="s">
        <v>110</v>
      </c>
      <c r="F12" t="s">
        <v>820</v>
      </c>
      <c r="G12" s="2" t="b" cm="1">
        <f t="array" ref="G12">OR('Nom du personnage'!$C$65:$L$85='Lecture et écriture'!F12,'Nom du personnage'!$Q$65:$Z$85=F12)</f>
        <v>0</v>
      </c>
      <c r="H12" t="s">
        <v>905</v>
      </c>
      <c r="I12" s="4" t="s">
        <v>110</v>
      </c>
      <c r="M12" s="2" t="s">
        <v>751</v>
      </c>
      <c r="N12" s="12" t="s">
        <v>935</v>
      </c>
      <c r="O12" s="12"/>
      <c r="P12" s="12"/>
      <c r="Q12" s="9"/>
      <c r="R12" s="2" t="s">
        <v>935</v>
      </c>
      <c r="S12" s="12" t="s">
        <v>935</v>
      </c>
      <c r="T12" s="12"/>
      <c r="U12" s="12"/>
      <c r="V12" s="9"/>
      <c r="W12" s="2" t="s">
        <v>935</v>
      </c>
      <c r="X12" s="2"/>
      <c r="Y12" s="2"/>
      <c r="AA12" s="9" t="b">
        <f>IF(OR('Nom du personnage'!U51=$E$2,'Nom du personnage'!U51=$E$3,'Nom du personnage'!U51=$E$4,'Nom du personnage'!U51=$E$5,'Nom du personnage'!U51=$E$6),VLOOKUP('Nom du personnage'!U51,'Lecture et écriture'!E58:I62,2,FALSE),FALSE)</f>
        <v>0</v>
      </c>
      <c r="AB12" s="9" t="str">
        <f t="shared" si="4"/>
        <v>Lecture et écriture - Arcane</v>
      </c>
      <c r="AC12" s="9">
        <f t="shared" si="5"/>
        <v>2</v>
      </c>
      <c r="AD12" s="9" cm="1">
        <f t="array" ref="AD12">MIN(IF(OR('Nom du personnage'!$C$65:$L$85=AA12,'Nom du personnage'!$Q$65:$Z$85=AA12)=TRUE,1,IF(SUMIF($AD$4:$AD$15,1,$AD$4:$AD$15)=1,-1,0)))</f>
        <v>1</v>
      </c>
      <c r="AE12" t="b">
        <f>IF(OR('Nom du personnage'!U51=$E$2,'Nom du personnage'!U51=$E$3,'Nom du personnage'!U51=$E$4,'Nom du personnage'!U51=$E$5,'Nom du personnage'!U51=$E$6),VLOOKUP('Nom du personnage'!U51,'Lecture et écriture'!E58:I62,2,FALSE),FALSE)</f>
        <v>0</v>
      </c>
      <c r="AF12" t="str">
        <f>IF(AE12=FALSE,$M12,IF(AH12&gt;=0,AE12,F64))</f>
        <v>Lecture et écriture - Arcane</v>
      </c>
      <c r="AG12">
        <f>IF(AE12=AF12,0,1)</f>
        <v>1</v>
      </c>
      <c r="AH12" cm="1">
        <f t="array" ref="AH12">MIN(IF(OR('Nom du personnage'!$C$65:$L$85=AE12,'Nom du personnage'!$Q$65:$Z$85=AE12)=TRUE,1,IF(SUMIF($AH$4:$AH$15,1,$AH$4:$AH$15)=1,-1,0)))</f>
        <v>1</v>
      </c>
      <c r="AI12" s="9" t="b">
        <f>IF(OR('Nom du personnage'!U51=$E$2,'Nom du personnage'!U51=$E$3,'Nom du personnage'!U51=$E$4,'Nom du personnage'!U51=$E$5,'Nom du personnage'!U51=$E$6),VLOOKUP('Nom du personnage'!U51,'Lecture et écriture'!E58:I62,2,FALSE),FALSE)</f>
        <v>0</v>
      </c>
      <c r="AJ12" s="9" t="str">
        <f>IF(AI12=FALSE,$M12,IF(AL12&gt;=0,AI12,$F63))</f>
        <v>Lecture et écriture - Arcane</v>
      </c>
      <c r="AK12" s="9">
        <f t="shared" si="2"/>
        <v>1</v>
      </c>
      <c r="AL12" s="9" cm="1">
        <f t="array" ref="AL12">MIN(IF(OR('Nom du personnage'!$C$65:$L$85=AI12,'Nom du personnage'!$Q$65:$Z$85=AI12)=TRUE,1,IF(SUMIF($AL$4:$AL$15,1,$AL$4:$AL$15)=1,-1,0)))</f>
        <v>1</v>
      </c>
      <c r="AM12" t="b">
        <f>IF(OR('Nom du personnage'!U51=$E$2,'Nom du personnage'!U51=$E$3,'Nom du personnage'!U51=$E$4,'Nom du personnage'!U51=$E$5,'Nom du personnage'!U51=$E$6),VLOOKUP('Nom du personnage'!U51,'Lecture et écriture'!E58:I62,2,FALSE),FALSE)</f>
        <v>0</v>
      </c>
      <c r="AN12" t="str">
        <f t="shared" si="0"/>
        <v>Lecture et écriture - Arcane</v>
      </c>
      <c r="AO12">
        <f t="shared" si="3"/>
        <v>2</v>
      </c>
      <c r="AP12" cm="1">
        <f t="array" ref="AP12">MIN(IF(OR('Nom du personnage'!$C$65:$L$85=AM12,'Nom du personnage'!$Q$65:$Z$85=AM12)=TRUE,1,IF(SUMIF($AP$4:$AP$15,1,$AP$4:$AP$15)=1,-1,0)))</f>
        <v>1</v>
      </c>
      <c r="AR12" s="2" t="s">
        <v>945</v>
      </c>
      <c r="AS12" t="str">
        <f>IF('Nom du personnage'!$F$51='Lecture et écriture'!$N$2,'Lecture et écriture'!O12,IF('Nom du personnage'!$F$51='Lecture et écriture'!$S$2,'Lecture et écriture'!T12,IF('Nom du personnage'!$F$51='Lecture et écriture'!$W$2,'Lecture et écriture'!X12,IF('Nom du personnage'!$F$51='Lecture et écriture'!$AA$2,'Lecture et écriture'!AB12,IF('Nom du personnage'!$F$51='Lecture et écriture'!$AE$2,'Lecture et écriture'!AF12,IF('Nom du personnage'!$F$51='Lecture et écriture'!$AI$2,'Lecture et écriture'!AJ12,IF('Nom du personnage'!$F$51='Lecture et écriture'!$AM$2,'Lecture et écriture'!AN12,IF('Nom du personnage'!$F$51=$R$2,"",FALSE))))))))</f>
        <v>Lecture et écriture - Arcane</v>
      </c>
      <c r="AT12">
        <f>IF('Nom du personnage'!$F$51='Lecture et écriture'!$N$2,'Lecture et écriture'!P12,IF('Nom du personnage'!$F$51='Lecture et écriture'!$S$2,'Lecture et écriture'!U12,IF('Nom du personnage'!$F$51='Lecture et écriture'!$W$2,'Lecture et écriture'!Y12,IF('Nom du personnage'!$F$51='Lecture et écriture'!$AA$2,'Lecture et écriture'!AC12,IF('Nom du personnage'!$F$51='Lecture et écriture'!$AE$2,'Lecture et écriture'!AG12,IF('Nom du personnage'!$F$51='Lecture et écriture'!$AI$2,'Lecture et écriture'!AK12,IF('Nom du personnage'!$F$51='Lecture et écriture'!$AM$2,'Lecture et écriture'!AO12,IF('Nom du personnage'!$F$51=$R$2,0,FALSE))))))))</f>
        <v>2</v>
      </c>
    </row>
    <row r="13" spans="1:46">
      <c r="A13" t="s">
        <v>97</v>
      </c>
      <c r="E13" s="4" t="s">
        <v>113</v>
      </c>
      <c r="F13" t="s">
        <v>832</v>
      </c>
      <c r="G13" s="2" t="b" cm="1">
        <f t="array" ref="G13">OR('Nom du personnage'!$C$65:$L$85='Lecture et écriture'!F13,'Nom du personnage'!$Q$65:$Z$85=F13)</f>
        <v>0</v>
      </c>
      <c r="H13" s="7" t="s">
        <v>917</v>
      </c>
      <c r="I13" s="4" t="s">
        <v>113</v>
      </c>
      <c r="M13" s="2" t="s">
        <v>750</v>
      </c>
      <c r="N13" s="12" t="s">
        <v>935</v>
      </c>
      <c r="O13" s="12"/>
      <c r="P13" s="12"/>
      <c r="Q13" s="9"/>
      <c r="R13" s="2" t="s">
        <v>935</v>
      </c>
      <c r="S13" s="12" t="s">
        <v>935</v>
      </c>
      <c r="T13" s="12"/>
      <c r="U13" s="12"/>
      <c r="V13" s="9"/>
      <c r="W13" s="2" t="s">
        <v>935</v>
      </c>
      <c r="X13" s="2"/>
      <c r="Y13" s="2"/>
      <c r="AA13" s="9" t="b">
        <f>IF(OR('Nom du personnage'!U51=$E$2,'Nom du personnage'!U51=$E$3,'Nom du personnage'!U51=$E$4,'Nom du personnage'!U51=$E$5,'Nom du personnage'!U51=$E$6),VLOOKUP('Nom du personnage'!U51,'Lecture et écriture'!E65:I69,2,FALSE),FALSE)</f>
        <v>0</v>
      </c>
      <c r="AB13" s="9" t="str">
        <f t="shared" si="4"/>
        <v>Lecture et écriture - Arborique</v>
      </c>
      <c r="AC13" s="9">
        <f>IF(AA13=AB13,0,2)</f>
        <v>2</v>
      </c>
      <c r="AD13" s="9" cm="1">
        <f t="array" ref="AD13">MIN(IF(OR('Nom du personnage'!$C$65:$L$85=AA13,'Nom du personnage'!$Q$65:$Z$85=AA13)=TRUE,1,IF(SUMIF($AD$4:$AD$15,1,$AD$4:$AD$15)=1,-1,0)))</f>
        <v>1</v>
      </c>
      <c r="AE13" t="b">
        <f>IF(OR('Nom du personnage'!U51=$E$2,'Nom du personnage'!U51=$E$3,'Nom du personnage'!U51=$E$4,'Nom du personnage'!U51=$E$5,'Nom du personnage'!U51=$E$6),VLOOKUP('Nom du personnage'!U51,'Lecture et écriture'!E65:I69,2,FALSE),FALSE)</f>
        <v>0</v>
      </c>
      <c r="AF13" t="str">
        <f>IF(AE13=FALSE,$M13,IF(AH13&gt;=0,AE13,F71))</f>
        <v>Lecture et écriture - Arborique</v>
      </c>
      <c r="AG13">
        <f t="shared" si="1"/>
        <v>1</v>
      </c>
      <c r="AH13" cm="1">
        <f t="array" ref="AH13">MIN(IF(OR('Nom du personnage'!$C$65:$L$85=AE13,'Nom du personnage'!$Q$65:$Z$85=AE13)=TRUE,1,IF(SUMIF($AH$4:$AH$15,1,$AH$4:$AH$15)=1,-1,0)))</f>
        <v>1</v>
      </c>
      <c r="AI13" s="9" t="b">
        <f>IF(OR('Nom du personnage'!U51=$E$2,'Nom du personnage'!U51=$E$3,'Nom du personnage'!U51=$E$4,'Nom du personnage'!U51=$E$5,'Nom du personnage'!U51=$E$6),VLOOKUP('Nom du personnage'!U51,'Lecture et écriture'!E65:I69,2,FALSE),FALSE)</f>
        <v>0</v>
      </c>
      <c r="AJ13" s="9" t="str">
        <f>IF(AI13=FALSE,$M13,IF(AL13&gt;=0,AI13,$F70))</f>
        <v>Lecture et écriture - Arborique</v>
      </c>
      <c r="AK13" s="9">
        <f t="shared" si="2"/>
        <v>1</v>
      </c>
      <c r="AL13" s="9" cm="1">
        <f t="array" ref="AL13">MIN(IF(OR('Nom du personnage'!$C$65:$L$85=AI13,'Nom du personnage'!$Q$65:$Z$85=AI13)=TRUE,1,IF(SUMIF($AL$4:$AL$15,1,$AL$4:$AL$15)=1,-1,0)))</f>
        <v>1</v>
      </c>
      <c r="AM13" t="b">
        <f>IF(OR('Nom du personnage'!U51=$E$2,'Nom du personnage'!U51=$E$3,'Nom du personnage'!U51=$E$4,'Nom du personnage'!U51=$E$5,'Nom du personnage'!U51=$E$6),VLOOKUP('Nom du personnage'!U51,'Lecture et écriture'!E65:I69,2,FALSE),FALSE)</f>
        <v>0</v>
      </c>
      <c r="AN13" t="str">
        <f t="shared" si="0"/>
        <v>Lecture et écriture - Arborique</v>
      </c>
      <c r="AO13">
        <f t="shared" si="3"/>
        <v>2</v>
      </c>
      <c r="AP13" cm="1">
        <f t="array" ref="AP13">MIN(IF(OR('Nom du personnage'!$C$65:$L$85=AM13,'Nom du personnage'!$Q$65:$Z$85=AM13)=TRUE,1,IF(SUMIF($AP$4:$AP$15,1,$AP$4:$AP$15)=1,-1,0)))</f>
        <v>1</v>
      </c>
      <c r="AR13" s="2" t="s">
        <v>946</v>
      </c>
      <c r="AS13" t="str">
        <f>IF('Nom du personnage'!$F$51='Lecture et écriture'!$N$2,'Lecture et écriture'!O13,IF('Nom du personnage'!$F$51='Lecture et écriture'!$S$2,'Lecture et écriture'!T13,IF('Nom du personnage'!$F$51='Lecture et écriture'!$W$2,'Lecture et écriture'!X13,IF('Nom du personnage'!$F$51='Lecture et écriture'!$AA$2,'Lecture et écriture'!AB13,IF('Nom du personnage'!$F$51='Lecture et écriture'!$AE$2,'Lecture et écriture'!AF13,IF('Nom du personnage'!$F$51='Lecture et écriture'!$AI$2,'Lecture et écriture'!AJ13,IF('Nom du personnage'!$F$51='Lecture et écriture'!$AM$2,'Lecture et écriture'!AN13,IF('Nom du personnage'!$F$51=$R$2,"",FALSE))))))))</f>
        <v>Lecture et écriture - Arborique</v>
      </c>
      <c r="AT13">
        <f>IF('Nom du personnage'!$F$51='Lecture et écriture'!$N$2,'Lecture et écriture'!P13,IF('Nom du personnage'!$F$51='Lecture et écriture'!$S$2,'Lecture et écriture'!U13,IF('Nom du personnage'!$F$51='Lecture et écriture'!$W$2,'Lecture et écriture'!Y13,IF('Nom du personnage'!$F$51='Lecture et écriture'!$AA$2,'Lecture et écriture'!AC13,IF('Nom du personnage'!$F$51='Lecture et écriture'!$AE$2,'Lecture et écriture'!AG13,IF('Nom du personnage'!$F$51='Lecture et écriture'!$AI$2,'Lecture et écriture'!AK13,IF('Nom du personnage'!$F$51='Lecture et écriture'!$AM$2,'Lecture et écriture'!AO13,IF('Nom du personnage'!$F$51=$R$2,0,FALSE))))))))</f>
        <v>2</v>
      </c>
    </row>
    <row r="14" spans="1:46">
      <c r="A14" t="s">
        <v>81</v>
      </c>
      <c r="E14" t="s">
        <v>141</v>
      </c>
      <c r="F14" s="2" t="s">
        <v>759</v>
      </c>
      <c r="G14" s="2" t="b" cm="1">
        <f t="array" ref="G14">OR('Nom du personnage'!$C$65:$L$85='Lecture et écriture'!F14,'Nom du personnage'!$Q$65:$Z$85=F14)</f>
        <v>0</v>
      </c>
      <c r="H14" t="s">
        <v>844</v>
      </c>
      <c r="I14" t="s">
        <v>141</v>
      </c>
      <c r="M14" s="2" t="s">
        <v>752</v>
      </c>
      <c r="N14" s="12" t="s">
        <v>935</v>
      </c>
      <c r="O14" s="12"/>
      <c r="P14" s="12"/>
      <c r="Q14" s="9"/>
      <c r="R14" s="2" t="s">
        <v>935</v>
      </c>
      <c r="S14" s="12" t="s">
        <v>935</v>
      </c>
      <c r="T14" s="12"/>
      <c r="U14" s="12"/>
      <c r="V14" s="9"/>
      <c r="W14" t="b">
        <f>IF(OR('Nom du personnage'!U51=E72,'Nom du personnage'!U51=E73,'Nom du personnage'!U51=E74,'Nom du personnage'!U51=E75,'Nom du personnage'!U51=E76),VLOOKUP('Nom du personnage'!U51,'Lecture et écriture'!E72:I76,2,FALSE),FALSE)</f>
        <v>0</v>
      </c>
      <c r="X14" t="str">
        <f>IF(W14=FALSE,$M14,IF(Z14&gt;=0,W14,$M14))</f>
        <v>Lecture et écriture - Runique</v>
      </c>
      <c r="Y14">
        <f>IF(W14=X14,0,2)</f>
        <v>2</v>
      </c>
      <c r="Z14">
        <f ca="1">SUMIF('Nom du personnage'!$C$65:$AC$85,'Lecture et écriture'!W14)</f>
        <v>0</v>
      </c>
      <c r="AA14" s="9" t="b">
        <f>IF(OR('Nom du personnage'!U51=$E$2,'Nom du personnage'!U51=$E$3,'Nom du personnage'!U51=$E$4,'Nom du personnage'!U51=$E$5,'Nom du personnage'!U51=$E$6),VLOOKUP('Nom du personnage'!U51,'Lecture et écriture'!E72:I76,2,FALSE),FALSE)</f>
        <v>0</v>
      </c>
      <c r="AB14" s="9" t="str">
        <f t="shared" si="4"/>
        <v>Lecture et écriture - Runique</v>
      </c>
      <c r="AC14" s="9">
        <f t="shared" si="5"/>
        <v>2</v>
      </c>
      <c r="AD14" s="9" cm="1">
        <f t="array" ref="AD14">MIN(IF(OR('Nom du personnage'!$C$65:$L$85=AA14,'Nom du personnage'!$Q$65:$Z$85=AA14)=TRUE,1,IF(SUMIF($AD$4:$AD$15,1,$AD$4:$AD$15)=1,-1,0)))</f>
        <v>1</v>
      </c>
      <c r="AE14" t="b">
        <f>IF(OR('Nom du personnage'!U51=$E$2,'Nom du personnage'!U51=$E$3,'Nom du personnage'!U51=$E$4,'Nom du personnage'!U51=$E$5,'Nom du personnage'!U51=$E$6),VLOOKUP('Nom du personnage'!U51,'Lecture et écriture'!E72:I76,2,FALSE),FALSE)</f>
        <v>0</v>
      </c>
      <c r="AF14" t="str">
        <f>IF(AE14=FALSE,$M14,IF(AH14&gt;=0,AE14,F78))</f>
        <v>Lecture et écriture - Runique</v>
      </c>
      <c r="AG14">
        <f t="shared" si="1"/>
        <v>1</v>
      </c>
      <c r="AH14" cm="1">
        <f t="array" ref="AH14">MIN(IF(OR('Nom du personnage'!$C$65:$L$85=AE14,'Nom du personnage'!$Q$65:$Z$85=AE14)=TRUE,1,IF(SUMIF($AH$4:$AH$15,1,$AH$4:$AH$15)=1,-1,0)))</f>
        <v>1</v>
      </c>
      <c r="AI14" s="9" t="b">
        <f>IF(OR('Nom du personnage'!U51=$E$2,'Nom du personnage'!U51=$E$3,'Nom du personnage'!U51=$E$4,'Nom du personnage'!U51=$E$5,'Nom du personnage'!U51=$E$6),VLOOKUP('Nom du personnage'!U51,'Lecture et écriture'!E72:I76,2,FALSE),FALSE)</f>
        <v>0</v>
      </c>
      <c r="AJ14" s="9" t="str">
        <f>IF(AI14=FALSE,$M14,IF(AL14&gt;=0,AI14,$F77))</f>
        <v>Lecture et écriture - Runique</v>
      </c>
      <c r="AK14" s="9">
        <f t="shared" si="2"/>
        <v>1</v>
      </c>
      <c r="AL14" s="9" cm="1">
        <f t="array" ref="AL14">MIN(IF(OR('Nom du personnage'!$C$65:$L$85=AI14,'Nom du personnage'!$Q$65:$Z$85=AI14)=TRUE,1,IF(SUMIF($AL$4:$AL$15,1,$AL$4:$AL$15)=1,-1,0)))</f>
        <v>1</v>
      </c>
      <c r="AM14" t="b">
        <f>IF(OR('Nom du personnage'!U51=$E$2,'Nom du personnage'!U51=$E$3,'Nom du personnage'!U51=$E$4,'Nom du personnage'!U51=$E$5,'Nom du personnage'!U51=$E$6),VLOOKUP('Nom du personnage'!U51,'Lecture et écriture'!E72:I76,2,FALSE),FALSE)</f>
        <v>0</v>
      </c>
      <c r="AN14" t="str">
        <f t="shared" si="0"/>
        <v>Lecture et écriture - Runique</v>
      </c>
      <c r="AO14">
        <f t="shared" si="3"/>
        <v>2</v>
      </c>
      <c r="AP14" cm="1">
        <f t="array" ref="AP14">MIN(IF(OR('Nom du personnage'!$C$65:$L$85=AM14,'Nom du personnage'!$Q$65:$Z$85=AM14)=TRUE,1,IF(SUMIF($AP$4:$AP$15,1,$AP$4:$AP$15)=1,-1,0)))</f>
        <v>1</v>
      </c>
      <c r="AR14" s="2" t="s">
        <v>947</v>
      </c>
      <c r="AS14" t="str">
        <f>IF('Nom du personnage'!$F$51='Lecture et écriture'!$N$2,'Lecture et écriture'!O14,IF('Nom du personnage'!$F$51='Lecture et écriture'!$S$2,'Lecture et écriture'!T14,IF('Nom du personnage'!$F$51='Lecture et écriture'!$W$2,'Lecture et écriture'!X14,IF('Nom du personnage'!$F$51='Lecture et écriture'!$AA$2,'Lecture et écriture'!AB14,IF('Nom du personnage'!$F$51='Lecture et écriture'!$AE$2,'Lecture et écriture'!AF14,IF('Nom du personnage'!$F$51='Lecture et écriture'!$AI$2,'Lecture et écriture'!AJ14,IF('Nom du personnage'!$F$51='Lecture et écriture'!$AM$2,'Lecture et écriture'!AN14,IF('Nom du personnage'!$F$51=$R$2,"",FALSE))))))))</f>
        <v>Lecture et écriture - Runique</v>
      </c>
      <c r="AT14">
        <f>IF('Nom du personnage'!$F$51='Lecture et écriture'!$N$2,'Lecture et écriture'!P14,IF('Nom du personnage'!$F$51='Lecture et écriture'!$S$2,'Lecture et écriture'!U14,IF('Nom du personnage'!$F$51='Lecture et écriture'!$W$2,'Lecture et écriture'!Y14,IF('Nom du personnage'!$F$51='Lecture et écriture'!$AA$2,'Lecture et écriture'!AC14,IF('Nom du personnage'!$F$51='Lecture et écriture'!$AE$2,'Lecture et écriture'!AG14,IF('Nom du personnage'!$F$51='Lecture et écriture'!$AI$2,'Lecture et écriture'!AK14,IF('Nom du personnage'!$F$51='Lecture et écriture'!$AM$2,'Lecture et écriture'!AO14,IF('Nom du personnage'!$F$51=$R$2,0,FALSE))))))))</f>
        <v>2</v>
      </c>
    </row>
    <row r="15" spans="1:46">
      <c r="A15" t="s">
        <v>103</v>
      </c>
      <c r="E15" t="s">
        <v>142</v>
      </c>
      <c r="F15" s="2" t="s">
        <v>771</v>
      </c>
      <c r="G15" s="2" t="b" cm="1">
        <f t="array" ref="G15">OR('Nom du personnage'!$C$65:$L$85='Lecture et écriture'!F15,'Nom du personnage'!$Q$65:$Z$85=F15)</f>
        <v>0</v>
      </c>
      <c r="H15" t="s">
        <v>856</v>
      </c>
      <c r="I15" t="s">
        <v>142</v>
      </c>
      <c r="M15" s="2" t="s">
        <v>753</v>
      </c>
      <c r="N15" s="12" t="s">
        <v>935</v>
      </c>
      <c r="O15" s="12"/>
      <c r="P15" s="12"/>
      <c r="Q15" s="9"/>
      <c r="R15" s="2" t="s">
        <v>935</v>
      </c>
      <c r="S15" s="12" t="s">
        <v>935</v>
      </c>
      <c r="T15" s="12"/>
      <c r="U15" s="12"/>
      <c r="V15" s="9"/>
      <c r="W15" s="2" t="s">
        <v>935</v>
      </c>
      <c r="X15" s="2"/>
      <c r="Y15" s="2"/>
      <c r="AA15" s="9" t="b">
        <f>IF(OR('Nom du personnage'!U51=$E$2,'Nom du personnage'!U51=$E$3,'Nom du personnage'!U51=$E$4,'Nom du personnage'!U51=$E$5,'Nom du personnage'!U51=$E$6),VLOOKUP('Nom du personnage'!U51,'Lecture et écriture'!E79:I83,2,FALSE),FALSE)</f>
        <v>0</v>
      </c>
      <c r="AB15" s="9" t="str">
        <f t="shared" si="4"/>
        <v>Lecture et écriture - Sylvestre</v>
      </c>
      <c r="AC15" s="9">
        <f t="shared" si="5"/>
        <v>2</v>
      </c>
      <c r="AD15" s="9" cm="1">
        <f t="array" ref="AD15">MIN(IF(OR('Nom du personnage'!$C$65:$L$85=AA15,'Nom du personnage'!$Q$65:$Z$85=AA15)=TRUE,1,IF(SUMIF($AD$4:$AD$15,1,$AD$4:$AD$15)=1,-1,0)))</f>
        <v>1</v>
      </c>
      <c r="AE15" t="b">
        <f>IF(OR('Nom du personnage'!U51=$E$2,'Nom du personnage'!U51=$E$3,'Nom du personnage'!U51=$E$4,'Nom du personnage'!U51=$E$5,'Nom du personnage'!U51=$E$6),VLOOKUP('Nom du personnage'!U51,'Lecture et écriture'!E79:I83,2,FALSE),FALSE)</f>
        <v>0</v>
      </c>
      <c r="AF15" t="str">
        <f>IF(AE15=FALSE,$M15,IF(AH15&gt;=0,AE15,F85))</f>
        <v>Lecture et écriture - Sylvestre</v>
      </c>
      <c r="AG15">
        <f t="shared" si="1"/>
        <v>1</v>
      </c>
      <c r="AH15" cm="1">
        <f t="array" ref="AH15">MIN(IF(OR('Nom du personnage'!$C$65:$L$85=AE15,'Nom du personnage'!$Q$65:$Z$85=AE15)=TRUE,1,IF(SUMIF($AH$4:$AH$15,1,$AH$4:$AH$15)=1,-1,0)))</f>
        <v>1</v>
      </c>
      <c r="AI15" s="9" t="b">
        <f>IF(OR('Nom du personnage'!U51=$E$2,'Nom du personnage'!U51=$E$3,'Nom du personnage'!U51=$E$4,'Nom du personnage'!U51=$E$5,'Nom du personnage'!U51=$E$6),VLOOKUP('Nom du personnage'!U51,'Lecture et écriture'!E79:I83,2,FALSE),FALSE)</f>
        <v>0</v>
      </c>
      <c r="AJ15" s="9" t="str">
        <f>IF(AI15=FALSE,$M15,IF(AL15&gt;=0,AI15,$F84))</f>
        <v>Lecture et écriture - Sylvestre</v>
      </c>
      <c r="AK15" s="9">
        <f t="shared" si="2"/>
        <v>1</v>
      </c>
      <c r="AL15" s="9" cm="1">
        <f t="array" ref="AL15">MIN(IF(OR('Nom du personnage'!$C$65:$L$85=AI15,'Nom du personnage'!$Q$65:$Z$85=AI15)=TRUE,1,IF(SUMIF($AL$4:$AL$15,1,$AL$4:$AL$15)=1,-1,0)))</f>
        <v>1</v>
      </c>
      <c r="AM15" t="b">
        <f>IF(OR('Nom du personnage'!U51=$E$2,'Nom du personnage'!U51=$E$3,'Nom du personnage'!U51=$E$4,'Nom du personnage'!U51=$E$5,'Nom du personnage'!U51=$E$6),VLOOKUP('Nom du personnage'!U51,'Lecture et écriture'!E79:I83,2,FALSE),FALSE)</f>
        <v>0</v>
      </c>
      <c r="AN15" t="str">
        <f t="shared" si="0"/>
        <v>Lecture et écriture - Sylvestre</v>
      </c>
      <c r="AO15">
        <f t="shared" si="3"/>
        <v>2</v>
      </c>
      <c r="AP15" cm="1">
        <f t="array" ref="AP15">MIN(IF(OR('Nom du personnage'!$C$65:$L$85=AM15,'Nom du personnage'!$Q$65:$Z$85=AM15)=TRUE,1,IF(SUMIF($AP$4:$AP$15,1,$AP$4:$AP$15)=1,-1,0)))</f>
        <v>1</v>
      </c>
      <c r="AR15" s="2" t="s">
        <v>948</v>
      </c>
      <c r="AS15" t="str">
        <f>IF('Nom du personnage'!$F$51='Lecture et écriture'!$N$2,'Lecture et écriture'!O15,IF('Nom du personnage'!$F$51='Lecture et écriture'!$S$2,'Lecture et écriture'!T15,IF('Nom du personnage'!$F$51='Lecture et écriture'!$W$2,'Lecture et écriture'!X15,IF('Nom du personnage'!$F$51='Lecture et écriture'!$AA$2,'Lecture et écriture'!AB15,IF('Nom du personnage'!$F$51='Lecture et écriture'!$AE$2,'Lecture et écriture'!AF15,IF('Nom du personnage'!$F$51='Lecture et écriture'!$AI$2,'Lecture et écriture'!AJ15,IF('Nom du personnage'!$F$51='Lecture et écriture'!$AM$2,'Lecture et écriture'!AN15,IF('Nom du personnage'!$F$51=$R$2,"",FALSE))))))))</f>
        <v>Lecture et écriture - Sylvestre</v>
      </c>
      <c r="AT15">
        <f>IF('Nom du personnage'!$F$51='Lecture et écriture'!$N$2,'Lecture et écriture'!P15,IF('Nom du personnage'!$F$51='Lecture et écriture'!$S$2,'Lecture et écriture'!U15,IF('Nom du personnage'!$F$51='Lecture et écriture'!$W$2,'Lecture et écriture'!Y15,IF('Nom du personnage'!$F$51='Lecture et écriture'!$AA$2,'Lecture et écriture'!AC15,IF('Nom du personnage'!$F$51='Lecture et écriture'!$AE$2,'Lecture et écriture'!AG15,IF('Nom du personnage'!$F$51='Lecture et écriture'!$AI$2,'Lecture et écriture'!AK15,IF('Nom du personnage'!$F$51='Lecture et écriture'!$AM$2,'Lecture et écriture'!AO15,IF('Nom du personnage'!$F$51=$R$2,0,FALSE))))))))</f>
        <v>2</v>
      </c>
    </row>
    <row r="16" spans="1:46">
      <c r="A16" t="s">
        <v>148</v>
      </c>
      <c r="E16" s="4" t="s">
        <v>39</v>
      </c>
      <c r="F16" s="2" t="s">
        <v>785</v>
      </c>
      <c r="G16" s="2" t="b" cm="1">
        <f t="array" ref="G16">OR('Nom du personnage'!$C$65:$L$85='Lecture et écriture'!F16,'Nom du personnage'!$Q$65:$Z$85=F16)</f>
        <v>0</v>
      </c>
      <c r="H16" s="7" t="s">
        <v>870</v>
      </c>
      <c r="I16" s="4" t="s">
        <v>39</v>
      </c>
      <c r="AE16" s="13"/>
      <c r="AF16" s="13"/>
      <c r="AG16" s="13"/>
      <c r="AH16" s="13"/>
      <c r="AI16" s="13"/>
      <c r="AJ16" s="11"/>
      <c r="AK16" s="11"/>
      <c r="AL16" s="11"/>
      <c r="AR16" s="2"/>
    </row>
    <row r="17" spans="1:44">
      <c r="A17" t="s">
        <v>90</v>
      </c>
      <c r="E17" s="4" t="s">
        <v>63</v>
      </c>
      <c r="F17" t="s">
        <v>797</v>
      </c>
      <c r="G17" s="2" t="b" cm="1">
        <f t="array" ref="G17">OR('Nom du personnage'!$C$65:$L$85='Lecture et écriture'!F17,'Nom du personnage'!$Q$65:$Z$85=F17)</f>
        <v>0</v>
      </c>
      <c r="H17" t="s">
        <v>882</v>
      </c>
      <c r="I17" s="4" t="s">
        <v>63</v>
      </c>
      <c r="N17" s="2"/>
      <c r="O17" s="2"/>
      <c r="P17" s="2"/>
      <c r="AR17" s="2"/>
    </row>
    <row r="18" spans="1:44">
      <c r="A18" t="s">
        <v>100</v>
      </c>
      <c r="E18" s="4" t="s">
        <v>73</v>
      </c>
      <c r="F18" t="s">
        <v>809</v>
      </c>
      <c r="G18" s="2" t="b" cm="1">
        <f t="array" ref="G18">OR('Nom du personnage'!$C$65:$L$85='Lecture et écriture'!F18,'Nom du personnage'!$Q$65:$Z$85=F18)</f>
        <v>0</v>
      </c>
      <c r="H18" s="7" t="s">
        <v>894</v>
      </c>
      <c r="I18" s="4" t="s">
        <v>73</v>
      </c>
      <c r="M18" s="2"/>
      <c r="N18" s="2"/>
      <c r="O18" s="2"/>
      <c r="P18" s="2"/>
      <c r="AR18" s="2"/>
    </row>
    <row r="19" spans="1:44">
      <c r="A19" t="s">
        <v>106</v>
      </c>
      <c r="E19" s="4" t="s">
        <v>110</v>
      </c>
      <c r="F19" t="s">
        <v>821</v>
      </c>
      <c r="G19" s="2" t="b" cm="1">
        <f t="array" ref="G19">OR('Nom du personnage'!$C$65:$L$85='Lecture et écriture'!F19,'Nom du personnage'!$Q$65:$Z$85=F19)</f>
        <v>0</v>
      </c>
      <c r="H19" t="s">
        <v>906</v>
      </c>
      <c r="I19" s="4" t="s">
        <v>110</v>
      </c>
      <c r="M19" s="2"/>
      <c r="N19" s="2"/>
      <c r="O19" s="2"/>
      <c r="P19" s="2"/>
      <c r="AR19" s="2"/>
    </row>
    <row r="20" spans="1:44">
      <c r="A20" t="s">
        <v>78</v>
      </c>
      <c r="E20" s="4" t="s">
        <v>113</v>
      </c>
      <c r="F20" t="s">
        <v>833</v>
      </c>
      <c r="G20" s="2" t="b" cm="1">
        <f t="array" ref="G20">OR('Nom du personnage'!$C$65:$L$85='Lecture et écriture'!F20,'Nom du personnage'!$Q$65:$Z$85=F20)</f>
        <v>0</v>
      </c>
      <c r="H20" s="7" t="s">
        <v>918</v>
      </c>
      <c r="I20" s="4" t="s">
        <v>113</v>
      </c>
      <c r="AR20" s="2"/>
    </row>
    <row r="21" spans="1:44">
      <c r="A21" t="s">
        <v>34</v>
      </c>
      <c r="E21" t="s">
        <v>141</v>
      </c>
      <c r="F21" s="2" t="s">
        <v>760</v>
      </c>
      <c r="G21" s="2" t="b" cm="1">
        <f t="array" ref="G21">OR('Nom du personnage'!$C$65:$L$85='Lecture et écriture'!F21,'Nom du personnage'!$Q$65:$Z$85=F21)</f>
        <v>0</v>
      </c>
      <c r="H21" t="s">
        <v>845</v>
      </c>
      <c r="I21" t="s">
        <v>141</v>
      </c>
      <c r="AR21" s="2"/>
    </row>
    <row r="22" spans="1:44">
      <c r="A22" t="s">
        <v>46</v>
      </c>
      <c r="E22" t="s">
        <v>142</v>
      </c>
      <c r="F22" s="2" t="s">
        <v>772</v>
      </c>
      <c r="G22" s="2" t="b" cm="1">
        <f t="array" ref="G22">OR('Nom du personnage'!$C$65:$L$85='Lecture et écriture'!F22,'Nom du personnage'!$Q$65:$Z$85=F22)</f>
        <v>0</v>
      </c>
      <c r="H22" t="s">
        <v>857</v>
      </c>
      <c r="I22" t="s">
        <v>142</v>
      </c>
      <c r="N22" s="2"/>
      <c r="AR22" s="2"/>
    </row>
    <row r="23" spans="1:44">
      <c r="A23" t="s">
        <v>109</v>
      </c>
      <c r="E23" s="4" t="s">
        <v>39</v>
      </c>
      <c r="F23" s="2" t="s">
        <v>786</v>
      </c>
      <c r="G23" s="2" t="b" cm="1">
        <f t="array" ref="G23">OR('Nom du personnage'!$C$65:$L$85='Lecture et écriture'!F23,'Nom du personnage'!$Q$65:$Z$85=F23)</f>
        <v>0</v>
      </c>
      <c r="H23" s="7" t="s">
        <v>871</v>
      </c>
      <c r="I23" s="4" t="s">
        <v>39</v>
      </c>
      <c r="N23" s="2"/>
      <c r="AR23" s="2"/>
    </row>
    <row r="24" spans="1:44">
      <c r="A24" t="s">
        <v>112</v>
      </c>
      <c r="E24" s="4" t="s">
        <v>63</v>
      </c>
      <c r="F24" t="s">
        <v>798</v>
      </c>
      <c r="G24" s="2" t="b" cm="1">
        <f t="array" ref="G24">OR('Nom du personnage'!$C$65:$L$85='Lecture et écriture'!F24,'Nom du personnage'!$Q$65:$Z$85=F24)</f>
        <v>0</v>
      </c>
      <c r="H24" t="s">
        <v>883</v>
      </c>
      <c r="I24" s="4" t="s">
        <v>63</v>
      </c>
      <c r="N24" s="2"/>
      <c r="AR24" s="2"/>
    </row>
    <row r="25" spans="1:44">
      <c r="A25" s="2" t="s">
        <v>675</v>
      </c>
      <c r="E25" s="4" t="s">
        <v>73</v>
      </c>
      <c r="F25" t="s">
        <v>810</v>
      </c>
      <c r="G25" s="2" t="b" cm="1">
        <f t="array" ref="G25">OR('Nom du personnage'!$C$65:$L$85='Lecture et écriture'!F25,'Nom du personnage'!$Q$65:$Z$85=F25)</f>
        <v>0</v>
      </c>
      <c r="H25" s="7" t="s">
        <v>895</v>
      </c>
      <c r="I25" s="4" t="s">
        <v>73</v>
      </c>
      <c r="N25" s="2"/>
      <c r="AR25" s="2"/>
    </row>
    <row r="26" spans="1:44">
      <c r="A26" s="2" t="s">
        <v>676</v>
      </c>
      <c r="E26" s="4" t="s">
        <v>110</v>
      </c>
      <c r="F26" t="s">
        <v>822</v>
      </c>
      <c r="G26" s="2" t="b" cm="1">
        <f t="array" ref="G26">OR('Nom du personnage'!$C$65:$L$85='Lecture et écriture'!F26,'Nom du personnage'!$Q$65:$Z$85=F26)</f>
        <v>0</v>
      </c>
      <c r="H26" t="s">
        <v>907</v>
      </c>
      <c r="I26" s="4" t="s">
        <v>110</v>
      </c>
      <c r="N26" s="2"/>
      <c r="AR26" s="2"/>
    </row>
    <row r="27" spans="1:44">
      <c r="A27" s="2" t="s">
        <v>677</v>
      </c>
      <c r="E27" s="4" t="s">
        <v>113</v>
      </c>
      <c r="F27" t="s">
        <v>834</v>
      </c>
      <c r="G27" s="2" t="b" cm="1">
        <f t="array" ref="G27">OR('Nom du personnage'!$C$65:$L$85='Lecture et écriture'!F27,'Nom du personnage'!$Q$65:$Z$85=F27)</f>
        <v>0</v>
      </c>
      <c r="H27" s="7" t="s">
        <v>919</v>
      </c>
      <c r="I27" s="4" t="s">
        <v>113</v>
      </c>
      <c r="N27" s="2"/>
      <c r="AR27" s="2"/>
    </row>
    <row r="28" spans="1:44">
      <c r="A28" s="2" t="s">
        <v>678</v>
      </c>
      <c r="E28" t="s">
        <v>141</v>
      </c>
      <c r="F28" s="2" t="s">
        <v>761</v>
      </c>
      <c r="G28" s="2" t="b" cm="1">
        <f t="array" ref="G28">OR('Nom du personnage'!$C$65:$L$85='Lecture et écriture'!F28,'Nom du personnage'!$Q$65:$Z$85=F28)</f>
        <v>0</v>
      </c>
      <c r="H28" t="s">
        <v>846</v>
      </c>
      <c r="I28" t="s">
        <v>141</v>
      </c>
      <c r="N28" s="2"/>
    </row>
    <row r="29" spans="1:44">
      <c r="A29" t="s">
        <v>93</v>
      </c>
      <c r="E29" t="s">
        <v>142</v>
      </c>
      <c r="F29" s="2" t="s">
        <v>773</v>
      </c>
      <c r="G29" s="2" t="b" cm="1">
        <f t="array" ref="G29">OR('Nom du personnage'!$C$65:$L$85='Lecture et écriture'!F29,'Nom du personnage'!$Q$65:$Z$85=F29)</f>
        <v>0</v>
      </c>
      <c r="H29" t="s">
        <v>858</v>
      </c>
      <c r="I29" t="s">
        <v>142</v>
      </c>
      <c r="N29" s="2"/>
    </row>
    <row r="30" spans="1:44">
      <c r="E30" s="4" t="s">
        <v>39</v>
      </c>
      <c r="F30" s="2" t="s">
        <v>787</v>
      </c>
      <c r="G30" s="2" t="b" cm="1">
        <f t="array" ref="G30">OR('Nom du personnage'!$C$65:$L$85='Lecture et écriture'!F30,'Nom du personnage'!$Q$65:$Z$85=F30)</f>
        <v>0</v>
      </c>
      <c r="H30" s="7" t="s">
        <v>872</v>
      </c>
      <c r="I30" s="4" t="s">
        <v>39</v>
      </c>
      <c r="N30" s="2"/>
    </row>
    <row r="31" spans="1:44">
      <c r="E31" s="4" t="s">
        <v>63</v>
      </c>
      <c r="F31" t="s">
        <v>799</v>
      </c>
      <c r="G31" s="2" t="b" cm="1">
        <f t="array" ref="G31">OR('Nom du personnage'!$C$65:$L$85='Lecture et écriture'!F31,'Nom du personnage'!$Q$65:$Z$85=F31)</f>
        <v>0</v>
      </c>
      <c r="H31" t="s">
        <v>884</v>
      </c>
      <c r="I31" s="4" t="s">
        <v>63</v>
      </c>
      <c r="N31" s="2"/>
    </row>
    <row r="32" spans="1:44">
      <c r="E32" s="4" t="s">
        <v>73</v>
      </c>
      <c r="F32" t="s">
        <v>811</v>
      </c>
      <c r="G32" s="2" t="b" cm="1">
        <f t="array" ref="G32">OR('Nom du personnage'!$C$65:$L$85='Lecture et écriture'!F32,'Nom du personnage'!$Q$65:$Z$85=F32)</f>
        <v>0</v>
      </c>
      <c r="H32" s="7" t="s">
        <v>896</v>
      </c>
      <c r="I32" s="4" t="s">
        <v>73</v>
      </c>
    </row>
    <row r="33" spans="5:14">
      <c r="E33" s="4" t="s">
        <v>110</v>
      </c>
      <c r="F33" t="s">
        <v>823</v>
      </c>
      <c r="G33" s="2" t="b" cm="1">
        <f t="array" ref="G33">OR('Nom du personnage'!$C$65:$L$85='Lecture et écriture'!F33,'Nom du personnage'!$Q$65:$Z$85=F33)</f>
        <v>0</v>
      </c>
      <c r="H33" t="s">
        <v>908</v>
      </c>
      <c r="I33" s="4" t="s">
        <v>110</v>
      </c>
      <c r="N33" s="2"/>
    </row>
    <row r="34" spans="5:14">
      <c r="E34" s="4" t="s">
        <v>113</v>
      </c>
      <c r="F34" t="s">
        <v>835</v>
      </c>
      <c r="G34" s="2" t="b" cm="1">
        <f t="array" ref="G34">OR('Nom du personnage'!$C$65:$L$85='Lecture et écriture'!F34,'Nom du personnage'!$Q$65:$Z$85=F34)</f>
        <v>0</v>
      </c>
      <c r="H34" s="7" t="s">
        <v>920</v>
      </c>
      <c r="I34" s="4" t="s">
        <v>113</v>
      </c>
      <c r="N34" s="2"/>
    </row>
    <row r="35" spans="5:14">
      <c r="E35" t="s">
        <v>141</v>
      </c>
      <c r="F35" s="2" t="s">
        <v>762</v>
      </c>
      <c r="G35" s="2" t="b" cm="1">
        <f t="array" ref="G35">OR('Nom du personnage'!$C$65:$L$85='Lecture et écriture'!F35,'Nom du personnage'!$Q$65:$Z$85=F35)</f>
        <v>0</v>
      </c>
      <c r="H35" t="s">
        <v>847</v>
      </c>
      <c r="I35" t="s">
        <v>141</v>
      </c>
      <c r="N35" s="2"/>
    </row>
    <row r="36" spans="5:14">
      <c r="E36" t="s">
        <v>142</v>
      </c>
      <c r="F36" s="2" t="s">
        <v>774</v>
      </c>
      <c r="G36" s="2" t="b" cm="1">
        <f t="array" ref="G36">OR('Nom du personnage'!$C$65:$L$85='Lecture et écriture'!F36,'Nom du personnage'!$Q$65:$Z$85=F36)</f>
        <v>0</v>
      </c>
      <c r="H36" t="s">
        <v>859</v>
      </c>
      <c r="I36" t="s">
        <v>142</v>
      </c>
    </row>
    <row r="37" spans="5:14">
      <c r="E37" s="4" t="s">
        <v>39</v>
      </c>
      <c r="F37" s="2" t="s">
        <v>788</v>
      </c>
      <c r="G37" s="2" t="b" cm="1">
        <f t="array" ref="G37">OR('Nom du personnage'!$C$65:$L$85='Lecture et écriture'!F37,'Nom du personnage'!$Q$65:$Z$85=F37)</f>
        <v>0</v>
      </c>
      <c r="H37" s="7" t="s">
        <v>873</v>
      </c>
      <c r="I37" s="4" t="s">
        <v>39</v>
      </c>
    </row>
    <row r="38" spans="5:14">
      <c r="E38" s="4" t="s">
        <v>63</v>
      </c>
      <c r="F38" t="s">
        <v>800</v>
      </c>
      <c r="G38" s="2" t="b" cm="1">
        <f t="array" ref="G38">OR('Nom du personnage'!$C$65:$L$85='Lecture et écriture'!F38,'Nom du personnage'!$Q$65:$Z$85=F38)</f>
        <v>0</v>
      </c>
      <c r="H38" t="s">
        <v>885</v>
      </c>
      <c r="I38" s="4" t="s">
        <v>63</v>
      </c>
    </row>
    <row r="39" spans="5:14">
      <c r="E39" s="4" t="s">
        <v>73</v>
      </c>
      <c r="F39" t="s">
        <v>812</v>
      </c>
      <c r="G39" s="2" t="b" cm="1">
        <f t="array" ref="G39">OR('Nom du personnage'!$C$65:$L$85='Lecture et écriture'!F39,'Nom du personnage'!$Q$65:$Z$85=F39)</f>
        <v>0</v>
      </c>
      <c r="H39" s="7" t="s">
        <v>897</v>
      </c>
      <c r="I39" s="4" t="s">
        <v>73</v>
      </c>
    </row>
    <row r="40" spans="5:14">
      <c r="E40" s="4" t="s">
        <v>110</v>
      </c>
      <c r="F40" t="s">
        <v>824</v>
      </c>
      <c r="G40" s="2" t="b" cm="1">
        <f t="array" ref="G40">OR('Nom du personnage'!$C$65:$L$85='Lecture et écriture'!F40,'Nom du personnage'!$Q$65:$Z$85=F40)</f>
        <v>0</v>
      </c>
      <c r="H40" t="s">
        <v>909</v>
      </c>
      <c r="I40" s="4" t="s">
        <v>110</v>
      </c>
    </row>
    <row r="41" spans="5:14">
      <c r="E41" s="4" t="s">
        <v>113</v>
      </c>
      <c r="F41" t="s">
        <v>836</v>
      </c>
      <c r="G41" s="2" t="b" cm="1">
        <f t="array" ref="G41">OR('Nom du personnage'!$C$65:$L$85='Lecture et écriture'!F41,'Nom du personnage'!$Q$65:$Z$85=F41)</f>
        <v>0</v>
      </c>
      <c r="H41" s="7" t="s">
        <v>921</v>
      </c>
      <c r="I41" s="4" t="s">
        <v>113</v>
      </c>
    </row>
    <row r="42" spans="5:14">
      <c r="E42" t="s">
        <v>141</v>
      </c>
      <c r="F42" s="2" t="s">
        <v>763</v>
      </c>
      <c r="G42" s="2" t="b" cm="1">
        <f t="array" ref="G42">OR('Nom du personnage'!$C$65:$L$85='Lecture et écriture'!F42,'Nom du personnage'!$Q$65:$Z$85=F42)</f>
        <v>0</v>
      </c>
      <c r="H42" t="s">
        <v>848</v>
      </c>
      <c r="I42" t="s">
        <v>141</v>
      </c>
    </row>
    <row r="43" spans="5:14">
      <c r="E43" t="s">
        <v>142</v>
      </c>
      <c r="F43" s="2" t="s">
        <v>775</v>
      </c>
      <c r="G43" s="2" t="b" cm="1">
        <f t="array" ref="G43">OR('Nom du personnage'!$C$65:$L$85='Lecture et écriture'!F43,'Nom du personnage'!$Q$65:$Z$85=F43)</f>
        <v>0</v>
      </c>
      <c r="H43" t="s">
        <v>860</v>
      </c>
      <c r="I43" t="s">
        <v>142</v>
      </c>
    </row>
    <row r="44" spans="5:14">
      <c r="E44" s="4" t="s">
        <v>39</v>
      </c>
      <c r="F44" s="2" t="s">
        <v>789</v>
      </c>
      <c r="G44" s="2" t="b" cm="1">
        <f t="array" ref="G44">OR('Nom du personnage'!$C$65:$L$85='Lecture et écriture'!F44,'Nom du personnage'!$Q$65:$Z$85=F44)</f>
        <v>0</v>
      </c>
      <c r="H44" s="7" t="s">
        <v>874</v>
      </c>
      <c r="I44" s="4" t="s">
        <v>39</v>
      </c>
    </row>
    <row r="45" spans="5:14">
      <c r="E45" s="4" t="s">
        <v>63</v>
      </c>
      <c r="F45" t="s">
        <v>801</v>
      </c>
      <c r="G45" s="2" t="b" cm="1">
        <f t="array" ref="G45">OR('Nom du personnage'!$C$65:$L$85='Lecture et écriture'!F45,'Nom du personnage'!$Q$65:$Z$85=F45)</f>
        <v>0</v>
      </c>
      <c r="H45" t="s">
        <v>886</v>
      </c>
      <c r="I45" s="4" t="s">
        <v>63</v>
      </c>
    </row>
    <row r="46" spans="5:14">
      <c r="E46" s="4" t="s">
        <v>73</v>
      </c>
      <c r="F46" t="s">
        <v>813</v>
      </c>
      <c r="G46" s="2" t="b" cm="1">
        <f t="array" ref="G46">OR('Nom du personnage'!$C$65:$L$85='Lecture et écriture'!F46,'Nom du personnage'!$Q$65:$Z$85=F46)</f>
        <v>0</v>
      </c>
      <c r="H46" s="7" t="s">
        <v>898</v>
      </c>
      <c r="I46" s="4" t="s">
        <v>73</v>
      </c>
    </row>
    <row r="47" spans="5:14">
      <c r="E47" s="4" t="s">
        <v>110</v>
      </c>
      <c r="F47" t="s">
        <v>825</v>
      </c>
      <c r="G47" s="2" t="b" cm="1">
        <f t="array" ref="G47">OR('Nom du personnage'!$C$65:$L$85='Lecture et écriture'!F47,'Nom du personnage'!$Q$65:$Z$85=F47)</f>
        <v>0</v>
      </c>
      <c r="H47" t="s">
        <v>910</v>
      </c>
      <c r="I47" s="4" t="s">
        <v>110</v>
      </c>
    </row>
    <row r="48" spans="5:14">
      <c r="E48" s="4" t="s">
        <v>113</v>
      </c>
      <c r="F48" t="s">
        <v>837</v>
      </c>
      <c r="G48" s="2" t="b" cm="1">
        <f t="array" ref="G48">OR('Nom du personnage'!$C$65:$L$85='Lecture et écriture'!F48,'Nom du personnage'!$Q$65:$Z$85=F48)</f>
        <v>0</v>
      </c>
      <c r="H48" s="7" t="s">
        <v>922</v>
      </c>
      <c r="I48" s="4" t="s">
        <v>113</v>
      </c>
    </row>
    <row r="49" spans="5:9">
      <c r="E49" t="s">
        <v>141</v>
      </c>
      <c r="F49" s="2" t="s">
        <v>764</v>
      </c>
      <c r="G49" s="2" t="b" cm="1">
        <f t="array" ref="G49">OR('Nom du personnage'!$C$65:$L$85='Lecture et écriture'!F49,'Nom du personnage'!$Q$65:$Z$85=F49)</f>
        <v>0</v>
      </c>
      <c r="H49" t="s">
        <v>849</v>
      </c>
      <c r="I49" t="s">
        <v>141</v>
      </c>
    </row>
    <row r="50" spans="5:9">
      <c r="E50" t="s">
        <v>142</v>
      </c>
      <c r="F50" s="2" t="s">
        <v>776</v>
      </c>
      <c r="G50" s="2" t="b" cm="1">
        <f t="array" ref="G50">OR('Nom du personnage'!$C$65:$L$85='Lecture et écriture'!F50,'Nom du personnage'!$Q$65:$Z$85=F50)</f>
        <v>0</v>
      </c>
      <c r="H50" t="s">
        <v>861</v>
      </c>
      <c r="I50" t="s">
        <v>142</v>
      </c>
    </row>
    <row r="51" spans="5:9">
      <c r="E51" s="4" t="s">
        <v>39</v>
      </c>
      <c r="F51" s="2" t="s">
        <v>790</v>
      </c>
      <c r="G51" s="2" t="b" cm="1">
        <f t="array" ref="G51">OR('Nom du personnage'!$C$65:$L$85='Lecture et écriture'!F51,'Nom du personnage'!$Q$65:$Z$85=F51)</f>
        <v>0</v>
      </c>
      <c r="H51" s="7" t="s">
        <v>875</v>
      </c>
      <c r="I51" s="4" t="s">
        <v>39</v>
      </c>
    </row>
    <row r="52" spans="5:9">
      <c r="E52" s="4" t="s">
        <v>63</v>
      </c>
      <c r="F52" t="s">
        <v>802</v>
      </c>
      <c r="G52" s="2" t="b" cm="1">
        <f t="array" ref="G52">OR('Nom du personnage'!$C$65:$L$85='Lecture et écriture'!F52,'Nom du personnage'!$Q$65:$Z$85=F52)</f>
        <v>0</v>
      </c>
      <c r="H52" t="s">
        <v>887</v>
      </c>
      <c r="I52" s="4" t="s">
        <v>63</v>
      </c>
    </row>
    <row r="53" spans="5:9">
      <c r="E53" s="4" t="s">
        <v>73</v>
      </c>
      <c r="F53" t="s">
        <v>814</v>
      </c>
      <c r="G53" s="2" t="b" cm="1">
        <f t="array" ref="G53">OR('Nom du personnage'!$C$65:$L$85='Lecture et écriture'!F53,'Nom du personnage'!$Q$65:$Z$85=F53)</f>
        <v>0</v>
      </c>
      <c r="H53" s="7" t="s">
        <v>899</v>
      </c>
      <c r="I53" s="4" t="s">
        <v>73</v>
      </c>
    </row>
    <row r="54" spans="5:9">
      <c r="E54" s="4" t="s">
        <v>110</v>
      </c>
      <c r="F54" t="s">
        <v>826</v>
      </c>
      <c r="G54" s="2" t="b" cm="1">
        <f t="array" ref="G54">OR('Nom du personnage'!$C$65:$L$85='Lecture et écriture'!F54,'Nom du personnage'!$Q$65:$Z$85=F54)</f>
        <v>0</v>
      </c>
      <c r="H54" t="s">
        <v>911</v>
      </c>
      <c r="I54" s="4" t="s">
        <v>110</v>
      </c>
    </row>
    <row r="55" spans="5:9">
      <c r="E55" s="4" t="s">
        <v>113</v>
      </c>
      <c r="F55" t="s">
        <v>838</v>
      </c>
      <c r="G55" s="2" t="b" cm="1">
        <f t="array" ref="G55">OR('Nom du personnage'!$C$65:$L$85='Lecture et écriture'!F55,'Nom du personnage'!$Q$65:$Z$85=F55)</f>
        <v>0</v>
      </c>
      <c r="H55" s="7" t="s">
        <v>923</v>
      </c>
      <c r="I55" s="4" t="s">
        <v>113</v>
      </c>
    </row>
    <row r="56" spans="5:9">
      <c r="E56" t="s">
        <v>141</v>
      </c>
      <c r="F56" s="2" t="s">
        <v>765</v>
      </c>
      <c r="G56" s="2" t="b" cm="1">
        <f t="array" ref="G56">OR('Nom du personnage'!$C$65:$L$85='Lecture et écriture'!F56,'Nom du personnage'!$Q$65:$Z$85=F56)</f>
        <v>0</v>
      </c>
      <c r="H56" t="s">
        <v>850</v>
      </c>
      <c r="I56" t="s">
        <v>141</v>
      </c>
    </row>
    <row r="57" spans="5:9">
      <c r="E57" t="s">
        <v>142</v>
      </c>
      <c r="F57" s="2" t="s">
        <v>777</v>
      </c>
      <c r="G57" s="2" t="b" cm="1">
        <f t="array" ref="G57">OR('Nom du personnage'!$C$65:$L$85='Lecture et écriture'!F57,'Nom du personnage'!$Q$65:$Z$85=F57)</f>
        <v>0</v>
      </c>
      <c r="H57" t="s">
        <v>862</v>
      </c>
      <c r="I57" t="s">
        <v>142</v>
      </c>
    </row>
    <row r="58" spans="5:9">
      <c r="E58" s="4" t="s">
        <v>39</v>
      </c>
      <c r="F58" s="2" t="s">
        <v>791</v>
      </c>
      <c r="G58" s="2" t="b" cm="1">
        <f t="array" ref="G58">OR('Nom du personnage'!$C$65:$L$85='Lecture et écriture'!F58,'Nom du personnage'!$Q$65:$Z$85=F58)</f>
        <v>0</v>
      </c>
      <c r="H58" s="7" t="s">
        <v>876</v>
      </c>
      <c r="I58" s="4" t="s">
        <v>39</v>
      </c>
    </row>
    <row r="59" spans="5:9">
      <c r="E59" s="4" t="s">
        <v>63</v>
      </c>
      <c r="F59" t="s">
        <v>803</v>
      </c>
      <c r="G59" s="2" t="b" cm="1">
        <f t="array" ref="G59">OR('Nom du personnage'!$C$65:$L$85='Lecture et écriture'!F59,'Nom du personnage'!$Q$65:$Z$85=F59)</f>
        <v>0</v>
      </c>
      <c r="H59" t="s">
        <v>888</v>
      </c>
      <c r="I59" s="4" t="s">
        <v>63</v>
      </c>
    </row>
    <row r="60" spans="5:9">
      <c r="E60" s="4" t="s">
        <v>73</v>
      </c>
      <c r="F60" t="s">
        <v>815</v>
      </c>
      <c r="G60" s="2" t="b" cm="1">
        <f t="array" ref="G60">OR('Nom du personnage'!$C$65:$L$85='Lecture et écriture'!F60,'Nom du personnage'!$Q$65:$Z$85=F60)</f>
        <v>0</v>
      </c>
      <c r="H60" s="7" t="s">
        <v>900</v>
      </c>
      <c r="I60" s="4" t="s">
        <v>73</v>
      </c>
    </row>
    <row r="61" spans="5:9">
      <c r="E61" s="4" t="s">
        <v>110</v>
      </c>
      <c r="F61" t="s">
        <v>827</v>
      </c>
      <c r="G61" s="2" t="b" cm="1">
        <f t="array" ref="G61">OR('Nom du personnage'!$C$65:$L$85='Lecture et écriture'!F61,'Nom du personnage'!$Q$65:$Z$85=F61)</f>
        <v>0</v>
      </c>
      <c r="H61" t="s">
        <v>912</v>
      </c>
      <c r="I61" s="4" t="s">
        <v>110</v>
      </c>
    </row>
    <row r="62" spans="5:9">
      <c r="E62" s="4" t="s">
        <v>113</v>
      </c>
      <c r="F62" t="s">
        <v>839</v>
      </c>
      <c r="G62" s="2" t="b" cm="1">
        <f t="array" ref="G62">OR('Nom du personnage'!$C$65:$L$85='Lecture et écriture'!F62,'Nom du personnage'!$Q$65:$Z$85=F62)</f>
        <v>0</v>
      </c>
      <c r="H62" s="7" t="s">
        <v>924</v>
      </c>
      <c r="I62" s="4" t="s">
        <v>113</v>
      </c>
    </row>
    <row r="63" spans="5:9">
      <c r="E63" t="s">
        <v>141</v>
      </c>
      <c r="F63" s="2" t="s">
        <v>766</v>
      </c>
      <c r="G63" s="2" t="b" cm="1">
        <f t="array" ref="G63">OR('Nom du personnage'!$C$65:$L$85='Lecture et écriture'!F63,'Nom du personnage'!$Q$65:$Z$85=F63)</f>
        <v>0</v>
      </c>
      <c r="H63" t="s">
        <v>851</v>
      </c>
      <c r="I63" t="s">
        <v>141</v>
      </c>
    </row>
    <row r="64" spans="5:9">
      <c r="E64" t="s">
        <v>142</v>
      </c>
      <c r="F64" s="2" t="s">
        <v>778</v>
      </c>
      <c r="G64" s="2" t="b" cm="1">
        <f t="array" ref="G64">OR('Nom du personnage'!$C$65:$L$85='Lecture et écriture'!F64,'Nom du personnage'!$Q$65:$Z$85=F64)</f>
        <v>0</v>
      </c>
      <c r="H64" t="s">
        <v>863</v>
      </c>
      <c r="I64" t="s">
        <v>142</v>
      </c>
    </row>
    <row r="65" spans="5:9">
      <c r="E65" t="s">
        <v>39</v>
      </c>
      <c r="F65" t="s">
        <v>792</v>
      </c>
      <c r="G65" s="2" t="b" cm="1">
        <f t="array" ref="G65">OR('Nom du personnage'!$C$65:$L$85='Lecture et écriture'!F65,'Nom du personnage'!$Q$65:$Z$85=F65)</f>
        <v>0</v>
      </c>
      <c r="H65" s="7" t="s">
        <v>877</v>
      </c>
      <c r="I65" t="s">
        <v>39</v>
      </c>
    </row>
    <row r="66" spans="5:9">
      <c r="E66" t="s">
        <v>63</v>
      </c>
      <c r="F66" t="s">
        <v>804</v>
      </c>
      <c r="G66" s="2" t="b" cm="1">
        <f t="array" ref="G66">OR('Nom du personnage'!$C$65:$L$85='Lecture et écriture'!F66,'Nom du personnage'!$Q$65:$Z$85=F66)</f>
        <v>0</v>
      </c>
      <c r="H66" t="s">
        <v>889</v>
      </c>
      <c r="I66" t="s">
        <v>63</v>
      </c>
    </row>
    <row r="67" spans="5:9">
      <c r="E67" t="s">
        <v>73</v>
      </c>
      <c r="F67" t="s">
        <v>816</v>
      </c>
      <c r="G67" s="2" t="b" cm="1">
        <f t="array" ref="G67">OR('Nom du personnage'!$C$65:$L$85='Lecture et écriture'!F67,'Nom du personnage'!$Q$65:$Z$85=F67)</f>
        <v>0</v>
      </c>
      <c r="H67" s="7" t="s">
        <v>901</v>
      </c>
      <c r="I67" t="s">
        <v>73</v>
      </c>
    </row>
    <row r="68" spans="5:9">
      <c r="E68" t="s">
        <v>110</v>
      </c>
      <c r="F68" t="s">
        <v>828</v>
      </c>
      <c r="G68" s="2" t="b" cm="1">
        <f t="array" ref="G68">OR('Nom du personnage'!$C$65:$L$85='Lecture et écriture'!F68,'Nom du personnage'!$Q$65:$Z$85=F68)</f>
        <v>0</v>
      </c>
      <c r="H68" t="s">
        <v>913</v>
      </c>
      <c r="I68" t="s">
        <v>110</v>
      </c>
    </row>
    <row r="69" spans="5:9">
      <c r="E69" t="s">
        <v>113</v>
      </c>
      <c r="F69" t="s">
        <v>840</v>
      </c>
      <c r="G69" s="2" t="b" cm="1">
        <f t="array" ref="G69">OR('Nom du personnage'!$C$65:$L$85='Lecture et écriture'!F69,'Nom du personnage'!$Q$65:$Z$85=F69)</f>
        <v>0</v>
      </c>
      <c r="H69" s="7" t="s">
        <v>925</v>
      </c>
      <c r="I69" t="s">
        <v>113</v>
      </c>
    </row>
    <row r="70" spans="5:9">
      <c r="E70" t="s">
        <v>141</v>
      </c>
      <c r="F70" t="s">
        <v>767</v>
      </c>
      <c r="G70" s="2" t="b" cm="1">
        <f t="array" ref="G70">OR('Nom du personnage'!$C$65:$L$85='Lecture et écriture'!F70,'Nom du personnage'!$Q$65:$Z$85=F70)</f>
        <v>0</v>
      </c>
      <c r="H70" t="s">
        <v>852</v>
      </c>
      <c r="I70" t="s">
        <v>141</v>
      </c>
    </row>
    <row r="71" spans="5:9">
      <c r="E71" t="s">
        <v>142</v>
      </c>
      <c r="F71" t="s">
        <v>779</v>
      </c>
      <c r="G71" s="2" t="b" cm="1">
        <f t="array" ref="G71">OR('Nom du personnage'!$C$65:$L$85='Lecture et écriture'!F71,'Nom du personnage'!$Q$65:$Z$85=F71)</f>
        <v>0</v>
      </c>
      <c r="H71" t="s">
        <v>864</v>
      </c>
      <c r="I71" t="s">
        <v>142</v>
      </c>
    </row>
    <row r="72" spans="5:9">
      <c r="E72" s="4" t="s">
        <v>39</v>
      </c>
      <c r="F72" s="2" t="s">
        <v>793</v>
      </c>
      <c r="G72" s="2" t="b" cm="1">
        <f t="array" ref="G72">OR('Nom du personnage'!$C$65:$L$85='Lecture et écriture'!F72,'Nom du personnage'!$Q$65:$Z$85=F72)</f>
        <v>0</v>
      </c>
      <c r="H72" s="7" t="s">
        <v>878</v>
      </c>
      <c r="I72" s="4" t="s">
        <v>39</v>
      </c>
    </row>
    <row r="73" spans="5:9">
      <c r="E73" s="4" t="s">
        <v>63</v>
      </c>
      <c r="F73" t="s">
        <v>805</v>
      </c>
      <c r="G73" s="2" t="b" cm="1">
        <f t="array" ref="G73">OR('Nom du personnage'!$C$65:$L$85='Lecture et écriture'!F73,'Nom du personnage'!$Q$65:$Z$85=F73)</f>
        <v>0</v>
      </c>
      <c r="H73" t="s">
        <v>890</v>
      </c>
      <c r="I73" s="4" t="s">
        <v>63</v>
      </c>
    </row>
    <row r="74" spans="5:9">
      <c r="E74" s="4" t="s">
        <v>73</v>
      </c>
      <c r="F74" t="s">
        <v>817</v>
      </c>
      <c r="G74" s="2" t="b" cm="1">
        <f t="array" ref="G74">OR('Nom du personnage'!$C$65:$L$85='Lecture et écriture'!F74,'Nom du personnage'!$Q$65:$Z$85=F74)</f>
        <v>0</v>
      </c>
      <c r="H74" s="7" t="s">
        <v>902</v>
      </c>
      <c r="I74" s="4" t="s">
        <v>73</v>
      </c>
    </row>
    <row r="75" spans="5:9">
      <c r="E75" s="4" t="s">
        <v>110</v>
      </c>
      <c r="F75" t="s">
        <v>829</v>
      </c>
      <c r="G75" s="2" t="b" cm="1">
        <f t="array" ref="G75">OR('Nom du personnage'!$C$65:$L$85='Lecture et écriture'!F75,'Nom du personnage'!$Q$65:$Z$85=F75)</f>
        <v>0</v>
      </c>
      <c r="H75" t="s">
        <v>914</v>
      </c>
      <c r="I75" s="4" t="s">
        <v>110</v>
      </c>
    </row>
    <row r="76" spans="5:9">
      <c r="E76" s="4" t="s">
        <v>113</v>
      </c>
      <c r="F76" t="s">
        <v>841</v>
      </c>
      <c r="G76" s="2" t="b" cm="1">
        <f t="array" ref="G76">OR('Nom du personnage'!$C$65:$L$85='Lecture et écriture'!F76,'Nom du personnage'!$Q$65:$Z$85=F76)</f>
        <v>0</v>
      </c>
      <c r="H76" s="7" t="s">
        <v>926</v>
      </c>
      <c r="I76" s="4" t="s">
        <v>113</v>
      </c>
    </row>
    <row r="77" spans="5:9">
      <c r="E77" t="s">
        <v>141</v>
      </c>
      <c r="F77" s="2" t="s">
        <v>768</v>
      </c>
      <c r="G77" s="2" t="b" cm="1">
        <f t="array" ref="G77">OR('Nom du personnage'!$C$65:$L$85='Lecture et écriture'!F77,'Nom du personnage'!$Q$65:$Z$85=F77)</f>
        <v>0</v>
      </c>
      <c r="H77" t="s">
        <v>853</v>
      </c>
      <c r="I77" t="s">
        <v>141</v>
      </c>
    </row>
    <row r="78" spans="5:9">
      <c r="E78" t="s">
        <v>142</v>
      </c>
      <c r="F78" s="2" t="s">
        <v>780</v>
      </c>
      <c r="G78" s="2" t="b" cm="1">
        <f t="array" ref="G78">OR('Nom du personnage'!$C$65:$L$85='Lecture et écriture'!F78,'Nom du personnage'!$Q$65:$Z$85=F78)</f>
        <v>0</v>
      </c>
      <c r="H78" t="s">
        <v>865</v>
      </c>
      <c r="I78" t="s">
        <v>142</v>
      </c>
    </row>
    <row r="79" spans="5:9">
      <c r="E79" s="4" t="s">
        <v>39</v>
      </c>
      <c r="F79" s="2" t="s">
        <v>794</v>
      </c>
      <c r="G79" s="2" t="b" cm="1">
        <f t="array" ref="G79">OR('Nom du personnage'!$C$65:$L$85='Lecture et écriture'!F79,'Nom du personnage'!$Q$65:$Z$85=F79)</f>
        <v>0</v>
      </c>
      <c r="H79" s="7" t="s">
        <v>879</v>
      </c>
      <c r="I79" s="4" t="s">
        <v>39</v>
      </c>
    </row>
    <row r="80" spans="5:9">
      <c r="E80" s="4" t="s">
        <v>63</v>
      </c>
      <c r="F80" t="s">
        <v>806</v>
      </c>
      <c r="G80" s="2" t="b" cm="1">
        <f t="array" ref="G80">OR('Nom du personnage'!$C$65:$L$85='Lecture et écriture'!F80,'Nom du personnage'!$Q$65:$Z$85=F80)</f>
        <v>0</v>
      </c>
      <c r="H80" t="s">
        <v>891</v>
      </c>
      <c r="I80" s="4" t="s">
        <v>63</v>
      </c>
    </row>
    <row r="81" spans="5:9">
      <c r="E81" s="4" t="s">
        <v>73</v>
      </c>
      <c r="F81" t="s">
        <v>818</v>
      </c>
      <c r="G81" s="2" t="b" cm="1">
        <f t="array" ref="G81">OR('Nom du personnage'!$C$65:$L$85='Lecture et écriture'!F81,'Nom du personnage'!$Q$65:$Z$85=F81)</f>
        <v>0</v>
      </c>
      <c r="H81" s="7" t="s">
        <v>903</v>
      </c>
      <c r="I81" s="4" t="s">
        <v>73</v>
      </c>
    </row>
    <row r="82" spans="5:9">
      <c r="E82" s="4" t="s">
        <v>110</v>
      </c>
      <c r="F82" t="s">
        <v>830</v>
      </c>
      <c r="G82" s="2" t="b" cm="1">
        <f t="array" ref="G82">OR('Nom du personnage'!$C$65:$L$85='Lecture et écriture'!F82,'Nom du personnage'!$Q$65:$Z$85=F82)</f>
        <v>0</v>
      </c>
      <c r="H82" t="s">
        <v>915</v>
      </c>
      <c r="I82" s="4" t="s">
        <v>110</v>
      </c>
    </row>
    <row r="83" spans="5:9">
      <c r="E83" s="4" t="s">
        <v>113</v>
      </c>
      <c r="F83" t="s">
        <v>842</v>
      </c>
      <c r="G83" s="2" t="b" cm="1">
        <f t="array" ref="G83">OR('Nom du personnage'!$C$65:$L$85='Lecture et écriture'!F83,'Nom du personnage'!$Q$65:$Z$85=F83)</f>
        <v>0</v>
      </c>
      <c r="H83" s="7" t="s">
        <v>927</v>
      </c>
      <c r="I83" s="4" t="s">
        <v>113</v>
      </c>
    </row>
    <row r="84" spans="5:9">
      <c r="E84" t="s">
        <v>141</v>
      </c>
      <c r="F84" s="2" t="s">
        <v>769</v>
      </c>
      <c r="G84" s="2" t="b" cm="1">
        <f t="array" ref="G84">OR('Nom du personnage'!$C$65:$L$85='Lecture et écriture'!F84,'Nom du personnage'!$Q$65:$Z$85=F84)</f>
        <v>0</v>
      </c>
      <c r="H84" t="s">
        <v>854</v>
      </c>
      <c r="I84" t="s">
        <v>141</v>
      </c>
    </row>
    <row r="85" spans="5:9">
      <c r="E85" t="s">
        <v>142</v>
      </c>
      <c r="F85" s="2" t="s">
        <v>781</v>
      </c>
      <c r="G85" s="2" t="b" cm="1">
        <f t="array" ref="G85">OR('Nom du personnage'!$C$65:$L$85='Lecture et écriture'!F85,'Nom du personnage'!$Q$65:$Z$85=F85)</f>
        <v>0</v>
      </c>
      <c r="H85" t="s">
        <v>866</v>
      </c>
      <c r="I85" t="s">
        <v>142</v>
      </c>
    </row>
    <row r="86" spans="5:9">
      <c r="E86" s="2" t="s">
        <v>147</v>
      </c>
      <c r="F86" s="2" t="s">
        <v>782</v>
      </c>
      <c r="G86" s="2" t="b" cm="1">
        <f t="array" ref="G86">OR('Nom du personnage'!$C$65:$L$85='Lecture et écriture'!F86,'Nom du personnage'!$Q$65:$Z$85=F86)</f>
        <v>0</v>
      </c>
      <c r="H86" t="s">
        <v>867</v>
      </c>
      <c r="I86" s="2" t="s">
        <v>147</v>
      </c>
    </row>
    <row r="87" spans="5:9">
      <c r="F87" s="2" t="s">
        <v>742</v>
      </c>
      <c r="G87" s="2" t="b" cm="1">
        <f t="array" ref="G87">OR('Nom du personnage'!$C$65:$L$85='Lecture et écriture'!F87,'Nom du personnage'!$Q$65:$Z$85=F87)</f>
        <v>0</v>
      </c>
    </row>
    <row r="88" spans="5:9">
      <c r="F88" s="2" t="s">
        <v>743</v>
      </c>
      <c r="G88" s="2" t="b" cm="1">
        <f t="array" ref="G88">OR('Nom du personnage'!$C$65:$L$85='Lecture et écriture'!F88,'Nom du personnage'!$Q$65:$Z$85=F88)</f>
        <v>0</v>
      </c>
    </row>
    <row r="89" spans="5:9">
      <c r="F89" s="2" t="s">
        <v>744</v>
      </c>
      <c r="G89" s="2" t="b" cm="1">
        <f t="array" ref="G89">OR('Nom du personnage'!$C$65:$L$85='Lecture et écriture'!F89,'Nom du personnage'!$Q$65:$Z$85=F89)</f>
        <v>0</v>
      </c>
    </row>
    <row r="90" spans="5:9">
      <c r="F90" s="2" t="s">
        <v>745</v>
      </c>
      <c r="G90" s="2" t="b" cm="1">
        <f t="array" ref="G90">OR('Nom du personnage'!$C$65:$L$85='Lecture et écriture'!F90,'Nom du personnage'!$Q$65:$Z$85=F90)</f>
        <v>0</v>
      </c>
    </row>
    <row r="91" spans="5:9">
      <c r="F91" s="2" t="s">
        <v>746</v>
      </c>
      <c r="G91" s="2" t="b" cm="1">
        <f t="array" ref="G91">OR('Nom du personnage'!$C$65:$L$85='Lecture et écriture'!F91,'Nom du personnage'!$Q$65:$Z$85=F91)</f>
        <v>0</v>
      </c>
    </row>
    <row r="92" spans="5:9">
      <c r="F92" s="2" t="s">
        <v>747</v>
      </c>
      <c r="G92" s="2" t="b" cm="1">
        <f t="array" ref="G92">OR('Nom du personnage'!$C$65:$L$85='Lecture et écriture'!F92,'Nom du personnage'!$Q$65:$Z$85=F92)</f>
        <v>0</v>
      </c>
    </row>
    <row r="93" spans="5:9">
      <c r="F93" s="2" t="s">
        <v>748</v>
      </c>
      <c r="G93" s="2" t="b" cm="1">
        <f t="array" ref="G93">OR('Nom du personnage'!$C$65:$L$85='Lecture et écriture'!F93,'Nom du personnage'!$Q$65:$Z$85=F93)</f>
        <v>0</v>
      </c>
    </row>
    <row r="94" spans="5:9">
      <c r="F94" s="2" t="s">
        <v>749</v>
      </c>
      <c r="G94" s="2" t="b" cm="1">
        <f t="array" ref="G94">OR('Nom du personnage'!$C$65:$L$85='Lecture et écriture'!F94,'Nom du personnage'!$Q$65:$Z$85=F94)</f>
        <v>0</v>
      </c>
    </row>
    <row r="95" spans="5:9">
      <c r="F95" s="2" t="s">
        <v>751</v>
      </c>
      <c r="G95" s="2" t="b" cm="1">
        <f t="array" ref="G95">OR('Nom du personnage'!$C$65:$L$85='Lecture et écriture'!F95,'Nom du personnage'!$Q$65:$Z$85=F95)</f>
        <v>0</v>
      </c>
    </row>
    <row r="96" spans="5:9">
      <c r="F96" s="2" t="s">
        <v>750</v>
      </c>
      <c r="G96" s="2" t="b" cm="1">
        <f t="array" ref="G96">OR('Nom du personnage'!$C$65:$L$85='Lecture et écriture'!F96,'Nom du personnage'!$Q$65:$Z$85=F96)</f>
        <v>0</v>
      </c>
    </row>
    <row r="97" spans="6:7">
      <c r="F97" s="2" t="s">
        <v>752</v>
      </c>
      <c r="G97" s="2" t="b" cm="1">
        <f t="array" ref="G97">OR('Nom du personnage'!$C$65:$L$85='Lecture et écriture'!F97,'Nom du personnage'!$Q$65:$Z$85=F97)</f>
        <v>0</v>
      </c>
    </row>
    <row r="98" spans="6:7">
      <c r="F98" s="2" t="s">
        <v>753</v>
      </c>
      <c r="G98" s="2" t="b" cm="1">
        <f t="array" ref="G98">OR('Nom du personnage'!$C$65:$L$85='Lecture et écriture'!F98,'Nom du personnage'!$Q$65:$Z$85=F98)</f>
        <v>0</v>
      </c>
    </row>
    <row r="99" spans="6:7">
      <c r="G99" s="2" t="b" cm="1">
        <f t="array" ref="G99">OR(G2:G98=TRUE)</f>
        <v>0</v>
      </c>
    </row>
  </sheetData>
  <autoFilter ref="F1:I86" xr:uid="{151E0289-5069-470B-A6FC-D0372BFD28BA}"/>
  <mergeCells count="8">
    <mergeCell ref="AM2:AP2"/>
    <mergeCell ref="AR2:AT2"/>
    <mergeCell ref="N2:Q2"/>
    <mergeCell ref="S2:V2"/>
    <mergeCell ref="W2:Z2"/>
    <mergeCell ref="AA2:AD2"/>
    <mergeCell ref="AE2:AH2"/>
    <mergeCell ref="AI2:A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9024-EAD4-4F71-A0DD-60646ED0E6AD}">
  <dimension ref="A1:C36"/>
  <sheetViews>
    <sheetView workbookViewId="0">
      <selection activeCell="K8" sqref="K8"/>
    </sheetView>
  </sheetViews>
  <sheetFormatPr baseColWidth="10" defaultRowHeight="15"/>
  <cols>
    <col min="1" max="1" width="31.36328125" bestFit="1" customWidth="1"/>
  </cols>
  <sheetData>
    <row r="1" spans="1:3">
      <c r="A1" t="s">
        <v>702</v>
      </c>
      <c r="B1" t="s">
        <v>703</v>
      </c>
    </row>
    <row r="2" spans="1:3">
      <c r="A2">
        <f>'Nom du personnage'!F51</f>
        <v>0</v>
      </c>
      <c r="B2">
        <f>'Nom du personnage'!U51</f>
        <v>0</v>
      </c>
    </row>
    <row r="4" spans="1:3">
      <c r="A4" s="180" t="s">
        <v>178</v>
      </c>
      <c r="B4" s="180"/>
      <c r="C4" s="180"/>
    </row>
    <row r="5" spans="1:3">
      <c r="A5" t="s">
        <v>34</v>
      </c>
      <c r="B5" t="b">
        <f>A5=$A$2</f>
        <v>0</v>
      </c>
      <c r="C5">
        <f>IF(B5=FALSE,0,1)</f>
        <v>0</v>
      </c>
    </row>
    <row r="6" spans="1:3">
      <c r="A6" t="s">
        <v>46</v>
      </c>
      <c r="B6" t="b">
        <f t="shared" ref="B6:B12" si="0">A6=$A$2</f>
        <v>0</v>
      </c>
      <c r="C6">
        <f t="shared" ref="C6:C13" si="1">IF(B6=FALSE,0,1)</f>
        <v>0</v>
      </c>
    </row>
    <row r="7" spans="1:3">
      <c r="A7" t="s">
        <v>109</v>
      </c>
      <c r="B7" t="b">
        <f t="shared" si="0"/>
        <v>0</v>
      </c>
      <c r="C7">
        <f t="shared" si="1"/>
        <v>0</v>
      </c>
    </row>
    <row r="8" spans="1:3">
      <c r="A8" t="s">
        <v>112</v>
      </c>
      <c r="B8" t="b">
        <f t="shared" si="0"/>
        <v>0</v>
      </c>
      <c r="C8">
        <f t="shared" si="1"/>
        <v>0</v>
      </c>
    </row>
    <row r="9" spans="1:3">
      <c r="A9" s="2" t="s">
        <v>675</v>
      </c>
      <c r="B9" t="b">
        <f t="shared" si="0"/>
        <v>0</v>
      </c>
      <c r="C9">
        <f t="shared" si="1"/>
        <v>0</v>
      </c>
    </row>
    <row r="10" spans="1:3">
      <c r="A10" s="2" t="s">
        <v>676</v>
      </c>
      <c r="B10" t="b">
        <f t="shared" si="0"/>
        <v>0</v>
      </c>
      <c r="C10">
        <f t="shared" si="1"/>
        <v>0</v>
      </c>
    </row>
    <row r="11" spans="1:3">
      <c r="A11" s="2" t="s">
        <v>677</v>
      </c>
      <c r="B11" t="b">
        <f t="shared" si="0"/>
        <v>0</v>
      </c>
      <c r="C11">
        <f t="shared" si="1"/>
        <v>0</v>
      </c>
    </row>
    <row r="12" spans="1:3">
      <c r="A12" s="2" t="s">
        <v>678</v>
      </c>
      <c r="B12" t="b">
        <f t="shared" si="0"/>
        <v>0</v>
      </c>
      <c r="C12">
        <f t="shared" si="1"/>
        <v>0</v>
      </c>
    </row>
    <row r="13" spans="1:3">
      <c r="A13" s="2" t="s">
        <v>159</v>
      </c>
      <c r="B13" t="b">
        <f>A13=B2</f>
        <v>0</v>
      </c>
      <c r="C13">
        <f t="shared" si="1"/>
        <v>0</v>
      </c>
    </row>
    <row r="14" spans="1:3">
      <c r="B14">
        <f>IF(ISERROR(VLOOKUP(1,C5:C13,1,FALSE)),0,1)</f>
        <v>0</v>
      </c>
    </row>
    <row r="16" spans="1:3">
      <c r="A16" s="180" t="s">
        <v>171</v>
      </c>
      <c r="B16" s="180"/>
      <c r="C16" s="180"/>
    </row>
    <row r="17" spans="1:3">
      <c r="A17" t="s">
        <v>81</v>
      </c>
      <c r="B17" t="b">
        <f>A17=$A$2</f>
        <v>0</v>
      </c>
      <c r="C17">
        <f>IF(B17=FALSE,0,1)</f>
        <v>0</v>
      </c>
    </row>
    <row r="18" spans="1:3">
      <c r="A18" t="s">
        <v>103</v>
      </c>
      <c r="B18" t="b">
        <f t="shared" ref="B18:B28" si="2">A18=$A$2</f>
        <v>0</v>
      </c>
      <c r="C18">
        <f t="shared" ref="C18:C28" si="3">IF(B18=FALSE,0,1)</f>
        <v>0</v>
      </c>
    </row>
    <row r="19" spans="1:3">
      <c r="A19" t="s">
        <v>148</v>
      </c>
      <c r="B19" t="b">
        <f t="shared" si="2"/>
        <v>0</v>
      </c>
      <c r="C19">
        <f t="shared" si="3"/>
        <v>0</v>
      </c>
    </row>
    <row r="20" spans="1:3">
      <c r="A20" t="s">
        <v>100</v>
      </c>
      <c r="B20" t="b">
        <f t="shared" si="2"/>
        <v>0</v>
      </c>
      <c r="C20">
        <f t="shared" si="3"/>
        <v>0</v>
      </c>
    </row>
    <row r="21" spans="1:3">
      <c r="A21" t="s">
        <v>46</v>
      </c>
      <c r="B21" t="b">
        <f t="shared" si="2"/>
        <v>0</v>
      </c>
      <c r="C21">
        <f t="shared" si="3"/>
        <v>0</v>
      </c>
    </row>
    <row r="22" spans="1:3">
      <c r="A22" t="s">
        <v>109</v>
      </c>
      <c r="B22" t="b">
        <f t="shared" si="2"/>
        <v>0</v>
      </c>
      <c r="C22">
        <f t="shared" si="3"/>
        <v>0</v>
      </c>
    </row>
    <row r="23" spans="1:3">
      <c r="A23" t="s">
        <v>112</v>
      </c>
      <c r="B23" t="b">
        <f t="shared" si="2"/>
        <v>0</v>
      </c>
      <c r="C23">
        <f t="shared" si="3"/>
        <v>0</v>
      </c>
    </row>
    <row r="24" spans="1:3">
      <c r="A24" s="2" t="s">
        <v>675</v>
      </c>
      <c r="B24" t="b">
        <f t="shared" si="2"/>
        <v>0</v>
      </c>
      <c r="C24">
        <f t="shared" si="3"/>
        <v>0</v>
      </c>
    </row>
    <row r="25" spans="1:3">
      <c r="A25" s="2" t="s">
        <v>676</v>
      </c>
      <c r="B25" t="b">
        <f t="shared" si="2"/>
        <v>0</v>
      </c>
      <c r="C25">
        <f t="shared" si="3"/>
        <v>0</v>
      </c>
    </row>
    <row r="26" spans="1:3">
      <c r="A26" s="2" t="s">
        <v>677</v>
      </c>
      <c r="B26" t="b">
        <f t="shared" si="2"/>
        <v>0</v>
      </c>
      <c r="C26">
        <f t="shared" si="3"/>
        <v>0</v>
      </c>
    </row>
    <row r="27" spans="1:3">
      <c r="A27" s="2" t="s">
        <v>678</v>
      </c>
      <c r="B27" t="b">
        <f t="shared" si="2"/>
        <v>0</v>
      </c>
      <c r="C27">
        <f t="shared" si="3"/>
        <v>0</v>
      </c>
    </row>
    <row r="28" spans="1:3">
      <c r="A28" t="s">
        <v>93</v>
      </c>
      <c r="B28" t="b">
        <f t="shared" si="2"/>
        <v>0</v>
      </c>
      <c r="C28">
        <f t="shared" si="3"/>
        <v>0</v>
      </c>
    </row>
    <row r="29" spans="1:3">
      <c r="B29">
        <f>IF(ISERROR(VLOOKUP(1,C17:C28,1,FALSE)),0,1)</f>
        <v>0</v>
      </c>
    </row>
    <row r="31" spans="1:3">
      <c r="A31" s="181" t="s">
        <v>741</v>
      </c>
      <c r="B31" s="180"/>
      <c r="C31" s="180"/>
    </row>
    <row r="32" spans="1:3">
      <c r="A32" s="2" t="s">
        <v>177</v>
      </c>
      <c r="B32">
        <f ca="1">COUNTIF('Nom du personnage'!$C$66:$AC$85,'Compétences raciales + carrière'!A32)</f>
        <v>0</v>
      </c>
    </row>
    <row r="33" spans="1:2">
      <c r="A33" s="2" t="s">
        <v>209</v>
      </c>
      <c r="B33">
        <f ca="1">COUNTIF('Nom du personnage'!$C$66:$AC$85,'Compétences raciales + carrière'!A33)</f>
        <v>0</v>
      </c>
    </row>
    <row r="34" spans="1:2">
      <c r="A34" s="2" t="s">
        <v>297</v>
      </c>
      <c r="B34">
        <f ca="1">COUNTIF('Nom du personnage'!$C$66:$AC$85,'Compétences raciales + carrière'!A34)</f>
        <v>0</v>
      </c>
    </row>
    <row r="35" spans="1:2">
      <c r="A35" t="s">
        <v>567</v>
      </c>
      <c r="B35">
        <f ca="1">COUNTIF('Nom du personnage'!$C$66:$AC$85,'Compétences raciales + carrière'!A35)</f>
        <v>0</v>
      </c>
    </row>
    <row r="36" spans="1:2">
      <c r="B36">
        <f ca="1">SUM(B32:B35)</f>
        <v>0</v>
      </c>
    </row>
  </sheetData>
  <mergeCells count="3">
    <mergeCell ref="A4:C4"/>
    <mergeCell ref="A16:C16"/>
    <mergeCell ref="A31:C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6FFC-70C6-4023-8288-40635FC8B932}">
  <sheetPr codeName="Feuil9"/>
  <dimension ref="A1:X45"/>
  <sheetViews>
    <sheetView topLeftCell="A22" workbookViewId="0">
      <selection activeCell="K8" sqref="K8"/>
    </sheetView>
  </sheetViews>
  <sheetFormatPr baseColWidth="10" defaultRowHeight="15"/>
  <cols>
    <col min="1" max="1" width="14.90625" bestFit="1" customWidth="1"/>
    <col min="5" max="5" width="18.36328125" bestFit="1" customWidth="1"/>
    <col min="6" max="6" width="40.54296875" bestFit="1" customWidth="1"/>
    <col min="9" max="9" width="11.08984375" bestFit="1" customWidth="1"/>
    <col min="10" max="10" width="40.54296875" bestFit="1" customWidth="1"/>
    <col min="11" max="13" width="8.6328125" customWidth="1"/>
    <col min="21" max="21" width="11.26953125" bestFit="1" customWidth="1"/>
  </cols>
  <sheetData>
    <row r="1" spans="1:24">
      <c r="A1" t="s">
        <v>663</v>
      </c>
      <c r="B1" t="s">
        <v>689</v>
      </c>
      <c r="C1" t="s">
        <v>691</v>
      </c>
      <c r="E1" t="s">
        <v>450</v>
      </c>
      <c r="F1" t="s">
        <v>690</v>
      </c>
      <c r="G1" t="s">
        <v>450</v>
      </c>
      <c r="N1" t="s">
        <v>663</v>
      </c>
      <c r="O1" t="s">
        <v>450</v>
      </c>
      <c r="P1" t="s">
        <v>697</v>
      </c>
      <c r="Q1" t="s">
        <v>663</v>
      </c>
      <c r="R1" t="s">
        <v>450</v>
      </c>
      <c r="T1" t="s">
        <v>698</v>
      </c>
      <c r="U1" t="s">
        <v>699</v>
      </c>
      <c r="V1" t="s">
        <v>700</v>
      </c>
      <c r="W1" t="s">
        <v>701</v>
      </c>
    </row>
    <row r="2" spans="1:24">
      <c r="A2" t="s">
        <v>39</v>
      </c>
      <c r="B2" t="s">
        <v>694</v>
      </c>
      <c r="C2">
        <v>5</v>
      </c>
      <c r="E2" s="2" t="s">
        <v>81</v>
      </c>
      <c r="F2" s="2" t="s">
        <v>694</v>
      </c>
      <c r="G2">
        <f>IF(E2='Nom du personnage'!$F$51,2,0)</f>
        <v>0</v>
      </c>
      <c r="I2" t="s">
        <v>692</v>
      </c>
      <c r="J2" s="2" t="s">
        <v>137</v>
      </c>
      <c r="K2" s="2"/>
      <c r="N2" t="e">
        <f>VLOOKUP('Nom du personnage'!U51,Concoction!A8:B20,2,FALSE)</f>
        <v>#N/A</v>
      </c>
      <c r="O2" t="e">
        <f>VLOOKUP('Nom du personnage'!F51,Concoction!E5:F11,2,FALSE)</f>
        <v>#N/A</v>
      </c>
      <c r="P2" t="b">
        <f>AND(ISERROR(N2),ISERROR(O2))</f>
        <v>1</v>
      </c>
      <c r="Q2" t="str">
        <f ca="1">IF(AND((ISERROR(N2)),COUNTIF('Nom du personnage'!$C$66:$AC$85,Concoction!J2)=1),"VRAI","FAUX")</f>
        <v>FAUX</v>
      </c>
      <c r="R2" t="str">
        <f ca="1">IF(AND((ISERROR(O2)),COUNTIF('Nom du personnage'!$C$66:$AC$85,Concoction!J2)=1),"VRAI","FAUX")</f>
        <v>FAUX</v>
      </c>
      <c r="T2" t="str">
        <f>IF(ISERROR(N2=O2),"FAUX","VRAI")</f>
        <v>FAUX</v>
      </c>
      <c r="U2" t="str">
        <f ca="1">IF(AND(COUNTIF('Nom du personnage'!$C$66:$AC$85,Concoction!J2)=0,OR($R$2="VRAI",$R$3="VRAI",$R$4="VRAI")),"VRAI","FAUX")</f>
        <v>FAUX</v>
      </c>
      <c r="V2" t="str">
        <f ca="1">IF(AND(COUNTIF('Nom du personnage'!$C$66:$AC$85,Concoction!J2)=0,OR($Q$2="VRAI",$Q$3="VRAI",$Q$4="VRAI")),"VRAI","FAUX")</f>
        <v>FAUX</v>
      </c>
      <c r="W2" t="str">
        <f ca="1">IF(OR(T2="VRAI",AND(U2="FAUX",V2="FAUX")),"VRAI","FAUX")</f>
        <v>VRAI</v>
      </c>
      <c r="X2">
        <f ca="1">IF(OR('Nom du personnage'!$F$51=Données!$C$14,'Nom du personnage'!$U$51=Données!$H$7),1,IF(W2="VRAI",1,0))</f>
        <v>1</v>
      </c>
    </row>
    <row r="3" spans="1:24">
      <c r="A3" t="s">
        <v>43</v>
      </c>
      <c r="B3" t="s">
        <v>694</v>
      </c>
      <c r="C3">
        <v>1</v>
      </c>
      <c r="E3" s="2" t="s">
        <v>115</v>
      </c>
      <c r="F3" s="2" t="s">
        <v>694</v>
      </c>
      <c r="G3">
        <f>IF(E3='Nom du personnage'!$F$51,2,0)</f>
        <v>0</v>
      </c>
      <c r="I3" t="s">
        <v>694</v>
      </c>
      <c r="J3" s="2" t="s">
        <v>138</v>
      </c>
      <c r="K3" s="2"/>
      <c r="N3" t="e">
        <f>VLOOKUP('Nom du personnage'!U51,Concoction!A2:B7,2,FALSE)</f>
        <v>#N/A</v>
      </c>
      <c r="O3" t="e">
        <f>VLOOKUP('Nom du personnage'!F51,Concoction!E2:F4,2,FALSE)</f>
        <v>#N/A</v>
      </c>
      <c r="P3" t="b">
        <f>AND(ISERROR(N3),ISERROR(O3))</f>
        <v>1</v>
      </c>
      <c r="Q3" t="str">
        <f ca="1">IF(AND((ISERROR(N3)),COUNTIF('Nom du personnage'!$C$66:$AC$85,Concoction!J3)=1),"VRAI","FAUX")</f>
        <v>FAUX</v>
      </c>
      <c r="R3" t="str">
        <f ca="1">IF(AND((ISERROR(O3)),COUNTIF('Nom du personnage'!$C$66:$AC$85,Concoction!J3)=1),"VRAI","FAUX")</f>
        <v>FAUX</v>
      </c>
      <c r="T3" t="str">
        <f t="shared" ref="T3" si="0">IF(ISERROR(N3=O3),"FAUX","VRAI")</f>
        <v>FAUX</v>
      </c>
      <c r="U3" t="str">
        <f ca="1">IF(AND(COUNTIF('Nom du personnage'!$C$66:$AC$85,Concoction!J3)=0,OR($R$2="VRAI",$R$3="VRAI",$R$4="VRAI")),"VRAI","FAUX")</f>
        <v>FAUX</v>
      </c>
      <c r="V3" t="str">
        <f ca="1">IF(AND(COUNTIF('Nom du personnage'!$C$66:$AC$85,Concoction!J3)=0,OR($Q$2="VRAI",$Q$3="VRAI",$Q$4="VRAI")),"VRAI","FAUX")</f>
        <v>FAUX</v>
      </c>
      <c r="W3" t="str">
        <f ca="1">IF(OR(T3="VRAI",AND(U3="FAUX",V3="FAUX")),"VRAI","FAUX")</f>
        <v>VRAI</v>
      </c>
      <c r="X3">
        <f ca="1">IF(OR('Nom du personnage'!$F$51=Données!$C$14,'Nom du personnage'!$U$51=Données!$H$7),1,IF(W3="VRAI",1,0))</f>
        <v>1</v>
      </c>
    </row>
    <row r="4" spans="1:24">
      <c r="A4" t="s">
        <v>91</v>
      </c>
      <c r="B4" t="s">
        <v>694</v>
      </c>
      <c r="C4">
        <v>5</v>
      </c>
      <c r="E4" s="2" t="s">
        <v>87</v>
      </c>
      <c r="F4" s="2" t="s">
        <v>694</v>
      </c>
      <c r="G4">
        <f>IF(E4='Nom du personnage'!$F$51,2,0)</f>
        <v>0</v>
      </c>
      <c r="I4" t="s">
        <v>693</v>
      </c>
      <c r="J4" s="2" t="s">
        <v>139</v>
      </c>
      <c r="K4" s="2"/>
      <c r="N4" t="e">
        <f>VLOOKUP('Nom du personnage'!U51,Concoction!A21:B32,2,FALSE)</f>
        <v>#N/A</v>
      </c>
      <c r="O4" t="e">
        <f>VLOOKUP('Nom du personnage'!F51,Concoction!E12:F16,2,FALSE)</f>
        <v>#N/A</v>
      </c>
      <c r="P4" t="b">
        <f t="shared" ref="P4" si="1">AND(ISERROR(N4),ISERROR(O4))</f>
        <v>1</v>
      </c>
      <c r="Q4" t="str">
        <f ca="1">IF(AND((ISERROR(N4)),COUNTIF('Nom du personnage'!$C$66:$AC$85,Concoction!J4)=1),"VRAI","FAUX")</f>
        <v>FAUX</v>
      </c>
      <c r="R4" t="str">
        <f ca="1">IF(AND((ISERROR(O4)),COUNTIF('Nom du personnage'!$C$66:$AC$85,Concoction!J4)=1),"VRAI","FAUX")</f>
        <v>FAUX</v>
      </c>
      <c r="T4" t="str">
        <f>IF(ISERROR(N4=O4),"FAUX","VRAI")</f>
        <v>FAUX</v>
      </c>
      <c r="U4" t="str">
        <f ca="1">IF(AND(COUNTIF('Nom du personnage'!$C$66:$AC$85,Concoction!J4)=0,OR($R$2="VRAI",$R$3="VRAI",$R$4="VRAI")),"VRAI","FAUX")</f>
        <v>FAUX</v>
      </c>
      <c r="V4" t="str">
        <f ca="1">IF(AND(COUNTIF('Nom du personnage'!$C$66:$AC$85,Concoction!J4)=0,OR($Q$2="VRAI",$Q$3="VRAI",$Q$4="VRAI")),"VRAI","FAUX")</f>
        <v>FAUX</v>
      </c>
      <c r="W4" t="str">
        <f ca="1">IF(OR(T4="VRAI",AND(U4="FAUX",V4="FAUX")),"VRAI","FAUX")</f>
        <v>VRAI</v>
      </c>
      <c r="X4">
        <f ca="1">IF(OR('Nom du personnage'!$F$51=Données!$C$14,'Nom du personnage'!$U$51=Données!$H$7),1,IF(W4="VRAI",1,0))</f>
        <v>1</v>
      </c>
    </row>
    <row r="5" spans="1:24">
      <c r="A5" t="s">
        <v>94</v>
      </c>
      <c r="B5" t="s">
        <v>694</v>
      </c>
      <c r="C5">
        <v>5</v>
      </c>
      <c r="E5" s="2" t="s">
        <v>115</v>
      </c>
      <c r="F5" s="2" t="s">
        <v>692</v>
      </c>
      <c r="G5">
        <f>IF(E5='Nom du personnage'!$F$51,2,0)</f>
        <v>0</v>
      </c>
    </row>
    <row r="6" spans="1:24">
      <c r="A6" t="s">
        <v>110</v>
      </c>
      <c r="B6" t="s">
        <v>694</v>
      </c>
      <c r="C6">
        <v>5</v>
      </c>
      <c r="E6" t="s">
        <v>146</v>
      </c>
      <c r="F6" s="2" t="s">
        <v>692</v>
      </c>
      <c r="G6">
        <f>IF(E6='Nom du personnage'!$F$51,2,0)</f>
        <v>0</v>
      </c>
      <c r="I6" t="s">
        <v>692</v>
      </c>
      <c r="J6" t="str">
        <f>IF(ISERROR(VLOOKUP($I$14,$E$18:$F$22,2,FALSE)),J2,VLOOKUP($I$14,$E$18:$F$22,2,FALSE))</f>
        <v>Concoction : Herboristerie</v>
      </c>
      <c r="K6">
        <f>VLOOKUP(J6,$F$18:$G$30,2,FALSE)</f>
        <v>5</v>
      </c>
      <c r="N6" t="b">
        <f>IF(ISERROR(N2)=TRUE,FALSE,$J6)</f>
        <v>0</v>
      </c>
      <c r="O6" t="b">
        <f>IF(ISERROR(O2)=TRUE,FALSE,$J6)</f>
        <v>0</v>
      </c>
      <c r="P6" s="2" t="str">
        <f>IF(P11=FALSE,J6,0)</f>
        <v>Concoction : Herboristerie</v>
      </c>
      <c r="Q6" t="b">
        <f>IF(AND(N6=FALSE,O6=FALSE),FALSE,P6)</f>
        <v>0</v>
      </c>
    </row>
    <row r="7" spans="1:24">
      <c r="A7" t="s">
        <v>113</v>
      </c>
      <c r="B7" t="s">
        <v>694</v>
      </c>
      <c r="C7" s="8">
        <v>5</v>
      </c>
      <c r="E7" s="2" t="s">
        <v>672</v>
      </c>
      <c r="F7" s="2" t="s">
        <v>692</v>
      </c>
      <c r="G7">
        <f>IF(E7='Nom du personnage'!$F$51,2,0)</f>
        <v>0</v>
      </c>
      <c r="I7" t="s">
        <v>694</v>
      </c>
      <c r="J7" t="str">
        <f>IF(ISERROR(VLOOKUP($I$14,$E$27:$F$27,2,FALSE)),J3,VLOOKUP($I$14,$E$27:$F$27,2,FALSE))</f>
        <v>Concoction : Alchimie</v>
      </c>
      <c r="K7">
        <f>VLOOKUP(J7,$F$18:$G$30,2,FALSE)</f>
        <v>5</v>
      </c>
      <c r="N7" t="b">
        <f>IF(ISERROR(N3)=TRUE,FALSE,$J7)</f>
        <v>0</v>
      </c>
      <c r="O7" t="b">
        <f t="shared" ref="O7" si="2">IF(ISERROR(O3)=TRUE,FALSE,$J7)</f>
        <v>0</v>
      </c>
      <c r="P7" s="2" t="str">
        <f>IF(P12=FALSE,J7,0)</f>
        <v>Concoction : Alchimie</v>
      </c>
      <c r="Q7" t="b">
        <f t="shared" ref="Q7:Q8" si="3">IF(AND(N7=FALSE,O7=FALSE),FALSE,P7)</f>
        <v>0</v>
      </c>
    </row>
    <row r="8" spans="1:24">
      <c r="A8" t="s">
        <v>35</v>
      </c>
      <c r="B8" t="s">
        <v>692</v>
      </c>
      <c r="C8">
        <v>5</v>
      </c>
      <c r="E8" s="2" t="s">
        <v>671</v>
      </c>
      <c r="F8" s="2" t="s">
        <v>692</v>
      </c>
      <c r="G8">
        <f>IF(E8='Nom du personnage'!$F$51,2,0)</f>
        <v>0</v>
      </c>
      <c r="I8" t="s">
        <v>693</v>
      </c>
      <c r="J8" t="str">
        <f>IF(ISERROR(VLOOKUP($I$14,$E$23:$F$26,2,FALSE)),J4,VLOOKUP($I$14,$E$23:$F$26,2,FALSE))</f>
        <v>Concoction : Toxicologie</v>
      </c>
      <c r="K8">
        <f>VLOOKUP(J8,$F$18:$G$30,2,FALSE)</f>
        <v>5</v>
      </c>
      <c r="N8" t="b">
        <f t="shared" ref="N8:O8" si="4">IF(ISERROR(N4)=TRUE,FALSE,$J8)</f>
        <v>0</v>
      </c>
      <c r="O8" t="b">
        <f t="shared" si="4"/>
        <v>0</v>
      </c>
      <c r="P8" s="2" t="str">
        <f>IF(P13=FALSE,J8,0)</f>
        <v>Concoction : Toxicologie</v>
      </c>
      <c r="Q8" t="b">
        <f t="shared" si="3"/>
        <v>0</v>
      </c>
    </row>
    <row r="9" spans="1:24">
      <c r="A9" t="s">
        <v>43</v>
      </c>
      <c r="B9" t="s">
        <v>692</v>
      </c>
      <c r="C9">
        <v>1</v>
      </c>
      <c r="E9" s="2" t="s">
        <v>673</v>
      </c>
      <c r="F9" s="2" t="s">
        <v>692</v>
      </c>
      <c r="G9">
        <f>IF(E9='Nom du personnage'!$F$51,2,0)</f>
        <v>0</v>
      </c>
    </row>
    <row r="10" spans="1:24">
      <c r="A10" t="s">
        <v>47</v>
      </c>
      <c r="B10" t="s">
        <v>692</v>
      </c>
      <c r="C10">
        <v>5</v>
      </c>
      <c r="E10" s="2" t="s">
        <v>674</v>
      </c>
      <c r="F10" s="2" t="s">
        <v>692</v>
      </c>
      <c r="G10">
        <f>IF(E10='Nom du personnage'!$F$51,2,0)</f>
        <v>0</v>
      </c>
      <c r="L10" t="s">
        <v>450</v>
      </c>
      <c r="M10" t="s">
        <v>663</v>
      </c>
    </row>
    <row r="11" spans="1:24">
      <c r="A11" t="s">
        <v>55</v>
      </c>
      <c r="B11" t="s">
        <v>692</v>
      </c>
      <c r="C11">
        <v>5</v>
      </c>
      <c r="E11" s="2" t="s">
        <v>87</v>
      </c>
      <c r="F11" s="2" t="s">
        <v>692</v>
      </c>
      <c r="G11">
        <f>IF(E11='Nom du personnage'!$F$51,2,0)</f>
        <v>0</v>
      </c>
      <c r="L11">
        <f>IF(ISERROR(VLOOKUP(O6,'Nom du personnage'!$C$65:$AE$85,29,FALSE)),0,VLOOKUP(O6,'Nom du personnage'!$C$65:$AE$85,29,FALSE))</f>
        <v>0</v>
      </c>
      <c r="M11">
        <f>IF(ISERROR(VLOOKUP(N6,'Nom du personnage'!$C$65:$AE$85,29,FALSE)),0,VLOOKUP(N6,'Nom du personnage'!$C$65:$AE$85,29,FALSE))</f>
        <v>0</v>
      </c>
    </row>
    <row r="12" spans="1:24">
      <c r="A12" t="s">
        <v>70</v>
      </c>
      <c r="B12" t="s">
        <v>692</v>
      </c>
      <c r="C12">
        <v>5</v>
      </c>
      <c r="E12" s="2" t="s">
        <v>87</v>
      </c>
      <c r="F12" s="2" t="s">
        <v>693</v>
      </c>
      <c r="G12">
        <f>IF(E12='Nom du personnage'!$F$51,2,0)</f>
        <v>0</v>
      </c>
      <c r="L12">
        <f>IF(ISERROR(VLOOKUP(O7,'Nom du personnage'!$C$65:$AE$85,29,FALSE)),0,VLOOKUP(O7,'Nom du personnage'!$C$65:$AE$85,29,FALSE))</f>
        <v>0</v>
      </c>
      <c r="M12">
        <f>IF(ISERROR(VLOOKUP(N7,'Nom du personnage'!$C$65:$AE$85,29,FALSE)),0,VLOOKUP(N7,'Nom du personnage'!$C$65:$AE$85,29,FALSE))</f>
        <v>0</v>
      </c>
    </row>
    <row r="13" spans="1:24">
      <c r="A13" t="s">
        <v>76</v>
      </c>
      <c r="B13" t="s">
        <v>692</v>
      </c>
      <c r="C13">
        <v>5</v>
      </c>
      <c r="E13" s="2" t="s">
        <v>672</v>
      </c>
      <c r="F13" s="2" t="s">
        <v>693</v>
      </c>
      <c r="G13">
        <f>IF(E13='Nom du personnage'!$F$51,2,0)</f>
        <v>0</v>
      </c>
      <c r="L13">
        <f>IF(ISERROR(VLOOKUP(O8,'Nom du personnage'!$C$65:$AE$85,29,FALSE)),0,VLOOKUP(O8,'Nom du personnage'!$C$65:$AE$85,29,FALSE))</f>
        <v>0</v>
      </c>
      <c r="M13">
        <f>IF(ISERROR(VLOOKUP(N8,'Nom du personnage'!$C$65:$AE$85,29,FALSE)),0,VLOOKUP(N8,'Nom du personnage'!$C$65:$AE$85,29,FALSE))</f>
        <v>0</v>
      </c>
      <c r="S13" s="2" t="s">
        <v>932</v>
      </c>
    </row>
    <row r="14" spans="1:24">
      <c r="A14" t="s">
        <v>157</v>
      </c>
      <c r="B14" t="s">
        <v>692</v>
      </c>
      <c r="C14">
        <v>5</v>
      </c>
      <c r="E14" s="2" t="s">
        <v>671</v>
      </c>
      <c r="F14" s="2" t="s">
        <v>693</v>
      </c>
      <c r="G14">
        <f>IF(E14='Nom du personnage'!$F$51,2,0)</f>
        <v>0</v>
      </c>
      <c r="I14">
        <f>'Nom du personnage'!F51</f>
        <v>0</v>
      </c>
      <c r="L14">
        <f>SUM(L11:L13)</f>
        <v>0</v>
      </c>
      <c r="M14">
        <f>SUM(M11:M13)</f>
        <v>0</v>
      </c>
    </row>
    <row r="15" spans="1:24">
      <c r="A15" t="s">
        <v>85</v>
      </c>
      <c r="B15" t="s">
        <v>692</v>
      </c>
      <c r="C15">
        <v>5</v>
      </c>
      <c r="E15" s="2" t="s">
        <v>673</v>
      </c>
      <c r="F15" s="2" t="s">
        <v>693</v>
      </c>
      <c r="G15">
        <f>IF(E15='Nom du personnage'!$F$51,2,0)</f>
        <v>0</v>
      </c>
      <c r="I15">
        <f>'Nom du personnage'!U51</f>
        <v>0</v>
      </c>
    </row>
    <row r="16" spans="1:24">
      <c r="A16" t="s">
        <v>88</v>
      </c>
      <c r="B16" t="s">
        <v>692</v>
      </c>
      <c r="C16">
        <v>5</v>
      </c>
      <c r="E16" s="2" t="s">
        <v>674</v>
      </c>
      <c r="F16" s="2" t="s">
        <v>693</v>
      </c>
      <c r="G16">
        <f>IF(E16='Nom du personnage'!$F$51,2,0)</f>
        <v>0</v>
      </c>
      <c r="O16">
        <v>1</v>
      </c>
      <c r="P16" t="b">
        <f>IF($L$14&gt;$M$14,O6)</f>
        <v>0</v>
      </c>
    </row>
    <row r="17" spans="1:16">
      <c r="A17" t="s">
        <v>107</v>
      </c>
      <c r="B17" t="s">
        <v>692</v>
      </c>
      <c r="C17">
        <v>5</v>
      </c>
      <c r="O17">
        <v>2</v>
      </c>
      <c r="P17" t="b">
        <f t="shared" ref="P17:P18" si="5">IF($L$14&gt;$M$14,O7)</f>
        <v>0</v>
      </c>
    </row>
    <row r="18" spans="1:16">
      <c r="A18" t="s">
        <v>110</v>
      </c>
      <c r="B18" t="s">
        <v>692</v>
      </c>
      <c r="C18">
        <v>5</v>
      </c>
      <c r="E18" t="s">
        <v>146</v>
      </c>
      <c r="F18" t="s">
        <v>928</v>
      </c>
      <c r="G18">
        <v>4</v>
      </c>
      <c r="O18">
        <v>3</v>
      </c>
      <c r="P18" t="b">
        <f t="shared" si="5"/>
        <v>0</v>
      </c>
    </row>
    <row r="19" spans="1:16">
      <c r="A19" t="s">
        <v>113</v>
      </c>
      <c r="B19" t="s">
        <v>692</v>
      </c>
      <c r="C19" s="8">
        <v>5</v>
      </c>
      <c r="E19" s="2" t="s">
        <v>672</v>
      </c>
      <c r="F19" t="s">
        <v>929</v>
      </c>
      <c r="G19">
        <v>4</v>
      </c>
      <c r="O19">
        <v>1</v>
      </c>
      <c r="P19" t="b">
        <f>IF($M$14&gt;$L$14,N6)</f>
        <v>0</v>
      </c>
    </row>
    <row r="20" spans="1:16">
      <c r="A20" s="2" t="s">
        <v>159</v>
      </c>
      <c r="B20" s="2" t="s">
        <v>692</v>
      </c>
      <c r="C20" s="2">
        <v>5</v>
      </c>
      <c r="E20" s="2" t="s">
        <v>671</v>
      </c>
      <c r="F20" t="s">
        <v>929</v>
      </c>
      <c r="G20">
        <v>4</v>
      </c>
      <c r="I20" t="s">
        <v>692</v>
      </c>
      <c r="J20">
        <f>IF(AND(P16=FALSE,P19=FALSE,P22=FALSE),0,J6)</f>
        <v>0</v>
      </c>
      <c r="K20" t="e">
        <f>VLOOKUP(J20,$F$18:$G$30,2,FALSE)</f>
        <v>#N/A</v>
      </c>
      <c r="O20">
        <v>2</v>
      </c>
      <c r="P20" t="b">
        <f t="shared" ref="P20" si="6">IF($M$14&gt;$L$14,N7)</f>
        <v>0</v>
      </c>
    </row>
    <row r="21" spans="1:16">
      <c r="A21" t="s">
        <v>35</v>
      </c>
      <c r="B21" t="s">
        <v>693</v>
      </c>
      <c r="C21">
        <v>5</v>
      </c>
      <c r="E21" s="2" t="s">
        <v>673</v>
      </c>
      <c r="F21" t="s">
        <v>929</v>
      </c>
      <c r="G21">
        <v>4</v>
      </c>
      <c r="I21" t="s">
        <v>694</v>
      </c>
      <c r="J21">
        <f t="shared" ref="J21:J22" si="7">IF(AND(P17=FALSE,P20=FALSE,P23=FALSE),0,J7)</f>
        <v>0</v>
      </c>
      <c r="K21" t="e">
        <f>VLOOKUP(J21,$F$18:$G$30,2,FALSE)</f>
        <v>#N/A</v>
      </c>
      <c r="O21">
        <v>3</v>
      </c>
      <c r="P21" t="b">
        <f>IF($M$14&gt;$L$14,N8)</f>
        <v>0</v>
      </c>
    </row>
    <row r="22" spans="1:16">
      <c r="A22" t="s">
        <v>43</v>
      </c>
      <c r="B22" t="s">
        <v>693</v>
      </c>
      <c r="C22">
        <v>1</v>
      </c>
      <c r="E22" s="2" t="s">
        <v>674</v>
      </c>
      <c r="F22" t="s">
        <v>929</v>
      </c>
      <c r="G22">
        <v>4</v>
      </c>
      <c r="I22" t="s">
        <v>693</v>
      </c>
      <c r="J22">
        <f t="shared" si="7"/>
        <v>0</v>
      </c>
      <c r="K22" t="e">
        <f>VLOOKUP(J22,$F$18:$G$30,2,FALSE)</f>
        <v>#N/A</v>
      </c>
      <c r="O22">
        <v>1</v>
      </c>
      <c r="P22" t="b">
        <f>IF($L$14=$M$14,Q6)</f>
        <v>0</v>
      </c>
    </row>
    <row r="23" spans="1:16">
      <c r="A23" t="s">
        <v>51</v>
      </c>
      <c r="B23" t="s">
        <v>693</v>
      </c>
      <c r="C23">
        <v>5</v>
      </c>
      <c r="E23" s="2" t="s">
        <v>672</v>
      </c>
      <c r="F23" s="2" t="s">
        <v>930</v>
      </c>
      <c r="G23">
        <v>4</v>
      </c>
      <c r="O23">
        <v>2</v>
      </c>
      <c r="P23" t="b">
        <f t="shared" ref="P23" si="8">IF($L$14=$M$14,Q7)</f>
        <v>0</v>
      </c>
    </row>
    <row r="24" spans="1:16">
      <c r="A24" t="s">
        <v>63</v>
      </c>
      <c r="B24" t="s">
        <v>693</v>
      </c>
      <c r="C24">
        <v>5</v>
      </c>
      <c r="E24" s="2" t="s">
        <v>671</v>
      </c>
      <c r="F24" s="2" t="s">
        <v>930</v>
      </c>
      <c r="G24">
        <v>4</v>
      </c>
      <c r="O24">
        <v>3</v>
      </c>
      <c r="P24" t="b">
        <f>IF($L$14=$M$14,Q8)</f>
        <v>0</v>
      </c>
    </row>
    <row r="25" spans="1:16">
      <c r="A25" t="s">
        <v>70</v>
      </c>
      <c r="B25" t="s">
        <v>693</v>
      </c>
      <c r="C25">
        <v>5</v>
      </c>
      <c r="E25" s="2" t="s">
        <v>673</v>
      </c>
      <c r="F25" s="2" t="s">
        <v>930</v>
      </c>
      <c r="G25">
        <v>4</v>
      </c>
    </row>
    <row r="26" spans="1:16">
      <c r="A26" t="s">
        <v>73</v>
      </c>
      <c r="B26" t="s">
        <v>693</v>
      </c>
      <c r="C26">
        <v>5</v>
      </c>
      <c r="E26" s="2" t="s">
        <v>674</v>
      </c>
      <c r="F26" s="2" t="s">
        <v>930</v>
      </c>
      <c r="G26">
        <v>4</v>
      </c>
    </row>
    <row r="27" spans="1:16">
      <c r="A27" t="s">
        <v>76</v>
      </c>
      <c r="B27" t="s">
        <v>693</v>
      </c>
      <c r="C27">
        <v>5</v>
      </c>
      <c r="E27" s="2" t="s">
        <v>81</v>
      </c>
      <c r="F27" s="2" t="s">
        <v>931</v>
      </c>
      <c r="G27">
        <v>4</v>
      </c>
    </row>
    <row r="28" spans="1:16">
      <c r="A28" t="s">
        <v>88</v>
      </c>
      <c r="B28" t="s">
        <v>693</v>
      </c>
      <c r="C28">
        <v>5</v>
      </c>
      <c r="E28" s="2"/>
      <c r="F28" s="2" t="s">
        <v>137</v>
      </c>
      <c r="G28">
        <v>5</v>
      </c>
    </row>
    <row r="29" spans="1:16">
      <c r="A29" t="s">
        <v>107</v>
      </c>
      <c r="B29" t="s">
        <v>693</v>
      </c>
      <c r="C29">
        <v>5</v>
      </c>
      <c r="F29" s="2" t="s">
        <v>138</v>
      </c>
      <c r="G29">
        <v>5</v>
      </c>
    </row>
    <row r="30" spans="1:16">
      <c r="A30" t="s">
        <v>113</v>
      </c>
      <c r="B30" t="s">
        <v>693</v>
      </c>
      <c r="C30" s="8">
        <v>5</v>
      </c>
      <c r="F30" s="2" t="s">
        <v>139</v>
      </c>
      <c r="G30">
        <v>5</v>
      </c>
    </row>
    <row r="31" spans="1:16">
      <c r="A31" s="2" t="s">
        <v>159</v>
      </c>
      <c r="B31" s="2" t="s">
        <v>693</v>
      </c>
      <c r="C31" s="2">
        <v>5</v>
      </c>
    </row>
    <row r="32" spans="1:16">
      <c r="A32" s="2" t="s">
        <v>118</v>
      </c>
      <c r="B32" s="2" t="s">
        <v>693</v>
      </c>
      <c r="C32" s="2">
        <v>5</v>
      </c>
      <c r="F32" t="b" cm="1">
        <f t="array" ref="F32">OR('Nom du personnage'!$C$65:$L$85=Concoction!F18,'Nom du personnage'!$Q$65:$Z$85=Concoction!F18)</f>
        <v>0</v>
      </c>
    </row>
    <row r="33" spans="6:6">
      <c r="F33" t="b" cm="1">
        <f t="array" ref="F33">OR('Nom du personnage'!$C$65:$L$85=Concoction!F19,'Nom du personnage'!$Q$65:$Z$85=Concoction!F19)</f>
        <v>0</v>
      </c>
    </row>
    <row r="34" spans="6:6">
      <c r="F34" t="b" cm="1">
        <f t="array" ref="F34">OR('Nom du personnage'!$C$65:$L$85=Concoction!F20,'Nom du personnage'!$Q$65:$Z$85=Concoction!F20)</f>
        <v>0</v>
      </c>
    </row>
    <row r="35" spans="6:6">
      <c r="F35" t="b" cm="1">
        <f t="array" ref="F35">OR('Nom du personnage'!$C$65:$L$85=Concoction!F21,'Nom du personnage'!$Q$65:$Z$85=Concoction!F21)</f>
        <v>0</v>
      </c>
    </row>
    <row r="36" spans="6:6">
      <c r="F36" t="b" cm="1">
        <f t="array" ref="F36">OR('Nom du personnage'!$C$65:$L$85=Concoction!F22,'Nom du personnage'!$Q$65:$Z$85=Concoction!F22)</f>
        <v>0</v>
      </c>
    </row>
    <row r="37" spans="6:6">
      <c r="F37" t="b" cm="1">
        <f t="array" ref="F37">OR('Nom du personnage'!$C$65:$L$85=Concoction!F23,'Nom du personnage'!$Q$65:$Z$85=Concoction!F23)</f>
        <v>0</v>
      </c>
    </row>
    <row r="38" spans="6:6">
      <c r="F38" t="b" cm="1">
        <f t="array" ref="F38">OR('Nom du personnage'!$C$65:$L$85=Concoction!F24,'Nom du personnage'!$Q$65:$Z$85=Concoction!F24)</f>
        <v>0</v>
      </c>
    </row>
    <row r="39" spans="6:6">
      <c r="F39" t="b" cm="1">
        <f t="array" ref="F39">OR('Nom du personnage'!$C$65:$L$85=Concoction!F25,'Nom du personnage'!$Q$65:$Z$85=Concoction!F25)</f>
        <v>0</v>
      </c>
    </row>
    <row r="40" spans="6:6">
      <c r="F40" t="b" cm="1">
        <f t="array" ref="F40">OR('Nom du personnage'!$C$65:$L$85=Concoction!F26,'Nom du personnage'!$Q$65:$Z$85=Concoction!F26)</f>
        <v>0</v>
      </c>
    </row>
    <row r="41" spans="6:6">
      <c r="F41" t="b" cm="1">
        <f t="array" ref="F41">OR('Nom du personnage'!$C$65:$L$85=Concoction!F27,'Nom du personnage'!$Q$65:$Z$85=Concoction!F27)</f>
        <v>0</v>
      </c>
    </row>
    <row r="42" spans="6:6">
      <c r="F42" t="b" cm="1">
        <f t="array" ref="F42">OR('Nom du personnage'!$C$65:$L$85=Concoction!F28,'Nom du personnage'!$Q$65:$Z$85=Concoction!F28)</f>
        <v>0</v>
      </c>
    </row>
    <row r="43" spans="6:6">
      <c r="F43" t="b" cm="1">
        <f t="array" ref="F43">OR('Nom du personnage'!$C$65:$L$85=Concoction!F29,'Nom du personnage'!$Q$65:$Z$85=Concoction!F29)</f>
        <v>0</v>
      </c>
    </row>
    <row r="44" spans="6:6">
      <c r="F44" t="b" cm="1">
        <f t="array" ref="F44">OR('Nom du personnage'!$C$65:$L$85=Concoction!F30,'Nom du personnage'!$Q$65:$Z$85=Concoction!F30)</f>
        <v>0</v>
      </c>
    </row>
    <row r="45" spans="6:6">
      <c r="F45" t="b" cm="1">
        <f t="array" ref="F45">OR(F32:F44=TRUE)</f>
        <v>0</v>
      </c>
    </row>
  </sheetData>
  <autoFilter ref="A1:C1" xr:uid="{90E06FFC-70C6-4023-8288-40635FC8B932}">
    <sortState xmlns:xlrd2="http://schemas.microsoft.com/office/spreadsheetml/2017/richdata2" ref="A2:C32">
      <sortCondition ref="B1"/>
    </sortState>
  </autoFilter>
  <sortState xmlns:xlrd2="http://schemas.microsoft.com/office/spreadsheetml/2017/richdata2" ref="A1:C1">
    <sortCondition ref="C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CA6A-475A-45B1-932F-3FF161081584}">
  <sheetPr codeName="Feuil10"/>
  <dimension ref="B2:E42"/>
  <sheetViews>
    <sheetView topLeftCell="A7" zoomScaleNormal="100" workbookViewId="0">
      <selection activeCell="K8" sqref="K8"/>
    </sheetView>
  </sheetViews>
  <sheetFormatPr baseColWidth="10" defaultRowHeight="15"/>
  <sheetData>
    <row r="2" spans="2:5">
      <c r="B2" t="s">
        <v>451</v>
      </c>
    </row>
    <row r="3" spans="2:5">
      <c r="B3">
        <f>'Nom du personnage'!C66</f>
        <v>0</v>
      </c>
      <c r="C3" t="e">
        <f>VLOOKUP(B3,Compétences!$H$3:$K$1048576,4,FALSE)</f>
        <v>#N/A</v>
      </c>
      <c r="D3" t="e">
        <f ca="1">SUMIF($B$3:$C$42,B3,$C$3:$C$42)</f>
        <v>#N/A</v>
      </c>
      <c r="E3" t="e">
        <f ca="1">IF(D3&gt;5,"X",0)</f>
        <v>#N/A</v>
      </c>
    </row>
    <row r="4" spans="2:5">
      <c r="B4">
        <f>'Nom du personnage'!C67</f>
        <v>0</v>
      </c>
      <c r="C4" t="e">
        <f>VLOOKUP(B4,Compétences!$H$3:$K$1048576,4,FALSE)</f>
        <v>#N/A</v>
      </c>
      <c r="D4" t="e">
        <f t="shared" ref="D4:D42" ca="1" si="0">SUMIF($B$3:$C$42,B4,$C$3:$C$42)</f>
        <v>#N/A</v>
      </c>
      <c r="E4" t="e">
        <f t="shared" ref="E4:E42" ca="1" si="1">IF(D4&gt;5,"X",0)</f>
        <v>#N/A</v>
      </c>
    </row>
    <row r="5" spans="2:5">
      <c r="B5">
        <f>'Nom du personnage'!C68</f>
        <v>0</v>
      </c>
      <c r="C5" t="e">
        <f>VLOOKUP(B5,Compétences!$H$3:$K$1048576,4,FALSE)</f>
        <v>#N/A</v>
      </c>
      <c r="D5" t="e">
        <f t="shared" ca="1" si="0"/>
        <v>#N/A</v>
      </c>
      <c r="E5" t="e">
        <f t="shared" ca="1" si="1"/>
        <v>#N/A</v>
      </c>
    </row>
    <row r="6" spans="2:5">
      <c r="B6">
        <f>'Nom du personnage'!C69</f>
        <v>0</v>
      </c>
      <c r="C6" t="e">
        <f>VLOOKUP(B6,Compétences!$H$3:$K$1048576,4,FALSE)</f>
        <v>#N/A</v>
      </c>
      <c r="D6" t="e">
        <f t="shared" ca="1" si="0"/>
        <v>#N/A</v>
      </c>
      <c r="E6" t="e">
        <f t="shared" ca="1" si="1"/>
        <v>#N/A</v>
      </c>
    </row>
    <row r="7" spans="2:5">
      <c r="B7">
        <f>'Nom du personnage'!C70</f>
        <v>0</v>
      </c>
      <c r="C7" t="e">
        <f>VLOOKUP(B7,Compétences!$H$3:$K$1048576,4,FALSE)</f>
        <v>#N/A</v>
      </c>
      <c r="D7" t="e">
        <f t="shared" ca="1" si="0"/>
        <v>#N/A</v>
      </c>
      <c r="E7" t="e">
        <f t="shared" ca="1" si="1"/>
        <v>#N/A</v>
      </c>
    </row>
    <row r="8" spans="2:5">
      <c r="B8">
        <f>'Nom du personnage'!C71</f>
        <v>0</v>
      </c>
      <c r="C8" t="e">
        <f>VLOOKUP(B8,Compétences!$H$3:$K$1048576,4,FALSE)</f>
        <v>#N/A</v>
      </c>
      <c r="D8" t="e">
        <f t="shared" ca="1" si="0"/>
        <v>#N/A</v>
      </c>
      <c r="E8" t="e">
        <f t="shared" ca="1" si="1"/>
        <v>#N/A</v>
      </c>
    </row>
    <row r="9" spans="2:5">
      <c r="B9">
        <f>'Nom du personnage'!C72</f>
        <v>0</v>
      </c>
      <c r="C9" t="e">
        <f>VLOOKUP(B9,Compétences!$H$3:$K$1048576,4,FALSE)</f>
        <v>#N/A</v>
      </c>
      <c r="D9" t="e">
        <f t="shared" ca="1" si="0"/>
        <v>#N/A</v>
      </c>
      <c r="E9" t="e">
        <f t="shared" ca="1" si="1"/>
        <v>#N/A</v>
      </c>
    </row>
    <row r="10" spans="2:5">
      <c r="B10">
        <f>'Nom du personnage'!C73</f>
        <v>0</v>
      </c>
      <c r="C10" t="e">
        <f>VLOOKUP(B10,Compétences!$H$3:$K$1048576,4,FALSE)</f>
        <v>#N/A</v>
      </c>
      <c r="D10" t="e">
        <f t="shared" ca="1" si="0"/>
        <v>#N/A</v>
      </c>
      <c r="E10" t="e">
        <f t="shared" ca="1" si="1"/>
        <v>#N/A</v>
      </c>
    </row>
    <row r="11" spans="2:5">
      <c r="B11">
        <f>'Nom du personnage'!C74</f>
        <v>0</v>
      </c>
      <c r="C11" t="e">
        <f>VLOOKUP(B11,Compétences!$H$3:$K$1048576,4,FALSE)</f>
        <v>#N/A</v>
      </c>
      <c r="D11" t="e">
        <f t="shared" ca="1" si="0"/>
        <v>#N/A</v>
      </c>
      <c r="E11" t="e">
        <f t="shared" ca="1" si="1"/>
        <v>#N/A</v>
      </c>
    </row>
    <row r="12" spans="2:5">
      <c r="B12">
        <f>'Nom du personnage'!C75</f>
        <v>0</v>
      </c>
      <c r="C12" t="e">
        <f>VLOOKUP(B12,Compétences!$H$3:$K$1048576,4,FALSE)</f>
        <v>#N/A</v>
      </c>
      <c r="D12" t="e">
        <f t="shared" ca="1" si="0"/>
        <v>#N/A</v>
      </c>
      <c r="E12" t="e">
        <f t="shared" ca="1" si="1"/>
        <v>#N/A</v>
      </c>
    </row>
    <row r="13" spans="2:5">
      <c r="B13">
        <f>'Nom du personnage'!C76</f>
        <v>0</v>
      </c>
      <c r="C13" t="e">
        <f>VLOOKUP(B13,Compétences!$H$3:$K$1048576,4,FALSE)</f>
        <v>#N/A</v>
      </c>
      <c r="D13" t="e">
        <f t="shared" ca="1" si="0"/>
        <v>#N/A</v>
      </c>
      <c r="E13" t="e">
        <f t="shared" ca="1" si="1"/>
        <v>#N/A</v>
      </c>
    </row>
    <row r="14" spans="2:5">
      <c r="B14">
        <f>'Nom du personnage'!C77</f>
        <v>0</v>
      </c>
      <c r="C14" t="e">
        <f>VLOOKUP(B14,Compétences!$H$3:$K$1048576,4,FALSE)</f>
        <v>#N/A</v>
      </c>
      <c r="D14" t="e">
        <f t="shared" ca="1" si="0"/>
        <v>#N/A</v>
      </c>
      <c r="E14" t="e">
        <f t="shared" ca="1" si="1"/>
        <v>#N/A</v>
      </c>
    </row>
    <row r="15" spans="2:5">
      <c r="B15">
        <f>'Nom du personnage'!C78</f>
        <v>0</v>
      </c>
      <c r="C15" t="e">
        <f>VLOOKUP(B15,Compétences!$H$3:$K$1048576,4,FALSE)</f>
        <v>#N/A</v>
      </c>
      <c r="D15" t="e">
        <f t="shared" ca="1" si="0"/>
        <v>#N/A</v>
      </c>
      <c r="E15" t="e">
        <f t="shared" ca="1" si="1"/>
        <v>#N/A</v>
      </c>
    </row>
    <row r="16" spans="2:5">
      <c r="B16">
        <f>'Nom du personnage'!C79</f>
        <v>0</v>
      </c>
      <c r="C16" t="e">
        <f>VLOOKUP(B16,Compétences!$H$3:$K$1048576,4,FALSE)</f>
        <v>#N/A</v>
      </c>
      <c r="D16" t="e">
        <f t="shared" ca="1" si="0"/>
        <v>#N/A</v>
      </c>
      <c r="E16" t="e">
        <f t="shared" ca="1" si="1"/>
        <v>#N/A</v>
      </c>
    </row>
    <row r="17" spans="2:5">
      <c r="B17">
        <f>'Nom du personnage'!C80</f>
        <v>0</v>
      </c>
      <c r="C17" t="e">
        <f>VLOOKUP(B17,Compétences!$H$3:$K$1048576,4,FALSE)</f>
        <v>#N/A</v>
      </c>
      <c r="D17" t="e">
        <f t="shared" ca="1" si="0"/>
        <v>#N/A</v>
      </c>
      <c r="E17" t="e">
        <f t="shared" ca="1" si="1"/>
        <v>#N/A</v>
      </c>
    </row>
    <row r="18" spans="2:5">
      <c r="B18">
        <f>'Nom du personnage'!C81</f>
        <v>0</v>
      </c>
      <c r="C18" t="e">
        <f>VLOOKUP(B18,Compétences!$H$3:$K$1048576,4,FALSE)</f>
        <v>#N/A</v>
      </c>
      <c r="D18" t="e">
        <f t="shared" ca="1" si="0"/>
        <v>#N/A</v>
      </c>
      <c r="E18" t="e">
        <f t="shared" ca="1" si="1"/>
        <v>#N/A</v>
      </c>
    </row>
    <row r="19" spans="2:5">
      <c r="B19">
        <f>'Nom du personnage'!C82</f>
        <v>0</v>
      </c>
      <c r="C19" t="e">
        <f>VLOOKUP(B19,Compétences!$H$3:$K$1048576,4,FALSE)</f>
        <v>#N/A</v>
      </c>
      <c r="D19" t="e">
        <f t="shared" ca="1" si="0"/>
        <v>#N/A</v>
      </c>
      <c r="E19" t="e">
        <f t="shared" ca="1" si="1"/>
        <v>#N/A</v>
      </c>
    </row>
    <row r="20" spans="2:5">
      <c r="B20">
        <f>'Nom du personnage'!C83</f>
        <v>0</v>
      </c>
      <c r="C20" t="e">
        <f>VLOOKUP(B20,Compétences!$H$3:$K$1048576,4,FALSE)</f>
        <v>#N/A</v>
      </c>
      <c r="D20" t="e">
        <f t="shared" ca="1" si="0"/>
        <v>#N/A</v>
      </c>
      <c r="E20" t="e">
        <f t="shared" ca="1" si="1"/>
        <v>#N/A</v>
      </c>
    </row>
    <row r="21" spans="2:5">
      <c r="B21">
        <f>'Nom du personnage'!C84</f>
        <v>0</v>
      </c>
      <c r="C21" t="e">
        <f>VLOOKUP(B21,Compétences!$H$3:$K$1048576,4,FALSE)</f>
        <v>#N/A</v>
      </c>
      <c r="D21" t="e">
        <f t="shared" ca="1" si="0"/>
        <v>#N/A</v>
      </c>
      <c r="E21" t="e">
        <f t="shared" ca="1" si="1"/>
        <v>#N/A</v>
      </c>
    </row>
    <row r="22" spans="2:5">
      <c r="B22">
        <f>'Nom du personnage'!C85</f>
        <v>0</v>
      </c>
      <c r="C22" t="e">
        <f>VLOOKUP(B22,Compétences!$H$3:$K$1048576,4,FALSE)</f>
        <v>#N/A</v>
      </c>
      <c r="D22" t="e">
        <f t="shared" ca="1" si="0"/>
        <v>#N/A</v>
      </c>
      <c r="E22" t="e">
        <f t="shared" ca="1" si="1"/>
        <v>#N/A</v>
      </c>
    </row>
    <row r="23" spans="2:5">
      <c r="B23">
        <f>'Nom du personnage'!Q66</f>
        <v>0</v>
      </c>
      <c r="C23" t="e">
        <f>VLOOKUP(B23,Compétences!$H$3:$K$1048576,4,FALSE)</f>
        <v>#N/A</v>
      </c>
      <c r="D23" t="e">
        <f t="shared" ca="1" si="0"/>
        <v>#N/A</v>
      </c>
      <c r="E23" t="e">
        <f t="shared" ca="1" si="1"/>
        <v>#N/A</v>
      </c>
    </row>
    <row r="24" spans="2:5">
      <c r="B24">
        <f>'Nom du personnage'!Q67</f>
        <v>0</v>
      </c>
      <c r="C24" t="e">
        <f>VLOOKUP(B24,Compétences!$H$3:$K$1048576,4,FALSE)</f>
        <v>#N/A</v>
      </c>
      <c r="D24" t="e">
        <f t="shared" ca="1" si="0"/>
        <v>#N/A</v>
      </c>
      <c r="E24" t="e">
        <f t="shared" ca="1" si="1"/>
        <v>#N/A</v>
      </c>
    </row>
    <row r="25" spans="2:5">
      <c r="B25">
        <f>'Nom du personnage'!Q68</f>
        <v>0</v>
      </c>
      <c r="C25" t="e">
        <f>VLOOKUP(B25,Compétences!$H$3:$K$1048576,4,FALSE)</f>
        <v>#N/A</v>
      </c>
      <c r="D25" t="e">
        <f t="shared" ca="1" si="0"/>
        <v>#N/A</v>
      </c>
      <c r="E25" t="e">
        <f t="shared" ca="1" si="1"/>
        <v>#N/A</v>
      </c>
    </row>
    <row r="26" spans="2:5">
      <c r="B26">
        <f>'Nom du personnage'!Q69</f>
        <v>0</v>
      </c>
      <c r="C26" t="e">
        <f>VLOOKUP(B26,Compétences!$H$3:$K$1048576,4,FALSE)</f>
        <v>#N/A</v>
      </c>
      <c r="D26" t="e">
        <f t="shared" ca="1" si="0"/>
        <v>#N/A</v>
      </c>
      <c r="E26" t="e">
        <f t="shared" ca="1" si="1"/>
        <v>#N/A</v>
      </c>
    </row>
    <row r="27" spans="2:5">
      <c r="B27">
        <f>'Nom du personnage'!Q70</f>
        <v>0</v>
      </c>
      <c r="C27" t="e">
        <f>VLOOKUP(B27,Compétences!$H$3:$K$1048576,4,FALSE)</f>
        <v>#N/A</v>
      </c>
      <c r="D27" t="e">
        <f t="shared" ca="1" si="0"/>
        <v>#N/A</v>
      </c>
      <c r="E27" t="e">
        <f t="shared" ca="1" si="1"/>
        <v>#N/A</v>
      </c>
    </row>
    <row r="28" spans="2:5">
      <c r="B28">
        <f>'Nom du personnage'!Q71</f>
        <v>0</v>
      </c>
      <c r="C28" t="e">
        <f>VLOOKUP(B28,Compétences!$H$3:$K$1048576,4,FALSE)</f>
        <v>#N/A</v>
      </c>
      <c r="D28" t="e">
        <f t="shared" ca="1" si="0"/>
        <v>#N/A</v>
      </c>
      <c r="E28" t="e">
        <f t="shared" ca="1" si="1"/>
        <v>#N/A</v>
      </c>
    </row>
    <row r="29" spans="2:5">
      <c r="B29">
        <f>'Nom du personnage'!Q72</f>
        <v>0</v>
      </c>
      <c r="C29" t="e">
        <f>VLOOKUP(B29,Compétences!$H$3:$K$1048576,4,FALSE)</f>
        <v>#N/A</v>
      </c>
      <c r="D29" t="e">
        <f t="shared" ca="1" si="0"/>
        <v>#N/A</v>
      </c>
      <c r="E29" t="e">
        <f t="shared" ca="1" si="1"/>
        <v>#N/A</v>
      </c>
    </row>
    <row r="30" spans="2:5">
      <c r="B30">
        <f>'Nom du personnage'!Q73</f>
        <v>0</v>
      </c>
      <c r="C30" t="e">
        <f>VLOOKUP(B30,Compétences!$H$3:$K$1048576,4,FALSE)</f>
        <v>#N/A</v>
      </c>
      <c r="D30" t="e">
        <f t="shared" ca="1" si="0"/>
        <v>#N/A</v>
      </c>
      <c r="E30" t="e">
        <f t="shared" ca="1" si="1"/>
        <v>#N/A</v>
      </c>
    </row>
    <row r="31" spans="2:5">
      <c r="B31">
        <f>'Nom du personnage'!Q74</f>
        <v>0</v>
      </c>
      <c r="C31" t="e">
        <f>VLOOKUP(B31,Compétences!$H$3:$K$1048576,4,FALSE)</f>
        <v>#N/A</v>
      </c>
      <c r="D31" t="e">
        <f t="shared" ca="1" si="0"/>
        <v>#N/A</v>
      </c>
      <c r="E31" t="e">
        <f t="shared" ca="1" si="1"/>
        <v>#N/A</v>
      </c>
    </row>
    <row r="32" spans="2:5">
      <c r="B32">
        <f>'Nom du personnage'!Q75</f>
        <v>0</v>
      </c>
      <c r="C32" t="e">
        <f>VLOOKUP(B32,Compétences!$H$3:$K$1048576,4,FALSE)</f>
        <v>#N/A</v>
      </c>
      <c r="D32" t="e">
        <f t="shared" ca="1" si="0"/>
        <v>#N/A</v>
      </c>
      <c r="E32" t="e">
        <f t="shared" ca="1" si="1"/>
        <v>#N/A</v>
      </c>
    </row>
    <row r="33" spans="2:5">
      <c r="B33">
        <f>'Nom du personnage'!Q76</f>
        <v>0</v>
      </c>
      <c r="C33" t="e">
        <f>VLOOKUP(B33,Compétences!$H$3:$K$1048576,4,FALSE)</f>
        <v>#N/A</v>
      </c>
      <c r="D33" t="e">
        <f t="shared" ca="1" si="0"/>
        <v>#N/A</v>
      </c>
      <c r="E33" t="e">
        <f t="shared" ca="1" si="1"/>
        <v>#N/A</v>
      </c>
    </row>
    <row r="34" spans="2:5">
      <c r="B34">
        <f>'Nom du personnage'!Q77</f>
        <v>0</v>
      </c>
      <c r="C34" t="e">
        <f>VLOOKUP(B34,Compétences!$H$3:$K$1048576,4,FALSE)</f>
        <v>#N/A</v>
      </c>
      <c r="D34" t="e">
        <f t="shared" ca="1" si="0"/>
        <v>#N/A</v>
      </c>
      <c r="E34" t="e">
        <f t="shared" ca="1" si="1"/>
        <v>#N/A</v>
      </c>
    </row>
    <row r="35" spans="2:5">
      <c r="B35">
        <f>'Nom du personnage'!Q78</f>
        <v>0</v>
      </c>
      <c r="C35" t="e">
        <f>VLOOKUP(B35,Compétences!$H$3:$K$1048576,4,FALSE)</f>
        <v>#N/A</v>
      </c>
      <c r="D35" t="e">
        <f t="shared" ca="1" si="0"/>
        <v>#N/A</v>
      </c>
      <c r="E35" t="e">
        <f t="shared" ca="1" si="1"/>
        <v>#N/A</v>
      </c>
    </row>
    <row r="36" spans="2:5">
      <c r="B36">
        <f>'Nom du personnage'!Q79</f>
        <v>0</v>
      </c>
      <c r="C36" t="e">
        <f>VLOOKUP(B36,Compétences!$H$3:$K$1048576,4,FALSE)</f>
        <v>#N/A</v>
      </c>
      <c r="D36" t="e">
        <f t="shared" ca="1" si="0"/>
        <v>#N/A</v>
      </c>
      <c r="E36" t="e">
        <f t="shared" ca="1" si="1"/>
        <v>#N/A</v>
      </c>
    </row>
    <row r="37" spans="2:5">
      <c r="B37">
        <f>'Nom du personnage'!Q80</f>
        <v>0</v>
      </c>
      <c r="C37" t="e">
        <f>VLOOKUP(B37,Compétences!$H$3:$K$1048576,4,FALSE)</f>
        <v>#N/A</v>
      </c>
      <c r="D37" t="e">
        <f t="shared" ca="1" si="0"/>
        <v>#N/A</v>
      </c>
      <c r="E37" t="e">
        <f t="shared" ca="1" si="1"/>
        <v>#N/A</v>
      </c>
    </row>
    <row r="38" spans="2:5">
      <c r="B38">
        <f>'Nom du personnage'!Q81</f>
        <v>0</v>
      </c>
      <c r="C38" t="e">
        <f>VLOOKUP(B38,Compétences!$H$3:$K$1048576,4,FALSE)</f>
        <v>#N/A</v>
      </c>
      <c r="D38" t="e">
        <f t="shared" ca="1" si="0"/>
        <v>#N/A</v>
      </c>
      <c r="E38" t="e">
        <f t="shared" ca="1" si="1"/>
        <v>#N/A</v>
      </c>
    </row>
    <row r="39" spans="2:5">
      <c r="B39">
        <f>'Nom du personnage'!Q82</f>
        <v>0</v>
      </c>
      <c r="C39" t="e">
        <f>VLOOKUP(B39,Compétences!$H$3:$K$1048576,4,FALSE)</f>
        <v>#N/A</v>
      </c>
      <c r="D39" t="e">
        <f t="shared" ca="1" si="0"/>
        <v>#N/A</v>
      </c>
      <c r="E39" t="e">
        <f t="shared" ca="1" si="1"/>
        <v>#N/A</v>
      </c>
    </row>
    <row r="40" spans="2:5">
      <c r="B40">
        <f>'Nom du personnage'!Q83</f>
        <v>0</v>
      </c>
      <c r="C40" t="e">
        <f>VLOOKUP(B40,Compétences!$H$3:$K$1048576,4,FALSE)</f>
        <v>#N/A</v>
      </c>
      <c r="D40" t="e">
        <f t="shared" ca="1" si="0"/>
        <v>#N/A</v>
      </c>
      <c r="E40" t="e">
        <f t="shared" ca="1" si="1"/>
        <v>#N/A</v>
      </c>
    </row>
    <row r="41" spans="2:5">
      <c r="B41">
        <f>'Nom du personnage'!Q84</f>
        <v>0</v>
      </c>
      <c r="C41" t="e">
        <f>VLOOKUP(B41,Compétences!$H$3:$K$1048576,4,FALSE)</f>
        <v>#N/A</v>
      </c>
      <c r="D41" t="e">
        <f t="shared" ca="1" si="0"/>
        <v>#N/A</v>
      </c>
      <c r="E41" t="e">
        <f t="shared" ca="1" si="1"/>
        <v>#N/A</v>
      </c>
    </row>
    <row r="42" spans="2:5">
      <c r="B42">
        <f>'Nom du personnage'!Q85</f>
        <v>0</v>
      </c>
      <c r="C42" t="e">
        <f>VLOOKUP(B42,Compétences!$H$3:$K$1048576,4,FALSE)</f>
        <v>#N/A</v>
      </c>
      <c r="D42" t="e">
        <f t="shared" ca="1" si="0"/>
        <v>#N/A</v>
      </c>
      <c r="E42" t="e">
        <f t="shared" ca="1" si="1"/>
        <v>#N/A</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EF55-8687-4302-BE94-7C1AD4DFC454}">
  <sheetPr codeName="Feuil12"/>
  <dimension ref="A1:V135"/>
  <sheetViews>
    <sheetView topLeftCell="H1" zoomScale="80" workbookViewId="0">
      <selection activeCell="J37" sqref="J37"/>
    </sheetView>
  </sheetViews>
  <sheetFormatPr baseColWidth="10" defaultRowHeight="15"/>
  <cols>
    <col min="1" max="1" width="16.6328125" bestFit="1" customWidth="1"/>
    <col min="3" max="3" width="15.54296875" bestFit="1" customWidth="1"/>
    <col min="6" max="6" width="15.54296875" bestFit="1" customWidth="1"/>
    <col min="8" max="8" width="31.26953125" bestFit="1" customWidth="1"/>
    <col min="11" max="12" width="10.90625" customWidth="1"/>
    <col min="13" max="13" width="15.54296875" bestFit="1" customWidth="1"/>
    <col min="14" max="14" width="10.90625" customWidth="1"/>
    <col min="15" max="15" width="16.1796875" bestFit="1" customWidth="1"/>
    <col min="16" max="16" width="16.1796875" customWidth="1"/>
    <col min="19" max="19" width="16.1796875" bestFit="1" customWidth="1"/>
  </cols>
  <sheetData>
    <row r="1" spans="1:22">
      <c r="A1" s="2" t="s">
        <v>155</v>
      </c>
      <c r="C1" s="2" t="s">
        <v>445</v>
      </c>
      <c r="E1" s="2" t="s">
        <v>155</v>
      </c>
      <c r="F1" s="2" t="s">
        <v>445</v>
      </c>
      <c r="H1" t="s">
        <v>215</v>
      </c>
      <c r="I1" s="2" t="s">
        <v>445</v>
      </c>
      <c r="K1" t="s">
        <v>681</v>
      </c>
      <c r="L1" t="s">
        <v>682</v>
      </c>
      <c r="M1" t="s">
        <v>663</v>
      </c>
      <c r="O1" t="s">
        <v>223</v>
      </c>
      <c r="R1" s="2" t="s">
        <v>704</v>
      </c>
      <c r="S1" s="2" t="s">
        <v>663</v>
      </c>
      <c r="T1" s="2" t="s">
        <v>223</v>
      </c>
      <c r="U1" s="2" t="s">
        <v>705</v>
      </c>
      <c r="V1" s="2" t="s">
        <v>706</v>
      </c>
    </row>
    <row r="2" spans="1:22">
      <c r="A2" s="2" t="s">
        <v>35</v>
      </c>
      <c r="C2" s="2" t="s">
        <v>325</v>
      </c>
      <c r="E2" s="2" t="s">
        <v>35</v>
      </c>
      <c r="F2" s="2" t="s">
        <v>41</v>
      </c>
      <c r="H2" s="2" t="s">
        <v>217</v>
      </c>
      <c r="I2" s="2" t="s">
        <v>41</v>
      </c>
      <c r="K2">
        <f>IF(H2='Nom du personnage'!$F$54,1,)</f>
        <v>0</v>
      </c>
      <c r="L2">
        <f>IF(H2='Nom du personnage'!$K$54,1,)</f>
        <v>0</v>
      </c>
      <c r="M2">
        <f>IF(E2='Nom du personnage'!$U$51,F2,)</f>
        <v>0</v>
      </c>
      <c r="N2">
        <v>1</v>
      </c>
      <c r="O2">
        <f>IF(OR(K2=1,L2=1),I2,0)</f>
        <v>0</v>
      </c>
      <c r="P2">
        <v>1</v>
      </c>
      <c r="R2" s="2" t="s">
        <v>325</v>
      </c>
      <c r="S2" t="e">
        <f>VLOOKUP($R2,$M$2:$N$50,2,FALSE)</f>
        <v>#N/A</v>
      </c>
      <c r="T2" t="e">
        <f t="shared" ref="T2:T10" si="0">VLOOKUP($R2,$O$2:$P$135,2,FALSE)</f>
        <v>#N/A</v>
      </c>
      <c r="U2">
        <f>IF(ISERROR(S2+T2=2),0,R2)</f>
        <v>0</v>
      </c>
    </row>
    <row r="3" spans="1:22">
      <c r="A3" s="2" t="s">
        <v>39</v>
      </c>
      <c r="C3" s="2" t="s">
        <v>37</v>
      </c>
      <c r="E3" s="2" t="s">
        <v>39</v>
      </c>
      <c r="F3" s="2" t="s">
        <v>319</v>
      </c>
      <c r="H3" s="2" t="s">
        <v>217</v>
      </c>
      <c r="I3" s="2" t="s">
        <v>320</v>
      </c>
      <c r="K3">
        <f>IF(H3='Nom du personnage'!$F$54,1,)</f>
        <v>0</v>
      </c>
      <c r="L3">
        <f>IF(H3='Nom du personnage'!$K$54,1,)</f>
        <v>0</v>
      </c>
      <c r="M3">
        <f>IF(E3='Nom du personnage'!$U$51,F3,)</f>
        <v>0</v>
      </c>
      <c r="N3">
        <v>1</v>
      </c>
      <c r="O3">
        <f t="shared" ref="O3:O69" si="1">IF(OR(K3=1,L3=1),I3,0)</f>
        <v>0</v>
      </c>
      <c r="P3">
        <v>1</v>
      </c>
      <c r="R3" s="2" t="s">
        <v>37</v>
      </c>
      <c r="S3" t="e">
        <f>VLOOKUP($R3,$M$2:$N$50,2,FALSE)</f>
        <v>#N/A</v>
      </c>
      <c r="T3" t="e">
        <f t="shared" si="0"/>
        <v>#N/A</v>
      </c>
      <c r="U3">
        <f t="shared" ref="U3:U10" si="2">IF(ISERROR(S3+T3=2),0,R3)</f>
        <v>0</v>
      </c>
      <c r="V3">
        <f>IF(AND('Nom du personnage'!$U$51=Données!$H$26,OR('Nom du personnage'!$H$88='Restriction d''école'!$U$3,'Nom du personnage'!$H$88='Restriction d''école'!$U$4,'Nom du personnage'!$H$88='Restriction d''école'!$U$6,'Nom du personnage'!$H$88='Restriction d''école'!$U$9,'Nom du personnage'!$H$88='Restriction d''école'!$U$10)),0,'Restriction d''école'!U3)</f>
        <v>0</v>
      </c>
    </row>
    <row r="4" spans="1:22">
      <c r="A4" s="2" t="s">
        <v>47</v>
      </c>
      <c r="C4" s="2" t="s">
        <v>41</v>
      </c>
      <c r="E4" s="2" t="s">
        <v>39</v>
      </c>
      <c r="F4" s="2" t="s">
        <v>53</v>
      </c>
      <c r="H4" s="2" t="s">
        <v>217</v>
      </c>
      <c r="I4" s="2" t="s">
        <v>53</v>
      </c>
      <c r="K4">
        <f>IF(H4='Nom du personnage'!$F$54,1,)</f>
        <v>0</v>
      </c>
      <c r="L4">
        <f>IF(H4='Nom du personnage'!$K$54,1,)</f>
        <v>0</v>
      </c>
      <c r="M4">
        <f>IF(E4='Nom du personnage'!$U$51,F4,)</f>
        <v>0</v>
      </c>
      <c r="N4">
        <v>1</v>
      </c>
      <c r="O4">
        <f t="shared" si="1"/>
        <v>0</v>
      </c>
      <c r="P4">
        <v>1</v>
      </c>
      <c r="R4" s="2" t="s">
        <v>41</v>
      </c>
      <c r="S4" t="e">
        <f t="shared" ref="S4:S10" si="3">VLOOKUP($R4,$M$2:$N$50,2,FALSE)</f>
        <v>#N/A</v>
      </c>
      <c r="T4" t="e">
        <f t="shared" si="0"/>
        <v>#N/A</v>
      </c>
      <c r="U4">
        <f t="shared" si="2"/>
        <v>0</v>
      </c>
      <c r="V4">
        <f>IF(AND('Nom du personnage'!$U$51=Données!$H$26,OR('Nom du personnage'!$H$88='Restriction d''école'!$U$3,'Nom du personnage'!$H$88='Restriction d''école'!$U$4,'Nom du personnage'!$H$88='Restriction d''école'!$U$6,'Nom du personnage'!$H$88='Restriction d''école'!$U$9,'Nom du personnage'!$H$88='Restriction d''école'!$U$10)),0,'Restriction d''école'!U4)</f>
        <v>0</v>
      </c>
    </row>
    <row r="5" spans="1:22">
      <c r="A5" s="2" t="s">
        <v>55</v>
      </c>
      <c r="C5" s="2" t="s">
        <v>319</v>
      </c>
      <c r="E5" s="2" t="s">
        <v>39</v>
      </c>
      <c r="F5" s="2" t="s">
        <v>57</v>
      </c>
      <c r="H5" s="2" t="s">
        <v>217</v>
      </c>
      <c r="I5" s="2" t="s">
        <v>323</v>
      </c>
      <c r="K5">
        <f>IF(H5='Nom du personnage'!$F$54,1,)</f>
        <v>0</v>
      </c>
      <c r="L5">
        <f>IF(H5='Nom du personnage'!$K$54,1,)</f>
        <v>0</v>
      </c>
      <c r="M5">
        <f>IF(E5='Nom du personnage'!$U$51,F5,)</f>
        <v>0</v>
      </c>
      <c r="N5">
        <v>1</v>
      </c>
      <c r="O5">
        <f t="shared" si="1"/>
        <v>0</v>
      </c>
      <c r="P5">
        <v>1</v>
      </c>
      <c r="R5" s="2" t="s">
        <v>319</v>
      </c>
      <c r="S5" t="e">
        <f>VLOOKUP($R5,$M$2:$N$50,2,FALSE)</f>
        <v>#N/A</v>
      </c>
      <c r="T5">
        <f>VLOOKUP($R5,$O$2:$P$135,2,FALSE)</f>
        <v>1</v>
      </c>
      <c r="U5">
        <f t="shared" si="2"/>
        <v>0</v>
      </c>
      <c r="V5">
        <f>IF(AND('Nom du personnage'!$U$51=Données!$H$26,OR('Nom du personnage'!$H$88='Restriction d''école'!$U$8,'Nom du personnage'!$H$88='Restriction d''école'!$U$7,'Nom du personnage'!$H$88='Restriction d''école'!$U$5)),0,U5)</f>
        <v>0</v>
      </c>
    </row>
    <row r="6" spans="1:22">
      <c r="A6" s="2" t="s">
        <v>63</v>
      </c>
      <c r="C6" s="2" t="s">
        <v>320</v>
      </c>
      <c r="E6" s="2" t="s">
        <v>47</v>
      </c>
      <c r="F6" s="2" t="s">
        <v>37</v>
      </c>
      <c r="H6" s="2" t="s">
        <v>83</v>
      </c>
      <c r="I6" s="2" t="s">
        <v>37</v>
      </c>
      <c r="K6">
        <f>IF(H6='Nom du personnage'!$F$54,1,)</f>
        <v>0</v>
      </c>
      <c r="L6">
        <f>IF(H6='Nom du personnage'!$K$54,1,)</f>
        <v>0</v>
      </c>
      <c r="M6">
        <f>IF(E6='Nom du personnage'!$U$51,F6,)</f>
        <v>0</v>
      </c>
      <c r="N6">
        <v>1</v>
      </c>
      <c r="O6">
        <f t="shared" si="1"/>
        <v>0</v>
      </c>
      <c r="P6">
        <v>1</v>
      </c>
      <c r="R6" s="2" t="s">
        <v>320</v>
      </c>
      <c r="S6" t="e">
        <f t="shared" si="3"/>
        <v>#N/A</v>
      </c>
      <c r="T6" t="e">
        <f t="shared" si="0"/>
        <v>#N/A</v>
      </c>
      <c r="U6">
        <f t="shared" si="2"/>
        <v>0</v>
      </c>
      <c r="V6">
        <f>IF(AND('Nom du personnage'!$U$51=Données!$H$26,OR('Nom du personnage'!$H$88='Restriction d''école'!$U$8,'Nom du personnage'!$H$88='Restriction d''école'!$U$7,'Nom du personnage'!$H$88='Restriction d''école'!$U$5)),0,U6)</f>
        <v>0</v>
      </c>
    </row>
    <row r="7" spans="1:22">
      <c r="A7" s="2" t="s">
        <v>70</v>
      </c>
      <c r="C7" s="2" t="s">
        <v>53</v>
      </c>
      <c r="E7" s="2" t="s">
        <v>47</v>
      </c>
      <c r="F7" s="2" t="s">
        <v>320</v>
      </c>
      <c r="H7" s="2" t="s">
        <v>83</v>
      </c>
      <c r="I7" s="2" t="s">
        <v>41</v>
      </c>
      <c r="K7">
        <f>IF(H7='Nom du personnage'!$F$54,1,)</f>
        <v>0</v>
      </c>
      <c r="L7">
        <f>IF(H7='Nom du personnage'!$K$54,1,)</f>
        <v>0</v>
      </c>
      <c r="M7">
        <f>IF(E7='Nom du personnage'!$U$51,F7,)</f>
        <v>0</v>
      </c>
      <c r="N7">
        <v>1</v>
      </c>
      <c r="O7">
        <f t="shared" si="1"/>
        <v>0</v>
      </c>
      <c r="P7">
        <v>1</v>
      </c>
      <c r="R7" s="2" t="s">
        <v>53</v>
      </c>
      <c r="S7" t="e">
        <f t="shared" si="3"/>
        <v>#N/A</v>
      </c>
      <c r="T7" t="e">
        <f t="shared" si="0"/>
        <v>#N/A</v>
      </c>
      <c r="U7">
        <f t="shared" si="2"/>
        <v>0</v>
      </c>
      <c r="V7">
        <f>IF(AND('Nom du personnage'!$U$51=Données!$H$26,OR('Nom du personnage'!$H$88='Restriction d''école'!$U$8,'Nom du personnage'!$H$88='Restriction d''école'!$U$7,'Nom du personnage'!$H$88='Restriction d''école'!$U$5)),0,U7)</f>
        <v>0</v>
      </c>
    </row>
    <row r="8" spans="1:22">
      <c r="A8" s="2" t="s">
        <v>76</v>
      </c>
      <c r="C8" s="2" t="s">
        <v>57</v>
      </c>
      <c r="E8" s="2" t="s">
        <v>47</v>
      </c>
      <c r="F8" s="2" t="s">
        <v>323</v>
      </c>
      <c r="H8" s="2" t="s">
        <v>83</v>
      </c>
      <c r="I8" s="2" t="s">
        <v>326</v>
      </c>
      <c r="K8">
        <f>IF(H8='Nom du personnage'!$F$54,1,)</f>
        <v>0</v>
      </c>
      <c r="L8">
        <f>IF(H8='Nom du personnage'!$K$54,1,)</f>
        <v>0</v>
      </c>
      <c r="M8">
        <f>IF(E8='Nom du personnage'!$U$51,F8,)</f>
        <v>0</v>
      </c>
      <c r="N8">
        <v>1</v>
      </c>
      <c r="O8">
        <f t="shared" si="1"/>
        <v>0</v>
      </c>
      <c r="P8">
        <v>1</v>
      </c>
      <c r="R8" s="2" t="s">
        <v>57</v>
      </c>
      <c r="S8" t="e">
        <f>VLOOKUP($R8,$M$2:$N$50,2,FALSE)</f>
        <v>#N/A</v>
      </c>
      <c r="T8" t="e">
        <f t="shared" si="0"/>
        <v>#N/A</v>
      </c>
      <c r="U8">
        <f t="shared" si="2"/>
        <v>0</v>
      </c>
      <c r="V8">
        <f>IF(AND('Nom du personnage'!$U$51=Données!$H$26,OR('Nom du personnage'!$H$88='Restriction d''école'!$U$8,'Nom du personnage'!$H$88='Restriction d''école'!$U$7,'Nom du personnage'!$H$88='Restriction d''école'!$U$5)),0,U8)</f>
        <v>0</v>
      </c>
    </row>
    <row r="9" spans="1:22">
      <c r="A9" s="2" t="s">
        <v>157</v>
      </c>
      <c r="C9" s="2" t="s">
        <v>323</v>
      </c>
      <c r="E9" s="2" t="s">
        <v>47</v>
      </c>
      <c r="F9" s="2" t="s">
        <v>326</v>
      </c>
      <c r="H9" t="s">
        <v>36</v>
      </c>
      <c r="I9" s="2" t="s">
        <v>37</v>
      </c>
      <c r="K9">
        <f>IF(H9='Nom du personnage'!$F$54,1,)</f>
        <v>0</v>
      </c>
      <c r="L9">
        <f>IF(H9='Nom du personnage'!$K$54,1,)</f>
        <v>0</v>
      </c>
      <c r="M9">
        <f>IF(E9='Nom du personnage'!$U$51,F9,)</f>
        <v>0</v>
      </c>
      <c r="N9">
        <v>1</v>
      </c>
      <c r="O9">
        <f t="shared" si="1"/>
        <v>0</v>
      </c>
      <c r="P9">
        <v>1</v>
      </c>
      <c r="R9" s="2" t="s">
        <v>323</v>
      </c>
      <c r="S9" t="e">
        <f t="shared" si="3"/>
        <v>#N/A</v>
      </c>
      <c r="T9" t="e">
        <f t="shared" si="0"/>
        <v>#N/A</v>
      </c>
      <c r="U9">
        <f t="shared" si="2"/>
        <v>0</v>
      </c>
      <c r="V9">
        <f>IF(AND('Nom du personnage'!$U$51=Données!$H$26,OR('Nom du personnage'!$H$88='Restriction d''école'!$U$3,'Nom du personnage'!$H$88='Restriction d''école'!$U$4,'Nom du personnage'!$H$88='Restriction d''école'!$U$6,'Nom du personnage'!$H$88='Restriction d''école'!$U$9,'Nom du personnage'!$H$88='Restriction d''école'!$U$10)),0,'Restriction d''école'!U9)</f>
        <v>0</v>
      </c>
    </row>
    <row r="10" spans="1:22">
      <c r="A10" s="2" t="s">
        <v>85</v>
      </c>
      <c r="C10" s="2" t="s">
        <v>326</v>
      </c>
      <c r="E10" s="2" t="s">
        <v>55</v>
      </c>
      <c r="F10" s="2" t="s">
        <v>37</v>
      </c>
      <c r="H10" t="s">
        <v>36</v>
      </c>
      <c r="I10" s="2" t="s">
        <v>320</v>
      </c>
      <c r="K10">
        <f>IF(H10='Nom du personnage'!$F$54,1,)</f>
        <v>0</v>
      </c>
      <c r="L10">
        <f>IF(H10='Nom du personnage'!$K$54,1,)</f>
        <v>0</v>
      </c>
      <c r="M10">
        <f>IF(E10='Nom du personnage'!$U$51,F10,)</f>
        <v>0</v>
      </c>
      <c r="N10">
        <v>1</v>
      </c>
      <c r="O10">
        <f t="shared" si="1"/>
        <v>0</v>
      </c>
      <c r="P10">
        <v>1</v>
      </c>
      <c r="R10" s="2" t="s">
        <v>326</v>
      </c>
      <c r="S10" t="e">
        <f t="shared" si="3"/>
        <v>#N/A</v>
      </c>
      <c r="T10" t="e">
        <f t="shared" si="0"/>
        <v>#N/A</v>
      </c>
      <c r="U10">
        <f t="shared" si="2"/>
        <v>0</v>
      </c>
      <c r="V10">
        <f>IF(AND('Nom du personnage'!$U$51=Données!$H$26,OR('Nom du personnage'!$H$88='Restriction d''école'!$U$3,'Nom du personnage'!$H$88='Restriction d''école'!$U$4,'Nom du personnage'!$H$88='Restriction d''école'!$U$6,'Nom du personnage'!$H$88='Restriction d''école'!$U$9,'Nom du personnage'!$H$88='Restriction d''école'!$U$10)),0,'Restriction d''école'!U10)</f>
        <v>0</v>
      </c>
    </row>
    <row r="11" spans="1:22">
      <c r="A11" s="2" t="s">
        <v>88</v>
      </c>
      <c r="E11" s="2" t="s">
        <v>55</v>
      </c>
      <c r="F11" s="2" t="s">
        <v>41</v>
      </c>
      <c r="H11" t="s">
        <v>36</v>
      </c>
      <c r="I11" s="2" t="s">
        <v>53</v>
      </c>
      <c r="K11">
        <f>IF(H11='Nom du personnage'!$F$54,1,)</f>
        <v>0</v>
      </c>
      <c r="L11">
        <f>IF(H11='Nom du personnage'!$K$54,1,)</f>
        <v>0</v>
      </c>
      <c r="M11">
        <f>IF(E11='Nom du personnage'!$U$51,F11,)</f>
        <v>0</v>
      </c>
      <c r="N11">
        <v>1</v>
      </c>
      <c r="O11">
        <f t="shared" si="1"/>
        <v>0</v>
      </c>
      <c r="P11">
        <v>1</v>
      </c>
    </row>
    <row r="12" spans="1:22">
      <c r="A12" s="2" t="s">
        <v>91</v>
      </c>
      <c r="E12" s="2" t="s">
        <v>55</v>
      </c>
      <c r="F12" s="2" t="s">
        <v>320</v>
      </c>
      <c r="H12" s="2" t="s">
        <v>40</v>
      </c>
      <c r="I12" s="2" t="s">
        <v>37</v>
      </c>
      <c r="K12">
        <f>IF(H12='Nom du personnage'!$F$54,1,)</f>
        <v>0</v>
      </c>
      <c r="L12">
        <f>IF(H12='Nom du personnage'!$K$54,1,)</f>
        <v>0</v>
      </c>
      <c r="M12">
        <f>IF(E12='Nom du personnage'!$U$51,F12,)</f>
        <v>0</v>
      </c>
      <c r="N12">
        <v>1</v>
      </c>
      <c r="O12">
        <f t="shared" si="1"/>
        <v>0</v>
      </c>
      <c r="P12">
        <v>1</v>
      </c>
    </row>
    <row r="13" spans="1:22">
      <c r="A13" s="2" t="s">
        <v>94</v>
      </c>
      <c r="E13" s="2" t="s">
        <v>63</v>
      </c>
      <c r="F13" s="2" t="s">
        <v>319</v>
      </c>
      <c r="H13" s="2" t="s">
        <v>40</v>
      </c>
      <c r="I13" s="2" t="s">
        <v>320</v>
      </c>
      <c r="K13">
        <f>IF(H13='Nom du personnage'!$F$54,1,)</f>
        <v>0</v>
      </c>
      <c r="L13">
        <f>IF(H13='Nom du personnage'!$K$54,1,)</f>
        <v>0</v>
      </c>
      <c r="M13">
        <f>IF(E13='Nom du personnage'!$U$51,F13,)</f>
        <v>0</v>
      </c>
      <c r="N13">
        <v>1</v>
      </c>
      <c r="O13">
        <f t="shared" si="1"/>
        <v>0</v>
      </c>
      <c r="P13">
        <v>1</v>
      </c>
    </row>
    <row r="14" spans="1:22">
      <c r="A14" s="2" t="s">
        <v>104</v>
      </c>
      <c r="E14" s="2" t="s">
        <v>63</v>
      </c>
      <c r="F14" s="2" t="s">
        <v>53</v>
      </c>
      <c r="H14" s="2" t="s">
        <v>40</v>
      </c>
      <c r="I14" s="2" t="s">
        <v>53</v>
      </c>
      <c r="K14">
        <f>IF(H14='Nom du personnage'!$F$54,1,)</f>
        <v>0</v>
      </c>
      <c r="L14">
        <f>IF(H14='Nom du personnage'!$K$54,1,)</f>
        <v>0</v>
      </c>
      <c r="M14">
        <f>IF(E14='Nom du personnage'!$U$51,F14,)</f>
        <v>0</v>
      </c>
      <c r="N14">
        <v>1</v>
      </c>
      <c r="O14">
        <f t="shared" si="1"/>
        <v>0</v>
      </c>
      <c r="P14">
        <v>1</v>
      </c>
    </row>
    <row r="15" spans="1:22">
      <c r="A15" s="2" t="s">
        <v>107</v>
      </c>
      <c r="E15" s="2" t="s">
        <v>63</v>
      </c>
      <c r="F15" s="2" t="s">
        <v>57</v>
      </c>
      <c r="H15" s="2" t="s">
        <v>40</v>
      </c>
      <c r="I15" s="2" t="s">
        <v>57</v>
      </c>
      <c r="K15">
        <f>IF(H15='Nom du personnage'!$F$54,1,)</f>
        <v>0</v>
      </c>
      <c r="L15">
        <f>IF(H15='Nom du personnage'!$K$54,1,)</f>
        <v>0</v>
      </c>
      <c r="M15">
        <f>IF(E15='Nom du personnage'!$U$51,F15,)</f>
        <v>0</v>
      </c>
      <c r="N15">
        <v>1</v>
      </c>
      <c r="O15">
        <f t="shared" si="1"/>
        <v>0</v>
      </c>
      <c r="P15">
        <v>1</v>
      </c>
    </row>
    <row r="16" spans="1:22">
      <c r="A16" s="2" t="s">
        <v>110</v>
      </c>
      <c r="E16" s="2" t="s">
        <v>70</v>
      </c>
      <c r="F16" s="2" t="s">
        <v>41</v>
      </c>
      <c r="H16" s="2" t="s">
        <v>31</v>
      </c>
      <c r="I16" s="2" t="s">
        <v>37</v>
      </c>
      <c r="K16">
        <f>IF(H16='Nom du personnage'!$F$54,1,)</f>
        <v>0</v>
      </c>
      <c r="L16">
        <f>IF(H16='Nom du personnage'!$K$54,1,)</f>
        <v>0</v>
      </c>
      <c r="M16">
        <f>IF(E16='Nom du personnage'!$U$51,F16,)</f>
        <v>0</v>
      </c>
      <c r="N16">
        <v>1</v>
      </c>
      <c r="O16">
        <f t="shared" si="1"/>
        <v>0</v>
      </c>
      <c r="P16">
        <v>1</v>
      </c>
    </row>
    <row r="17" spans="1:16">
      <c r="A17" s="2" t="s">
        <v>113</v>
      </c>
      <c r="E17" s="2" t="s">
        <v>70</v>
      </c>
      <c r="F17" s="2" t="s">
        <v>319</v>
      </c>
      <c r="H17" s="2" t="s">
        <v>31</v>
      </c>
      <c r="I17" s="2" t="s">
        <v>320</v>
      </c>
      <c r="K17">
        <f>IF(H17='Nom du personnage'!$F$54,1,)</f>
        <v>0</v>
      </c>
      <c r="L17">
        <f>IF(H17='Nom du personnage'!$K$54,1,)</f>
        <v>0</v>
      </c>
      <c r="M17">
        <f>IF(E17='Nom du personnage'!$U$51,F17,)</f>
        <v>0</v>
      </c>
      <c r="N17">
        <v>1</v>
      </c>
      <c r="O17">
        <f t="shared" si="1"/>
        <v>0</v>
      </c>
      <c r="P17">
        <v>1</v>
      </c>
    </row>
    <row r="18" spans="1:16">
      <c r="A18" s="2" t="s">
        <v>159</v>
      </c>
      <c r="E18" s="2" t="s">
        <v>70</v>
      </c>
      <c r="F18" s="2" t="s">
        <v>53</v>
      </c>
      <c r="H18" s="2" t="s">
        <v>31</v>
      </c>
      <c r="I18" s="2" t="s">
        <v>57</v>
      </c>
      <c r="K18">
        <f>IF(H18='Nom du personnage'!$F$54,1,)</f>
        <v>0</v>
      </c>
      <c r="L18">
        <f>IF(H18='Nom du personnage'!$K$54,1,)</f>
        <v>0</v>
      </c>
      <c r="M18">
        <f>IF(E18='Nom du personnage'!$U$51,F18,)</f>
        <v>0</v>
      </c>
      <c r="N18">
        <v>1</v>
      </c>
      <c r="O18">
        <f t="shared" si="1"/>
        <v>0</v>
      </c>
      <c r="P18">
        <v>1</v>
      </c>
    </row>
    <row r="19" spans="1:16">
      <c r="A19" s="2"/>
      <c r="E19" s="2" t="s">
        <v>76</v>
      </c>
      <c r="F19" s="2" t="s">
        <v>41</v>
      </c>
      <c r="H19" s="2" t="s">
        <v>31</v>
      </c>
      <c r="I19" s="2" t="s">
        <v>323</v>
      </c>
      <c r="K19">
        <f>IF(H19='Nom du personnage'!$F$54,1,)</f>
        <v>0</v>
      </c>
      <c r="L19">
        <f>IF(H19='Nom du personnage'!$K$54,1,)</f>
        <v>0</v>
      </c>
      <c r="M19">
        <f>IF(E19='Nom du personnage'!$U$51,F19,)</f>
        <v>0</v>
      </c>
      <c r="N19">
        <v>1</v>
      </c>
      <c r="O19">
        <f t="shared" si="1"/>
        <v>0</v>
      </c>
      <c r="P19">
        <v>1</v>
      </c>
    </row>
    <row r="20" spans="1:16">
      <c r="A20" s="2"/>
      <c r="E20" s="2" t="s">
        <v>157</v>
      </c>
      <c r="F20" s="2" t="s">
        <v>41</v>
      </c>
      <c r="H20" s="2" t="s">
        <v>216</v>
      </c>
      <c r="I20" s="2" t="s">
        <v>320</v>
      </c>
      <c r="K20">
        <f>IF(H20='Nom du personnage'!$F$54,1,)</f>
        <v>0</v>
      </c>
      <c r="L20">
        <f>IF(H20='Nom du personnage'!$K$54,1,)</f>
        <v>0</v>
      </c>
      <c r="M20">
        <f>IF(E20='Nom du personnage'!$U$51,F20,)</f>
        <v>0</v>
      </c>
      <c r="N20">
        <v>1</v>
      </c>
      <c r="O20">
        <f t="shared" si="1"/>
        <v>0</v>
      </c>
      <c r="P20">
        <v>1</v>
      </c>
    </row>
    <row r="21" spans="1:16">
      <c r="A21" s="2"/>
      <c r="E21" s="2" t="s">
        <v>85</v>
      </c>
      <c r="F21" s="2" t="s">
        <v>37</v>
      </c>
      <c r="H21" s="2" t="s">
        <v>216</v>
      </c>
      <c r="I21" s="2" t="s">
        <v>53</v>
      </c>
      <c r="K21">
        <f>IF(H21='Nom du personnage'!$F$54,1,)</f>
        <v>0</v>
      </c>
      <c r="L21">
        <f>IF(H21='Nom du personnage'!$K$54,1,)</f>
        <v>0</v>
      </c>
      <c r="M21">
        <f>IF(E21='Nom du personnage'!$U$51,F21,)</f>
        <v>0</v>
      </c>
      <c r="N21">
        <v>1</v>
      </c>
      <c r="O21">
        <f t="shared" si="1"/>
        <v>0</v>
      </c>
      <c r="P21">
        <v>1</v>
      </c>
    </row>
    <row r="22" spans="1:16">
      <c r="A22" s="2"/>
      <c r="E22" s="2" t="s">
        <v>85</v>
      </c>
      <c r="F22" s="2" t="s">
        <v>320</v>
      </c>
      <c r="H22" s="2" t="s">
        <v>216</v>
      </c>
      <c r="I22" s="2" t="s">
        <v>323</v>
      </c>
      <c r="K22">
        <f>IF(H22='Nom du personnage'!$F$54,1,)</f>
        <v>0</v>
      </c>
      <c r="L22">
        <f>IF(H22='Nom du personnage'!$K$54,1,)</f>
        <v>0</v>
      </c>
      <c r="M22">
        <f>IF(E22='Nom du personnage'!$U$51,F22,)</f>
        <v>0</v>
      </c>
      <c r="N22">
        <v>1</v>
      </c>
      <c r="O22">
        <f t="shared" si="1"/>
        <v>0</v>
      </c>
      <c r="P22">
        <v>1</v>
      </c>
    </row>
    <row r="23" spans="1:16">
      <c r="A23" s="2"/>
      <c r="E23" s="2" t="s">
        <v>85</v>
      </c>
      <c r="F23" s="2" t="s">
        <v>323</v>
      </c>
      <c r="H23" s="2" t="s">
        <v>86</v>
      </c>
      <c r="I23" s="2" t="s">
        <v>37</v>
      </c>
      <c r="K23">
        <f>IF(H23='Nom du personnage'!$F$54,1,)</f>
        <v>0</v>
      </c>
      <c r="L23">
        <f>IF(H23='Nom du personnage'!$K$54,1,)</f>
        <v>0</v>
      </c>
      <c r="M23">
        <f>IF(E23='Nom du personnage'!$U$51,F23,)</f>
        <v>0</v>
      </c>
      <c r="N23">
        <v>1</v>
      </c>
      <c r="O23">
        <f t="shared" si="1"/>
        <v>0</v>
      </c>
      <c r="P23">
        <v>1</v>
      </c>
    </row>
    <row r="24" spans="1:16">
      <c r="A24" s="2"/>
      <c r="E24" s="2" t="s">
        <v>85</v>
      </c>
      <c r="F24" s="2" t="s">
        <v>326</v>
      </c>
      <c r="H24" s="2" t="s">
        <v>86</v>
      </c>
      <c r="I24" s="2" t="s">
        <v>41</v>
      </c>
      <c r="K24">
        <f>IF(H24='Nom du personnage'!$F$54,1,)</f>
        <v>0</v>
      </c>
      <c r="L24">
        <f>IF(H24='Nom du personnage'!$K$54,1,)</f>
        <v>0</v>
      </c>
      <c r="M24">
        <f>IF(E24='Nom du personnage'!$U$51,F24,)</f>
        <v>0</v>
      </c>
      <c r="N24">
        <v>1</v>
      </c>
      <c r="O24">
        <f t="shared" si="1"/>
        <v>0</v>
      </c>
      <c r="P24">
        <v>1</v>
      </c>
    </row>
    <row r="25" spans="1:16">
      <c r="A25" s="2"/>
      <c r="E25" s="2" t="s">
        <v>88</v>
      </c>
      <c r="F25" s="2" t="s">
        <v>37</v>
      </c>
      <c r="H25" s="2" t="s">
        <v>86</v>
      </c>
      <c r="I25" s="2" t="s">
        <v>326</v>
      </c>
      <c r="K25">
        <f>IF(H25='Nom du personnage'!$F$54,1,)</f>
        <v>0</v>
      </c>
      <c r="L25">
        <f>IF(H25='Nom du personnage'!$K$54,1,)</f>
        <v>0</v>
      </c>
      <c r="M25">
        <f>IF(E25='Nom du personnage'!$U$51,F25,)</f>
        <v>0</v>
      </c>
      <c r="N25">
        <v>1</v>
      </c>
      <c r="O25">
        <f t="shared" si="1"/>
        <v>0</v>
      </c>
      <c r="P25">
        <v>1</v>
      </c>
    </row>
    <row r="26" spans="1:16">
      <c r="A26" s="2"/>
      <c r="E26" s="2" t="s">
        <v>88</v>
      </c>
      <c r="F26" s="2" t="s">
        <v>320</v>
      </c>
      <c r="H26" s="2" t="s">
        <v>95</v>
      </c>
      <c r="I26" s="2" t="s">
        <v>37</v>
      </c>
      <c r="K26">
        <f>IF(H26='Nom du personnage'!$F$54,1,)</f>
        <v>0</v>
      </c>
      <c r="L26">
        <f>IF(H26='Nom du personnage'!$K$54,1,)</f>
        <v>0</v>
      </c>
      <c r="M26">
        <f>IF(E26='Nom du personnage'!$U$51,F26,)</f>
        <v>0</v>
      </c>
      <c r="N26">
        <v>1</v>
      </c>
      <c r="O26">
        <f t="shared" si="1"/>
        <v>0</v>
      </c>
      <c r="P26">
        <v>1</v>
      </c>
    </row>
    <row r="27" spans="1:16">
      <c r="A27" s="2"/>
      <c r="E27" s="2" t="s">
        <v>88</v>
      </c>
      <c r="F27" s="2" t="s">
        <v>323</v>
      </c>
      <c r="H27" s="2" t="s">
        <v>95</v>
      </c>
      <c r="I27" s="2" t="s">
        <v>319</v>
      </c>
      <c r="K27">
        <f>IF(H27='Nom du personnage'!$F$54,1,)</f>
        <v>0</v>
      </c>
      <c r="L27">
        <f>IF(H27='Nom du personnage'!$K$54,1,)</f>
        <v>0</v>
      </c>
      <c r="M27">
        <f>IF(E27='Nom du personnage'!$U$51,F27,)</f>
        <v>0</v>
      </c>
      <c r="N27">
        <v>1</v>
      </c>
      <c r="O27">
        <f t="shared" si="1"/>
        <v>0</v>
      </c>
      <c r="P27">
        <v>1</v>
      </c>
    </row>
    <row r="28" spans="1:16">
      <c r="A28" s="2"/>
      <c r="E28" s="2" t="s">
        <v>88</v>
      </c>
      <c r="F28" s="2" t="s">
        <v>326</v>
      </c>
      <c r="H28" s="2" t="s">
        <v>95</v>
      </c>
      <c r="I28" s="2" t="s">
        <v>326</v>
      </c>
      <c r="K28">
        <f>IF(H28='Nom du personnage'!$F$54,1,)</f>
        <v>0</v>
      </c>
      <c r="L28">
        <f>IF(H28='Nom du personnage'!$K$54,1,)</f>
        <v>0</v>
      </c>
      <c r="M28">
        <f>IF(E28='Nom du personnage'!$U$51,F28,)</f>
        <v>0</v>
      </c>
      <c r="N28">
        <v>1</v>
      </c>
      <c r="O28">
        <f t="shared" si="1"/>
        <v>0</v>
      </c>
      <c r="P28">
        <v>1</v>
      </c>
    </row>
    <row r="29" spans="1:16">
      <c r="A29" s="2"/>
      <c r="E29" s="2" t="s">
        <v>91</v>
      </c>
      <c r="F29" s="2" t="s">
        <v>319</v>
      </c>
      <c r="H29" s="2" t="s">
        <v>44</v>
      </c>
      <c r="I29" s="2" t="s">
        <v>37</v>
      </c>
      <c r="K29">
        <f>IF(H29='Nom du personnage'!$F$54,1,)</f>
        <v>0</v>
      </c>
      <c r="L29">
        <f>IF(H29='Nom du personnage'!$K$54,1,)</f>
        <v>0</v>
      </c>
      <c r="M29">
        <f>IF(E29='Nom du personnage'!$U$51,F29,)</f>
        <v>0</v>
      </c>
      <c r="N29">
        <v>1</v>
      </c>
      <c r="O29">
        <f t="shared" si="1"/>
        <v>0</v>
      </c>
      <c r="P29">
        <v>1</v>
      </c>
    </row>
    <row r="30" spans="1:16">
      <c r="E30" s="2" t="s">
        <v>91</v>
      </c>
      <c r="F30" s="2" t="s">
        <v>53</v>
      </c>
      <c r="H30" s="2" t="s">
        <v>44</v>
      </c>
      <c r="I30" s="2" t="s">
        <v>41</v>
      </c>
      <c r="K30">
        <f>IF(H30='Nom du personnage'!$F$54,1,)</f>
        <v>0</v>
      </c>
      <c r="L30">
        <f>IF(H30='Nom du personnage'!$K$54,1,)</f>
        <v>0</v>
      </c>
      <c r="M30">
        <f>IF(E30='Nom du personnage'!$U$51,F30,)</f>
        <v>0</v>
      </c>
      <c r="N30">
        <v>1</v>
      </c>
      <c r="O30">
        <f t="shared" si="1"/>
        <v>0</v>
      </c>
      <c r="P30">
        <v>1</v>
      </c>
    </row>
    <row r="31" spans="1:16">
      <c r="E31" s="2" t="s">
        <v>91</v>
      </c>
      <c r="F31" s="2" t="s">
        <v>57</v>
      </c>
      <c r="H31" s="2" t="s">
        <v>44</v>
      </c>
      <c r="I31" s="2" t="s">
        <v>319</v>
      </c>
      <c r="K31">
        <f>IF(H31='Nom du personnage'!$F$54,1,)</f>
        <v>0</v>
      </c>
      <c r="L31">
        <f>IF(H31='Nom du personnage'!$K$54,1,)</f>
        <v>0</v>
      </c>
      <c r="M31">
        <f>IF(E31='Nom du personnage'!$U$51,F31,)</f>
        <v>0</v>
      </c>
      <c r="N31">
        <v>1</v>
      </c>
      <c r="O31">
        <f t="shared" si="1"/>
        <v>0</v>
      </c>
      <c r="P31">
        <v>1</v>
      </c>
    </row>
    <row r="32" spans="1:16">
      <c r="E32" s="2" t="s">
        <v>94</v>
      </c>
      <c r="F32" s="2" t="s">
        <v>319</v>
      </c>
      <c r="H32" s="2" t="s">
        <v>99</v>
      </c>
      <c r="I32" s="2" t="s">
        <v>37</v>
      </c>
      <c r="K32">
        <f>IF(H32='Nom du personnage'!$F$54,1,)</f>
        <v>0</v>
      </c>
      <c r="L32">
        <f>IF(H32='Nom du personnage'!$K$54,1,)</f>
        <v>0</v>
      </c>
      <c r="M32">
        <f>IF(E32='Nom du personnage'!$U$51,F32,)</f>
        <v>0</v>
      </c>
      <c r="N32">
        <v>1</v>
      </c>
      <c r="O32">
        <f t="shared" si="1"/>
        <v>0</v>
      </c>
      <c r="P32">
        <v>1</v>
      </c>
    </row>
    <row r="33" spans="5:16">
      <c r="E33" s="2" t="s">
        <v>104</v>
      </c>
      <c r="F33" s="2" t="s">
        <v>37</v>
      </c>
      <c r="H33" s="2" t="s">
        <v>99</v>
      </c>
      <c r="I33" s="2" t="s">
        <v>322</v>
      </c>
      <c r="K33">
        <f>IF(H33='Nom du personnage'!$F$54,1,)</f>
        <v>0</v>
      </c>
      <c r="L33">
        <f>IF(H33='Nom du personnage'!$K$54,1,)</f>
        <v>0</v>
      </c>
      <c r="M33">
        <f>IF(E33='Nom du personnage'!$U$51,F33,)</f>
        <v>0</v>
      </c>
      <c r="N33">
        <v>1</v>
      </c>
      <c r="O33">
        <f t="shared" si="1"/>
        <v>0</v>
      </c>
      <c r="P33">
        <v>1</v>
      </c>
    </row>
    <row r="34" spans="5:16">
      <c r="E34" s="2" t="s">
        <v>104</v>
      </c>
      <c r="F34" s="2" t="s">
        <v>320</v>
      </c>
      <c r="H34" s="2" t="s">
        <v>48</v>
      </c>
      <c r="I34" s="2" t="s">
        <v>325</v>
      </c>
      <c r="K34">
        <f>IF(H34='Nom du personnage'!$F$54,1,)</f>
        <v>0</v>
      </c>
      <c r="L34">
        <f>IF(H34='Nom du personnage'!$K$54,1,)</f>
        <v>0</v>
      </c>
      <c r="M34">
        <f>IF(E34='Nom du personnage'!$U$51,F34,)</f>
        <v>0</v>
      </c>
      <c r="N34">
        <v>1</v>
      </c>
      <c r="O34">
        <f t="shared" si="1"/>
        <v>0</v>
      </c>
      <c r="P34">
        <v>1</v>
      </c>
    </row>
    <row r="35" spans="5:16">
      <c r="E35" s="2" t="s">
        <v>104</v>
      </c>
      <c r="F35" s="2" t="s">
        <v>323</v>
      </c>
      <c r="H35" s="2" t="s">
        <v>48</v>
      </c>
      <c r="I35" s="2" t="s">
        <v>37</v>
      </c>
      <c r="K35">
        <f>IF(H35='Nom du personnage'!$F$54,1,)</f>
        <v>0</v>
      </c>
      <c r="L35">
        <f>IF(H35='Nom du personnage'!$K$54,1,)</f>
        <v>0</v>
      </c>
      <c r="M35">
        <f>IF(E35='Nom du personnage'!$U$51,F35,)</f>
        <v>0</v>
      </c>
      <c r="N35">
        <v>1</v>
      </c>
      <c r="O35">
        <f t="shared" si="1"/>
        <v>0</v>
      </c>
      <c r="P35">
        <v>1</v>
      </c>
    </row>
    <row r="36" spans="5:16">
      <c r="E36" s="2" t="s">
        <v>104</v>
      </c>
      <c r="F36" s="2" t="s">
        <v>326</v>
      </c>
      <c r="H36" s="2" t="s">
        <v>48</v>
      </c>
      <c r="I36" s="2" t="s">
        <v>41</v>
      </c>
      <c r="K36">
        <f>IF(H36='Nom du personnage'!$F$54,1,)</f>
        <v>0</v>
      </c>
      <c r="L36">
        <f>IF(H36='Nom du personnage'!$K$54,1,)</f>
        <v>0</v>
      </c>
      <c r="M36">
        <f>IF(E36='Nom du personnage'!$U$51,F36,)</f>
        <v>0</v>
      </c>
      <c r="N36">
        <v>1</v>
      </c>
      <c r="O36">
        <f t="shared" si="1"/>
        <v>0</v>
      </c>
      <c r="P36">
        <v>1</v>
      </c>
    </row>
    <row r="37" spans="5:16">
      <c r="E37" s="2" t="s">
        <v>107</v>
      </c>
      <c r="F37" s="2" t="s">
        <v>41</v>
      </c>
      <c r="H37" s="2" t="s">
        <v>222</v>
      </c>
      <c r="I37" s="2" t="s">
        <v>41</v>
      </c>
      <c r="K37">
        <f>IF(H37='Nom du personnage'!$F$54,1,)</f>
        <v>0</v>
      </c>
      <c r="L37">
        <f>IF(H37='Nom du personnage'!$K$54,1,)</f>
        <v>0</v>
      </c>
      <c r="M37">
        <f>IF(E37='Nom du personnage'!$U$51,F37,)</f>
        <v>0</v>
      </c>
      <c r="N37">
        <v>1</v>
      </c>
      <c r="O37">
        <f t="shared" si="1"/>
        <v>0</v>
      </c>
      <c r="P37">
        <v>1</v>
      </c>
    </row>
    <row r="38" spans="5:16">
      <c r="E38" s="2" t="s">
        <v>110</v>
      </c>
      <c r="F38" s="2" t="s">
        <v>37</v>
      </c>
      <c r="H38" s="2" t="s">
        <v>222</v>
      </c>
      <c r="I38" s="2" t="s">
        <v>320</v>
      </c>
      <c r="K38">
        <f>IF(H38='Nom du personnage'!$F$54,1,)</f>
        <v>0</v>
      </c>
      <c r="L38">
        <f>IF(H38='Nom du personnage'!$K$54,1,)</f>
        <v>0</v>
      </c>
      <c r="M38">
        <f>IF(E38='Nom du personnage'!$U$51,F38,)</f>
        <v>0</v>
      </c>
      <c r="N38">
        <v>1</v>
      </c>
      <c r="O38">
        <f t="shared" si="1"/>
        <v>0</v>
      </c>
      <c r="P38">
        <v>1</v>
      </c>
    </row>
    <row r="39" spans="5:16">
      <c r="E39" s="2" t="s">
        <v>110</v>
      </c>
      <c r="F39" s="2" t="s">
        <v>41</v>
      </c>
      <c r="H39" s="2" t="s">
        <v>222</v>
      </c>
      <c r="I39" s="2" t="s">
        <v>53</v>
      </c>
      <c r="K39">
        <f>IF(H39='Nom du personnage'!$F$54,1,)</f>
        <v>0</v>
      </c>
      <c r="L39">
        <f>IF(H39='Nom du personnage'!$K$54,1,)</f>
        <v>0</v>
      </c>
      <c r="M39">
        <f>IF(E39='Nom du personnage'!$U$51,F39,)</f>
        <v>0</v>
      </c>
      <c r="N39">
        <v>1</v>
      </c>
      <c r="O39">
        <f t="shared" si="1"/>
        <v>0</v>
      </c>
      <c r="P39">
        <v>1</v>
      </c>
    </row>
    <row r="40" spans="5:16">
      <c r="E40" s="2" t="s">
        <v>110</v>
      </c>
      <c r="F40" s="2" t="s">
        <v>319</v>
      </c>
      <c r="H40" s="2" t="s">
        <v>222</v>
      </c>
      <c r="I40" s="2" t="s">
        <v>323</v>
      </c>
      <c r="K40">
        <f>IF(H40='Nom du personnage'!$F$54,1,)</f>
        <v>0</v>
      </c>
      <c r="L40">
        <f>IF(H40='Nom du personnage'!$K$54,1,)</f>
        <v>0</v>
      </c>
      <c r="M40">
        <f>IF(E40='Nom du personnage'!$U$51,F40,)</f>
        <v>0</v>
      </c>
      <c r="N40">
        <v>1</v>
      </c>
      <c r="O40">
        <f t="shared" si="1"/>
        <v>0</v>
      </c>
      <c r="P40">
        <v>1</v>
      </c>
    </row>
    <row r="41" spans="5:16">
      <c r="E41" s="2" t="s">
        <v>110</v>
      </c>
      <c r="F41" s="2" t="s">
        <v>320</v>
      </c>
      <c r="H41" s="2" t="s">
        <v>221</v>
      </c>
      <c r="I41" s="2" t="s">
        <v>37</v>
      </c>
      <c r="K41">
        <f>IF(H41='Nom du personnage'!$F$54,1,)</f>
        <v>0</v>
      </c>
      <c r="L41">
        <f>IF(H41='Nom du personnage'!$K$54,1,)</f>
        <v>0</v>
      </c>
      <c r="M41">
        <f>IF(E41='Nom du personnage'!$U$51,F41,)</f>
        <v>0</v>
      </c>
      <c r="N41">
        <v>1</v>
      </c>
      <c r="O41">
        <f t="shared" si="1"/>
        <v>0</v>
      </c>
      <c r="P41">
        <v>1</v>
      </c>
    </row>
    <row r="42" spans="5:16">
      <c r="E42" s="2" t="s">
        <v>110</v>
      </c>
      <c r="F42" s="2" t="s">
        <v>53</v>
      </c>
      <c r="H42" s="2" t="s">
        <v>221</v>
      </c>
      <c r="I42" s="2" t="s">
        <v>41</v>
      </c>
      <c r="K42">
        <f>IF(H42='Nom du personnage'!$F$54,1,)</f>
        <v>0</v>
      </c>
      <c r="L42">
        <f>IF(H42='Nom du personnage'!$K$54,1,)</f>
        <v>0</v>
      </c>
      <c r="M42">
        <f>IF(E42='Nom du personnage'!$U$51,F42,)</f>
        <v>0</v>
      </c>
      <c r="N42">
        <v>1</v>
      </c>
      <c r="O42">
        <f t="shared" si="1"/>
        <v>0</v>
      </c>
      <c r="P42">
        <v>1</v>
      </c>
    </row>
    <row r="43" spans="5:16">
      <c r="E43" s="2" t="s">
        <v>110</v>
      </c>
      <c r="F43" s="2" t="s">
        <v>57</v>
      </c>
      <c r="H43" s="2" t="s">
        <v>221</v>
      </c>
      <c r="I43" s="2" t="s">
        <v>319</v>
      </c>
      <c r="K43">
        <f>IF(H43='Nom du personnage'!$F$54,1,)</f>
        <v>0</v>
      </c>
      <c r="L43">
        <f>IF(H43='Nom du personnage'!$K$54,1,)</f>
        <v>0</v>
      </c>
      <c r="M43">
        <f>IF(E43='Nom du personnage'!$U$51,F43,)</f>
        <v>0</v>
      </c>
      <c r="N43">
        <v>1</v>
      </c>
      <c r="O43">
        <f t="shared" si="1"/>
        <v>0</v>
      </c>
      <c r="P43">
        <v>1</v>
      </c>
    </row>
    <row r="44" spans="5:16">
      <c r="E44" s="2" t="s">
        <v>110</v>
      </c>
      <c r="F44" s="2" t="s">
        <v>323</v>
      </c>
      <c r="H44" s="2" t="s">
        <v>221</v>
      </c>
      <c r="I44" s="2" t="s">
        <v>326</v>
      </c>
      <c r="K44">
        <f>IF(H44='Nom du personnage'!$F$54,1,)</f>
        <v>0</v>
      </c>
      <c r="L44">
        <f>IF(H44='Nom du personnage'!$K$54,1,)</f>
        <v>0</v>
      </c>
      <c r="M44">
        <f>IF(E44='Nom du personnage'!$U$51,F44,)</f>
        <v>0</v>
      </c>
      <c r="N44">
        <v>1</v>
      </c>
      <c r="O44">
        <f t="shared" si="1"/>
        <v>0</v>
      </c>
      <c r="P44">
        <v>1</v>
      </c>
    </row>
    <row r="45" spans="5:16">
      <c r="E45" s="2" t="s">
        <v>110</v>
      </c>
      <c r="F45" s="2" t="s">
        <v>326</v>
      </c>
      <c r="H45" s="2" t="s">
        <v>952</v>
      </c>
      <c r="I45" s="2" t="s">
        <v>325</v>
      </c>
      <c r="K45">
        <f>IF(H45='Nom du personnage'!$F$54,1,)</f>
        <v>0</v>
      </c>
      <c r="L45">
        <f>IF(H45='Nom du personnage'!$K$54,1,)</f>
        <v>0</v>
      </c>
      <c r="M45">
        <f>IF(E45='Nom du personnage'!$U$51,F45,)</f>
        <v>0</v>
      </c>
      <c r="N45">
        <v>1</v>
      </c>
      <c r="O45">
        <f t="shared" si="1"/>
        <v>0</v>
      </c>
      <c r="P45">
        <v>1</v>
      </c>
    </row>
    <row r="46" spans="5:16">
      <c r="E46" s="2" t="s">
        <v>113</v>
      </c>
      <c r="F46" s="2" t="s">
        <v>319</v>
      </c>
      <c r="H46" s="2" t="s">
        <v>953</v>
      </c>
      <c r="I46" s="2" t="s">
        <v>37</v>
      </c>
      <c r="K46">
        <f>IF(H46='Nom du personnage'!$F$54,1,)</f>
        <v>0</v>
      </c>
      <c r="L46">
        <f>IF(H46='Nom du personnage'!$K$54,1,)</f>
        <v>0</v>
      </c>
      <c r="M46">
        <f>IF(E46='Nom du personnage'!$U$51,F46,)</f>
        <v>0</v>
      </c>
      <c r="N46">
        <v>1</v>
      </c>
      <c r="O46">
        <f t="shared" si="1"/>
        <v>0</v>
      </c>
      <c r="P46">
        <v>1</v>
      </c>
    </row>
    <row r="47" spans="5:16">
      <c r="E47" s="2" t="s">
        <v>113</v>
      </c>
      <c r="F47" s="2" t="s">
        <v>53</v>
      </c>
      <c r="H47" s="2" t="s">
        <v>954</v>
      </c>
      <c r="I47" s="2" t="s">
        <v>41</v>
      </c>
      <c r="K47">
        <f>IF(H47='Nom du personnage'!$F$54,1,)</f>
        <v>0</v>
      </c>
      <c r="L47">
        <f>IF(H47='Nom du personnage'!$K$54,1,)</f>
        <v>0</v>
      </c>
      <c r="M47">
        <f>IF(E47='Nom du personnage'!$U$51,F47,)</f>
        <v>0</v>
      </c>
      <c r="N47">
        <v>1</v>
      </c>
      <c r="O47">
        <f t="shared" si="1"/>
        <v>0</v>
      </c>
      <c r="P47">
        <v>1</v>
      </c>
    </row>
    <row r="48" spans="5:16">
      <c r="E48" s="2" t="s">
        <v>113</v>
      </c>
      <c r="F48" s="2" t="s">
        <v>57</v>
      </c>
      <c r="H48" s="2" t="s">
        <v>954</v>
      </c>
      <c r="I48" s="2" t="s">
        <v>37</v>
      </c>
      <c r="K48">
        <f>IF(H48='Nom du personnage'!$F$54,1,)</f>
        <v>0</v>
      </c>
      <c r="L48">
        <f>IF(H48='Nom du personnage'!$K$54,1,)</f>
        <v>0</v>
      </c>
      <c r="M48">
        <f>IF(E48='Nom du personnage'!$U$51,F48,)</f>
        <v>0</v>
      </c>
      <c r="N48">
        <v>1</v>
      </c>
      <c r="O48">
        <f t="shared" si="1"/>
        <v>0</v>
      </c>
      <c r="P48">
        <v>1</v>
      </c>
    </row>
    <row r="49" spans="5:16">
      <c r="E49" s="2" t="s">
        <v>113</v>
      </c>
      <c r="F49" s="2" t="s">
        <v>57</v>
      </c>
      <c r="H49" s="2" t="s">
        <v>954</v>
      </c>
      <c r="I49" s="2" t="s">
        <v>325</v>
      </c>
      <c r="K49">
        <f>IF(H49='Nom du personnage'!$F$54,1,)</f>
        <v>0</v>
      </c>
      <c r="L49">
        <f>IF(H49='Nom du personnage'!$K$54,1,)</f>
        <v>0</v>
      </c>
      <c r="M49">
        <f>IF(E49='Nom du personnage'!$U$51,F49,)</f>
        <v>0</v>
      </c>
      <c r="N49">
        <v>1</v>
      </c>
      <c r="O49">
        <f t="shared" si="1"/>
        <v>0</v>
      </c>
      <c r="P49">
        <v>1</v>
      </c>
    </row>
    <row r="50" spans="5:16">
      <c r="E50" s="2" t="s">
        <v>159</v>
      </c>
      <c r="F50" s="2" t="s">
        <v>41</v>
      </c>
      <c r="H50" s="2" t="s">
        <v>952</v>
      </c>
      <c r="I50" s="2" t="s">
        <v>320</v>
      </c>
      <c r="K50">
        <f>IF(H50='Nom du personnage'!$F$54,1,)</f>
        <v>0</v>
      </c>
      <c r="L50">
        <f>IF(H50='Nom du personnage'!$K$54,1,)</f>
        <v>0</v>
      </c>
      <c r="M50">
        <f>IF(E50='Nom du personnage'!$U$51,F50,)</f>
        <v>0</v>
      </c>
      <c r="N50">
        <v>1</v>
      </c>
      <c r="O50">
        <f t="shared" si="1"/>
        <v>0</v>
      </c>
      <c r="P50">
        <v>1</v>
      </c>
    </row>
    <row r="51" spans="5:16">
      <c r="H51" s="2" t="s">
        <v>952</v>
      </c>
      <c r="I51" s="2" t="s">
        <v>323</v>
      </c>
      <c r="K51">
        <f>IF(H51='Nom du personnage'!$F$54,1,)</f>
        <v>0</v>
      </c>
      <c r="L51">
        <f>IF(H51='Nom du personnage'!$K$54,1,)</f>
        <v>0</v>
      </c>
      <c r="O51">
        <f t="shared" si="1"/>
        <v>0</v>
      </c>
      <c r="P51">
        <v>1</v>
      </c>
    </row>
    <row r="52" spans="5:16">
      <c r="E52" s="2" t="s">
        <v>110</v>
      </c>
      <c r="F52" s="2" t="s">
        <v>326</v>
      </c>
      <c r="H52" s="2" t="s">
        <v>953</v>
      </c>
      <c r="I52" s="2" t="s">
        <v>325</v>
      </c>
      <c r="K52">
        <v>0</v>
      </c>
      <c r="L52">
        <v>0</v>
      </c>
      <c r="M52" t="s">
        <v>326</v>
      </c>
      <c r="N52">
        <v>1</v>
      </c>
      <c r="O52">
        <f t="shared" si="1"/>
        <v>0</v>
      </c>
      <c r="P52">
        <v>1</v>
      </c>
    </row>
    <row r="53" spans="5:16">
      <c r="E53" s="2" t="s">
        <v>113</v>
      </c>
      <c r="F53" s="2" t="s">
        <v>57</v>
      </c>
      <c r="H53" s="2" t="s">
        <v>953</v>
      </c>
      <c r="I53" s="2" t="s">
        <v>319</v>
      </c>
      <c r="K53">
        <v>1</v>
      </c>
      <c r="L53">
        <v>0</v>
      </c>
      <c r="M53">
        <v>0</v>
      </c>
      <c r="N53">
        <v>1</v>
      </c>
      <c r="O53" t="str">
        <f>IF(OR(K53=1,L53=1),I53,0)</f>
        <v>Magie élémentaire</v>
      </c>
      <c r="P53">
        <v>1</v>
      </c>
    </row>
    <row r="54" spans="5:16">
      <c r="H54" s="2" t="s">
        <v>954</v>
      </c>
      <c r="I54" s="2" t="s">
        <v>326</v>
      </c>
      <c r="K54">
        <f>IF(H54='Nom du personnage'!$F$54,1,)</f>
        <v>0</v>
      </c>
      <c r="L54">
        <f>IF(H54='Nom du personnage'!$K$54,1,)</f>
        <v>0</v>
      </c>
      <c r="O54">
        <f t="shared" si="1"/>
        <v>0</v>
      </c>
      <c r="P54">
        <v>1</v>
      </c>
    </row>
    <row r="55" spans="5:16">
      <c r="H55" s="2" t="s">
        <v>219</v>
      </c>
      <c r="I55" s="2" t="s">
        <v>325</v>
      </c>
      <c r="K55">
        <f>IF(H55='Nom du personnage'!$F$54,1,)</f>
        <v>0</v>
      </c>
      <c r="L55">
        <f>IF(H55='Nom du personnage'!$K$54,1,)</f>
        <v>0</v>
      </c>
      <c r="O55">
        <f t="shared" si="1"/>
        <v>0</v>
      </c>
      <c r="P55">
        <v>1</v>
      </c>
    </row>
    <row r="56" spans="5:16">
      <c r="H56" s="2" t="s">
        <v>219</v>
      </c>
      <c r="I56" s="2" t="s">
        <v>37</v>
      </c>
      <c r="K56">
        <f>IF(H56='Nom du personnage'!$F$54,1,)</f>
        <v>0</v>
      </c>
      <c r="L56">
        <f>IF(H56='Nom du personnage'!$K$54,1,)</f>
        <v>0</v>
      </c>
      <c r="O56">
        <f t="shared" si="1"/>
        <v>0</v>
      </c>
      <c r="P56">
        <v>1</v>
      </c>
    </row>
    <row r="57" spans="5:16">
      <c r="H57" s="2" t="s">
        <v>219</v>
      </c>
      <c r="I57" s="2" t="s">
        <v>41</v>
      </c>
      <c r="K57">
        <f>IF(H57='Nom du personnage'!$F$54,1,)</f>
        <v>0</v>
      </c>
      <c r="L57">
        <f>IF(H57='Nom du personnage'!$K$54,1,)</f>
        <v>0</v>
      </c>
      <c r="O57">
        <f t="shared" si="1"/>
        <v>0</v>
      </c>
      <c r="P57">
        <v>1</v>
      </c>
    </row>
    <row r="58" spans="5:16">
      <c r="H58" s="2" t="s">
        <v>219</v>
      </c>
      <c r="I58" s="2" t="s">
        <v>320</v>
      </c>
      <c r="K58">
        <f>IF(H58='Nom du personnage'!$F$54,1,)</f>
        <v>0</v>
      </c>
      <c r="L58">
        <f>IF(H58='Nom du personnage'!$K$54,1,)</f>
        <v>0</v>
      </c>
      <c r="O58">
        <f t="shared" si="1"/>
        <v>0</v>
      </c>
      <c r="P58">
        <v>1</v>
      </c>
    </row>
    <row r="59" spans="5:16">
      <c r="H59" s="2" t="s">
        <v>220</v>
      </c>
      <c r="I59" s="2" t="s">
        <v>41</v>
      </c>
      <c r="K59">
        <f>IF(H59='Nom du personnage'!$F$54,1,)</f>
        <v>0</v>
      </c>
      <c r="L59">
        <f>IF(H59='Nom du personnage'!$K$54,1,)</f>
        <v>0</v>
      </c>
      <c r="O59">
        <f t="shared" si="1"/>
        <v>0</v>
      </c>
      <c r="P59">
        <v>1</v>
      </c>
    </row>
    <row r="60" spans="5:16">
      <c r="H60" s="2" t="s">
        <v>220</v>
      </c>
      <c r="I60" s="2" t="s">
        <v>53</v>
      </c>
      <c r="K60">
        <f>IF(H60='Nom du personnage'!$F$54,1,)</f>
        <v>0</v>
      </c>
      <c r="L60">
        <f>IF(H60='Nom du personnage'!$K$54,1,)</f>
        <v>0</v>
      </c>
      <c r="O60">
        <f t="shared" si="1"/>
        <v>0</v>
      </c>
      <c r="P60">
        <v>1</v>
      </c>
    </row>
    <row r="61" spans="5:16">
      <c r="H61" s="2" t="s">
        <v>123</v>
      </c>
      <c r="I61" s="2" t="s">
        <v>319</v>
      </c>
      <c r="K61">
        <f>IF(H61='Nom du personnage'!$F$54,1,)</f>
        <v>0</v>
      </c>
      <c r="L61">
        <f>IF(H61='Nom du personnage'!$K$54,1,)</f>
        <v>0</v>
      </c>
      <c r="O61">
        <f t="shared" si="1"/>
        <v>0</v>
      </c>
      <c r="P61">
        <v>1</v>
      </c>
    </row>
    <row r="62" spans="5:16">
      <c r="H62" s="2" t="s">
        <v>123</v>
      </c>
      <c r="I62" s="2" t="s">
        <v>320</v>
      </c>
      <c r="K62">
        <f>IF(H62='Nom du personnage'!$F$54,1,)</f>
        <v>0</v>
      </c>
      <c r="L62">
        <f>IF(H62='Nom du personnage'!$K$54,1,)</f>
        <v>0</v>
      </c>
      <c r="O62">
        <f t="shared" si="1"/>
        <v>0</v>
      </c>
      <c r="P62">
        <v>1</v>
      </c>
    </row>
    <row r="63" spans="5:16">
      <c r="H63" s="2" t="s">
        <v>123</v>
      </c>
      <c r="I63" s="2" t="s">
        <v>57</v>
      </c>
      <c r="K63">
        <f>IF(H63='Nom du personnage'!$F$54,1,)</f>
        <v>0</v>
      </c>
      <c r="L63">
        <f>IF(H63='Nom du personnage'!$K$54,1,)</f>
        <v>0</v>
      </c>
      <c r="O63">
        <f t="shared" si="1"/>
        <v>0</v>
      </c>
      <c r="P63">
        <v>1</v>
      </c>
    </row>
    <row r="64" spans="5:16">
      <c r="H64" s="2" t="s">
        <v>123</v>
      </c>
      <c r="I64" s="2" t="s">
        <v>323</v>
      </c>
      <c r="K64">
        <f>IF(H64='Nom du personnage'!$F$54,1,)</f>
        <v>0</v>
      </c>
      <c r="L64">
        <f>IF(H64='Nom du personnage'!$K$54,1,)</f>
        <v>0</v>
      </c>
      <c r="O64">
        <f t="shared" si="1"/>
        <v>0</v>
      </c>
      <c r="P64">
        <v>1</v>
      </c>
    </row>
    <row r="65" spans="8:16">
      <c r="H65" s="2" t="s">
        <v>102</v>
      </c>
      <c r="I65" s="2" t="s">
        <v>37</v>
      </c>
      <c r="K65">
        <f>IF(H65='Nom du personnage'!$F$54,1,)</f>
        <v>0</v>
      </c>
      <c r="L65">
        <f>IF(H65='Nom du personnage'!$K$54,1,)</f>
        <v>0</v>
      </c>
      <c r="O65">
        <f t="shared" si="1"/>
        <v>0</v>
      </c>
      <c r="P65">
        <v>1</v>
      </c>
    </row>
    <row r="66" spans="8:16">
      <c r="H66" s="2" t="s">
        <v>102</v>
      </c>
      <c r="I66" s="2" t="s">
        <v>57</v>
      </c>
      <c r="K66">
        <f>IF(H66='Nom du personnage'!$F$54,1,)</f>
        <v>0</v>
      </c>
      <c r="L66">
        <f>IF(H66='Nom du personnage'!$K$54,1,)</f>
        <v>0</v>
      </c>
      <c r="O66">
        <f t="shared" si="1"/>
        <v>0</v>
      </c>
      <c r="P66">
        <v>1</v>
      </c>
    </row>
    <row r="67" spans="8:16">
      <c r="H67" s="2" t="s">
        <v>89</v>
      </c>
      <c r="I67" s="2" t="s">
        <v>37</v>
      </c>
      <c r="K67">
        <f>IF(H67='Nom du personnage'!$F$54,1,)</f>
        <v>0</v>
      </c>
      <c r="L67">
        <f>IF(H67='Nom du personnage'!$K$54,1,)</f>
        <v>0</v>
      </c>
      <c r="O67">
        <f t="shared" si="1"/>
        <v>0</v>
      </c>
      <c r="P67">
        <v>1</v>
      </c>
    </row>
    <row r="68" spans="8:16">
      <c r="H68" s="2" t="s">
        <v>89</v>
      </c>
      <c r="I68" s="2" t="s">
        <v>320</v>
      </c>
      <c r="K68">
        <f>IF(H68='Nom du personnage'!$F$54,1,)</f>
        <v>0</v>
      </c>
      <c r="L68">
        <f>IF(H68='Nom du personnage'!$K$54,1,)</f>
        <v>0</v>
      </c>
      <c r="O68">
        <f t="shared" si="1"/>
        <v>0</v>
      </c>
      <c r="P68">
        <v>1</v>
      </c>
    </row>
    <row r="69" spans="8:16">
      <c r="H69" s="2" t="s">
        <v>89</v>
      </c>
      <c r="I69" s="2" t="s">
        <v>53</v>
      </c>
      <c r="K69">
        <f>IF(H69='Nom du personnage'!$F$54,1,)</f>
        <v>0</v>
      </c>
      <c r="L69">
        <f>IF(H69='Nom du personnage'!$K$54,1,)</f>
        <v>0</v>
      </c>
      <c r="O69">
        <f t="shared" si="1"/>
        <v>0</v>
      </c>
      <c r="P69">
        <v>1</v>
      </c>
    </row>
    <row r="70" spans="8:16">
      <c r="H70" s="2" t="s">
        <v>89</v>
      </c>
      <c r="I70" s="2" t="s">
        <v>321</v>
      </c>
      <c r="K70">
        <f>IF(H70='Nom du personnage'!$F$54,1,)</f>
        <v>0</v>
      </c>
      <c r="L70">
        <f>IF(H70='Nom du personnage'!$K$54,1,)</f>
        <v>0</v>
      </c>
      <c r="O70">
        <f t="shared" ref="O70:O133" si="4">IF(OR(K70=1,L70=1),I70,0)</f>
        <v>0</v>
      </c>
      <c r="P70">
        <v>1</v>
      </c>
    </row>
    <row r="71" spans="8:16">
      <c r="H71" s="2" t="s">
        <v>89</v>
      </c>
      <c r="I71" s="2" t="s">
        <v>322</v>
      </c>
      <c r="K71">
        <f>IF(H71='Nom du personnage'!$F$54,1,)</f>
        <v>0</v>
      </c>
      <c r="L71">
        <f>IF(H71='Nom du personnage'!$K$54,1,)</f>
        <v>0</v>
      </c>
      <c r="O71">
        <f t="shared" si="4"/>
        <v>0</v>
      </c>
      <c r="P71">
        <v>1</v>
      </c>
    </row>
    <row r="72" spans="8:16">
      <c r="H72" s="2" t="s">
        <v>52</v>
      </c>
      <c r="I72" s="2" t="s">
        <v>319</v>
      </c>
      <c r="K72">
        <f>IF(H72='Nom du personnage'!$F$54,1,)</f>
        <v>0</v>
      </c>
      <c r="L72">
        <f>IF(H72='Nom du personnage'!$K$54,1,)</f>
        <v>0</v>
      </c>
      <c r="O72">
        <f t="shared" si="4"/>
        <v>0</v>
      </c>
      <c r="P72">
        <v>1</v>
      </c>
    </row>
    <row r="73" spans="8:16">
      <c r="H73" s="2" t="s">
        <v>52</v>
      </c>
      <c r="I73" s="2" t="s">
        <v>320</v>
      </c>
      <c r="K73">
        <f>IF(H73='Nom du personnage'!$F$54,1,)</f>
        <v>0</v>
      </c>
      <c r="L73">
        <f>IF(H73='Nom du personnage'!$K$54,1,)</f>
        <v>0</v>
      </c>
      <c r="O73">
        <f t="shared" si="4"/>
        <v>0</v>
      </c>
      <c r="P73">
        <v>1</v>
      </c>
    </row>
    <row r="74" spans="8:16">
      <c r="H74" s="2" t="s">
        <v>52</v>
      </c>
      <c r="I74" s="2" t="s">
        <v>53</v>
      </c>
      <c r="K74">
        <f>IF(H74='Nom du personnage'!$F$54,1,)</f>
        <v>0</v>
      </c>
      <c r="L74">
        <f>IF(H74='Nom du personnage'!$K$54,1,)</f>
        <v>0</v>
      </c>
      <c r="O74">
        <f t="shared" si="4"/>
        <v>0</v>
      </c>
      <c r="P74">
        <v>1</v>
      </c>
    </row>
    <row r="75" spans="8:16">
      <c r="H75" s="2" t="s">
        <v>52</v>
      </c>
      <c r="I75" s="2" t="s">
        <v>57</v>
      </c>
      <c r="K75">
        <f>IF(H75='Nom du personnage'!$F$54,1,)</f>
        <v>0</v>
      </c>
      <c r="L75">
        <f>IF(H75='Nom du personnage'!$K$54,1,)</f>
        <v>0</v>
      </c>
      <c r="O75">
        <f t="shared" si="4"/>
        <v>0</v>
      </c>
      <c r="P75">
        <v>1</v>
      </c>
    </row>
    <row r="76" spans="8:16">
      <c r="H76" s="2" t="s">
        <v>52</v>
      </c>
      <c r="I76" s="2" t="s">
        <v>323</v>
      </c>
      <c r="K76">
        <f>IF(H76='Nom du personnage'!$F$54,1,)</f>
        <v>0</v>
      </c>
      <c r="L76">
        <f>IF(H76='Nom du personnage'!$K$54,1,)</f>
        <v>0</v>
      </c>
      <c r="O76">
        <f t="shared" si="4"/>
        <v>0</v>
      </c>
      <c r="P76">
        <v>1</v>
      </c>
    </row>
    <row r="77" spans="8:16">
      <c r="H77" s="2" t="s">
        <v>56</v>
      </c>
      <c r="I77" s="2" t="s">
        <v>37</v>
      </c>
      <c r="K77">
        <f>IF(H77='Nom du personnage'!$F$54,1,)</f>
        <v>0</v>
      </c>
      <c r="L77">
        <f>IF(H77='Nom du personnage'!$K$54,1,)</f>
        <v>0</v>
      </c>
      <c r="O77">
        <f t="shared" si="4"/>
        <v>0</v>
      </c>
      <c r="P77">
        <v>1</v>
      </c>
    </row>
    <row r="78" spans="8:16">
      <c r="H78" s="2" t="s">
        <v>56</v>
      </c>
      <c r="I78" s="2" t="s">
        <v>319</v>
      </c>
      <c r="K78">
        <f>IF(H78='Nom du personnage'!$F$54,1,)</f>
        <v>0</v>
      </c>
      <c r="L78">
        <f>IF(H78='Nom du personnage'!$K$54,1,)</f>
        <v>0</v>
      </c>
      <c r="O78">
        <f t="shared" si="4"/>
        <v>0</v>
      </c>
      <c r="P78">
        <v>1</v>
      </c>
    </row>
    <row r="79" spans="8:16">
      <c r="H79" s="2" t="s">
        <v>56</v>
      </c>
      <c r="I79" s="2" t="s">
        <v>326</v>
      </c>
      <c r="K79">
        <f>IF(H79='Nom du personnage'!$F$54,1,)</f>
        <v>0</v>
      </c>
      <c r="L79">
        <f>IF(H79='Nom du personnage'!$K$54,1,)</f>
        <v>0</v>
      </c>
      <c r="O79">
        <f t="shared" si="4"/>
        <v>0</v>
      </c>
      <c r="P79">
        <v>1</v>
      </c>
    </row>
    <row r="80" spans="8:16">
      <c r="H80" s="2" t="s">
        <v>105</v>
      </c>
      <c r="I80" s="2" t="s">
        <v>325</v>
      </c>
      <c r="K80">
        <f>IF(H80='Nom du personnage'!$F$54,1,)</f>
        <v>0</v>
      </c>
      <c r="L80">
        <f>IF(H80='Nom du personnage'!$K$54,1,)</f>
        <v>0</v>
      </c>
      <c r="O80">
        <f t="shared" si="4"/>
        <v>0</v>
      </c>
      <c r="P80">
        <v>1</v>
      </c>
    </row>
    <row r="81" spans="8:16">
      <c r="H81" s="2" t="s">
        <v>105</v>
      </c>
      <c r="I81" s="2" t="s">
        <v>37</v>
      </c>
      <c r="K81">
        <f>IF(H81='Nom du personnage'!$F$54,1,)</f>
        <v>0</v>
      </c>
      <c r="L81">
        <f>IF(H81='Nom du personnage'!$K$54,1,)</f>
        <v>0</v>
      </c>
      <c r="O81">
        <f t="shared" si="4"/>
        <v>0</v>
      </c>
      <c r="P81">
        <v>1</v>
      </c>
    </row>
    <row r="82" spans="8:16">
      <c r="H82" s="2" t="s">
        <v>105</v>
      </c>
      <c r="I82" s="2" t="s">
        <v>319</v>
      </c>
      <c r="K82">
        <f>IF(H82='Nom du personnage'!$F$54,1,)</f>
        <v>0</v>
      </c>
      <c r="L82">
        <f>IF(H82='Nom du personnage'!$K$54,1,)</f>
        <v>0</v>
      </c>
      <c r="O82">
        <f t="shared" si="4"/>
        <v>0</v>
      </c>
      <c r="P82">
        <v>1</v>
      </c>
    </row>
    <row r="83" spans="8:16">
      <c r="H83" s="2" t="s">
        <v>60</v>
      </c>
      <c r="I83" s="2" t="s">
        <v>319</v>
      </c>
      <c r="K83">
        <f>IF(H83='Nom du personnage'!$F$54,1,)</f>
        <v>0</v>
      </c>
      <c r="L83">
        <f>IF(H83='Nom du personnage'!$K$54,1,)</f>
        <v>0</v>
      </c>
      <c r="O83">
        <f t="shared" si="4"/>
        <v>0</v>
      </c>
      <c r="P83">
        <v>1</v>
      </c>
    </row>
    <row r="84" spans="8:16">
      <c r="H84" s="2" t="s">
        <v>60</v>
      </c>
      <c r="I84" s="2" t="s">
        <v>53</v>
      </c>
      <c r="K84">
        <f>IF(H84='Nom du personnage'!$F$54,1,)</f>
        <v>0</v>
      </c>
      <c r="L84">
        <f>IF(H84='Nom du personnage'!$K$54,1,)</f>
        <v>0</v>
      </c>
      <c r="O84">
        <f t="shared" si="4"/>
        <v>0</v>
      </c>
      <c r="P84">
        <v>1</v>
      </c>
    </row>
    <row r="85" spans="8:16">
      <c r="H85" s="2" t="s">
        <v>60</v>
      </c>
      <c r="I85" s="2" t="s">
        <v>57</v>
      </c>
      <c r="K85">
        <f>IF(H85='Nom du personnage'!$F$54,1,)</f>
        <v>0</v>
      </c>
      <c r="L85">
        <f>IF(H85='Nom du personnage'!$K$54,1,)</f>
        <v>0</v>
      </c>
      <c r="O85">
        <f t="shared" si="4"/>
        <v>0</v>
      </c>
      <c r="P85">
        <v>1</v>
      </c>
    </row>
    <row r="86" spans="8:16">
      <c r="H86" s="2" t="s">
        <v>120</v>
      </c>
      <c r="I86" s="2" t="s">
        <v>41</v>
      </c>
      <c r="K86">
        <f>IF(H86='Nom du personnage'!$F$54,1,)</f>
        <v>0</v>
      </c>
      <c r="L86">
        <f>IF(H86='Nom du personnage'!$K$54,1,)</f>
        <v>0</v>
      </c>
      <c r="O86">
        <f t="shared" si="4"/>
        <v>0</v>
      </c>
      <c r="P86">
        <v>1</v>
      </c>
    </row>
    <row r="87" spans="8:16">
      <c r="H87" s="2" t="s">
        <v>120</v>
      </c>
      <c r="I87" s="2" t="s">
        <v>320</v>
      </c>
      <c r="K87">
        <f>IF(H87='Nom du personnage'!$F$54,1,)</f>
        <v>0</v>
      </c>
      <c r="L87">
        <f>IF(H87='Nom du personnage'!$K$54,1,)</f>
        <v>0</v>
      </c>
      <c r="O87">
        <f t="shared" si="4"/>
        <v>0</v>
      </c>
      <c r="P87">
        <v>1</v>
      </c>
    </row>
    <row r="88" spans="8:16">
      <c r="H88" s="2" t="s">
        <v>120</v>
      </c>
      <c r="I88" s="2" t="s">
        <v>53</v>
      </c>
      <c r="K88">
        <f>IF(H88='Nom du personnage'!$F$54,1,)</f>
        <v>0</v>
      </c>
      <c r="L88">
        <f>IF(H88='Nom du personnage'!$K$54,1,)</f>
        <v>0</v>
      </c>
      <c r="O88">
        <f t="shared" si="4"/>
        <v>0</v>
      </c>
      <c r="P88">
        <v>1</v>
      </c>
    </row>
    <row r="89" spans="8:16">
      <c r="H89" s="2" t="s">
        <v>120</v>
      </c>
      <c r="I89" s="2" t="s">
        <v>323</v>
      </c>
      <c r="K89">
        <f>IF(H89='Nom du personnage'!$F$54,1,)</f>
        <v>0</v>
      </c>
      <c r="L89">
        <f>IF(H89='Nom du personnage'!$K$54,1,)</f>
        <v>0</v>
      </c>
      <c r="O89">
        <f t="shared" si="4"/>
        <v>0</v>
      </c>
      <c r="P89">
        <v>1</v>
      </c>
    </row>
    <row r="90" spans="8:16">
      <c r="H90" s="2" t="s">
        <v>64</v>
      </c>
      <c r="I90" s="2" t="s">
        <v>37</v>
      </c>
      <c r="K90">
        <f>IF(H90='Nom du personnage'!$F$54,1,)</f>
        <v>0</v>
      </c>
      <c r="L90">
        <f>IF(H90='Nom du personnage'!$K$54,1,)</f>
        <v>0</v>
      </c>
      <c r="O90">
        <f t="shared" si="4"/>
        <v>0</v>
      </c>
      <c r="P90">
        <v>1</v>
      </c>
    </row>
    <row r="91" spans="8:16">
      <c r="H91" s="2" t="s">
        <v>64</v>
      </c>
      <c r="I91" s="2" t="s">
        <v>320</v>
      </c>
      <c r="K91">
        <f>IF(H91='Nom du personnage'!$F$54,1,)</f>
        <v>0</v>
      </c>
      <c r="L91">
        <f>IF(H91='Nom du personnage'!$K$54,1,)</f>
        <v>0</v>
      </c>
      <c r="O91">
        <f t="shared" si="4"/>
        <v>0</v>
      </c>
      <c r="P91">
        <v>1</v>
      </c>
    </row>
    <row r="92" spans="8:16">
      <c r="H92" s="2" t="s">
        <v>64</v>
      </c>
      <c r="I92" s="2" t="s">
        <v>57</v>
      </c>
      <c r="K92">
        <f>IF(H92='Nom du personnage'!$F$54,1,)</f>
        <v>0</v>
      </c>
      <c r="L92">
        <f>IF(H92='Nom du personnage'!$K$54,1,)</f>
        <v>0</v>
      </c>
      <c r="O92">
        <f t="shared" si="4"/>
        <v>0</v>
      </c>
      <c r="P92">
        <v>1</v>
      </c>
    </row>
    <row r="93" spans="8:16">
      <c r="H93" s="2" t="s">
        <v>108</v>
      </c>
      <c r="I93" s="2" t="s">
        <v>325</v>
      </c>
      <c r="K93">
        <f>IF(H93='Nom du personnage'!$F$54,1,)</f>
        <v>0</v>
      </c>
      <c r="L93">
        <f>IF(H93='Nom du personnage'!$K$54,1,)</f>
        <v>0</v>
      </c>
      <c r="O93">
        <f t="shared" si="4"/>
        <v>0</v>
      </c>
      <c r="P93">
        <v>1</v>
      </c>
    </row>
    <row r="94" spans="8:16">
      <c r="H94" s="2" t="s">
        <v>108</v>
      </c>
      <c r="I94" s="2" t="s">
        <v>37</v>
      </c>
      <c r="K94">
        <f>IF(H94='Nom du personnage'!$F$54,1,)</f>
        <v>0</v>
      </c>
      <c r="L94">
        <f>IF(H94='Nom du personnage'!$K$54,1,)</f>
        <v>0</v>
      </c>
      <c r="O94">
        <f t="shared" si="4"/>
        <v>0</v>
      </c>
      <c r="P94">
        <v>1</v>
      </c>
    </row>
    <row r="95" spans="8:16">
      <c r="H95" s="2" t="s">
        <v>68</v>
      </c>
      <c r="I95" s="2" t="s">
        <v>37</v>
      </c>
      <c r="K95">
        <f>IF(H95='Nom du personnage'!$F$54,1,)</f>
        <v>0</v>
      </c>
      <c r="L95">
        <f>IF(H95='Nom du personnage'!$K$54,1,)</f>
        <v>0</v>
      </c>
      <c r="O95">
        <f t="shared" si="4"/>
        <v>0</v>
      </c>
      <c r="P95">
        <v>1</v>
      </c>
    </row>
    <row r="96" spans="8:16">
      <c r="H96" s="2" t="s">
        <v>68</v>
      </c>
      <c r="I96" s="2" t="s">
        <v>319</v>
      </c>
      <c r="K96">
        <f>IF(H96='Nom du personnage'!$F$54,1,)</f>
        <v>0</v>
      </c>
      <c r="L96">
        <f>IF(H96='Nom du personnage'!$K$54,1,)</f>
        <v>0</v>
      </c>
      <c r="O96">
        <f t="shared" si="4"/>
        <v>0</v>
      </c>
      <c r="P96">
        <v>1</v>
      </c>
    </row>
    <row r="97" spans="8:16">
      <c r="H97" s="2" t="s">
        <v>68</v>
      </c>
      <c r="I97" s="2" t="s">
        <v>57</v>
      </c>
      <c r="K97">
        <f>IF(H97='Nom du personnage'!$F$54,1,)</f>
        <v>0</v>
      </c>
      <c r="L97">
        <f>IF(H97='Nom du personnage'!$K$54,1,)</f>
        <v>0</v>
      </c>
      <c r="O97">
        <f t="shared" si="4"/>
        <v>0</v>
      </c>
      <c r="P97">
        <v>1</v>
      </c>
    </row>
    <row r="98" spans="8:16">
      <c r="H98" s="2" t="s">
        <v>92</v>
      </c>
      <c r="I98" s="2" t="s">
        <v>37</v>
      </c>
      <c r="K98">
        <f>IF(H98='Nom du personnage'!$F$54,1,)</f>
        <v>0</v>
      </c>
      <c r="L98">
        <f>IF(H98='Nom du personnage'!$K$54,1,)</f>
        <v>0</v>
      </c>
      <c r="O98">
        <f t="shared" si="4"/>
        <v>0</v>
      </c>
      <c r="P98">
        <v>1</v>
      </c>
    </row>
    <row r="99" spans="8:16">
      <c r="H99" s="2" t="s">
        <v>92</v>
      </c>
      <c r="I99" s="2" t="s">
        <v>41</v>
      </c>
      <c r="K99">
        <f>IF(H99='Nom du personnage'!$F$54,1,)</f>
        <v>0</v>
      </c>
      <c r="L99">
        <f>IF(H99='Nom du personnage'!$K$54,1,)</f>
        <v>0</v>
      </c>
      <c r="O99">
        <f t="shared" si="4"/>
        <v>0</v>
      </c>
      <c r="P99">
        <v>1</v>
      </c>
    </row>
    <row r="100" spans="8:16">
      <c r="H100" s="2" t="s">
        <v>92</v>
      </c>
      <c r="I100" s="2" t="s">
        <v>319</v>
      </c>
      <c r="K100">
        <f>IF(H100='Nom du personnage'!$F$54,1,)</f>
        <v>0</v>
      </c>
      <c r="L100">
        <f>IF(H100='Nom du personnage'!$K$54,1,)</f>
        <v>0</v>
      </c>
      <c r="O100">
        <f t="shared" si="4"/>
        <v>0</v>
      </c>
      <c r="P100">
        <v>1</v>
      </c>
    </row>
    <row r="101" spans="8:16">
      <c r="H101" s="2" t="s">
        <v>92</v>
      </c>
      <c r="I101" s="2" t="s">
        <v>53</v>
      </c>
      <c r="K101">
        <f>IF(H101='Nom du personnage'!$F$54,1,)</f>
        <v>0</v>
      </c>
      <c r="L101">
        <f>IF(H101='Nom du personnage'!$K$54,1,)</f>
        <v>0</v>
      </c>
      <c r="O101">
        <f t="shared" si="4"/>
        <v>0</v>
      </c>
      <c r="P101">
        <v>1</v>
      </c>
    </row>
    <row r="102" spans="8:16">
      <c r="H102" s="2" t="s">
        <v>92</v>
      </c>
      <c r="I102" s="2" t="s">
        <v>57</v>
      </c>
      <c r="K102">
        <f>IF(H102='Nom du personnage'!$F$54,1,)</f>
        <v>0</v>
      </c>
      <c r="L102">
        <f>IF(H102='Nom du personnage'!$K$54,1,)</f>
        <v>0</v>
      </c>
      <c r="O102">
        <f t="shared" si="4"/>
        <v>0</v>
      </c>
      <c r="P102">
        <v>1</v>
      </c>
    </row>
    <row r="103" spans="8:16">
      <c r="H103" s="2" t="s">
        <v>121</v>
      </c>
      <c r="I103" s="2" t="s">
        <v>325</v>
      </c>
      <c r="K103">
        <f>IF(H103='Nom du personnage'!$F$54,1,)</f>
        <v>0</v>
      </c>
      <c r="L103">
        <f>IF(H103='Nom du personnage'!$K$54,1,)</f>
        <v>0</v>
      </c>
      <c r="O103">
        <f t="shared" si="4"/>
        <v>0</v>
      </c>
      <c r="P103">
        <v>1</v>
      </c>
    </row>
    <row r="104" spans="8:16">
      <c r="H104" s="2" t="s">
        <v>121</v>
      </c>
      <c r="I104" s="2" t="s">
        <v>319</v>
      </c>
      <c r="K104">
        <f>IF(H104='Nom du personnage'!$F$54,1,)</f>
        <v>0</v>
      </c>
      <c r="L104">
        <f>IF(H104='Nom du personnage'!$K$54,1,)</f>
        <v>0</v>
      </c>
      <c r="O104">
        <f t="shared" si="4"/>
        <v>0</v>
      </c>
      <c r="P104">
        <v>1</v>
      </c>
    </row>
    <row r="105" spans="8:16">
      <c r="H105" s="2" t="s">
        <v>121</v>
      </c>
      <c r="I105" s="2" t="s">
        <v>320</v>
      </c>
      <c r="K105">
        <f>IF(H105='Nom du personnage'!$F$54,1,)</f>
        <v>0</v>
      </c>
      <c r="L105">
        <f>IF(H105='Nom du personnage'!$K$54,1,)</f>
        <v>0</v>
      </c>
      <c r="O105">
        <f t="shared" si="4"/>
        <v>0</v>
      </c>
      <c r="P105">
        <v>1</v>
      </c>
    </row>
    <row r="106" spans="8:16">
      <c r="H106" s="2" t="s">
        <v>122</v>
      </c>
      <c r="I106" s="2" t="s">
        <v>320</v>
      </c>
      <c r="K106">
        <f>IF(H106='Nom du personnage'!$F$54,1,)</f>
        <v>0</v>
      </c>
      <c r="L106">
        <f>IF(H106='Nom du personnage'!$K$54,1,)</f>
        <v>0</v>
      </c>
      <c r="O106">
        <f t="shared" si="4"/>
        <v>0</v>
      </c>
      <c r="P106">
        <v>1</v>
      </c>
    </row>
    <row r="107" spans="8:16">
      <c r="H107" s="2" t="s">
        <v>122</v>
      </c>
      <c r="I107" s="2" t="s">
        <v>53</v>
      </c>
      <c r="K107">
        <f>IF(H107='Nom du personnage'!$F$54,1,)</f>
        <v>0</v>
      </c>
      <c r="L107">
        <f>IF(H107='Nom du personnage'!$K$54,1,)</f>
        <v>0</v>
      </c>
      <c r="O107">
        <f t="shared" si="4"/>
        <v>0</v>
      </c>
      <c r="P107">
        <v>1</v>
      </c>
    </row>
    <row r="108" spans="8:16">
      <c r="H108" s="2" t="s">
        <v>122</v>
      </c>
      <c r="I108" s="2" t="s">
        <v>57</v>
      </c>
      <c r="K108">
        <f>IF(H108='Nom du personnage'!$F$54,1,)</f>
        <v>0</v>
      </c>
      <c r="L108">
        <f>IF(H108='Nom du personnage'!$K$54,1,)</f>
        <v>0</v>
      </c>
      <c r="O108">
        <f t="shared" si="4"/>
        <v>0</v>
      </c>
      <c r="P108">
        <v>1</v>
      </c>
    </row>
    <row r="109" spans="8:16">
      <c r="H109" s="2" t="s">
        <v>122</v>
      </c>
      <c r="I109" s="2" t="s">
        <v>323</v>
      </c>
      <c r="K109">
        <f>IF(H109='Nom du personnage'!$F$54,1,)</f>
        <v>0</v>
      </c>
      <c r="L109">
        <f>IF(H109='Nom du personnage'!$K$54,1,)</f>
        <v>0</v>
      </c>
      <c r="O109">
        <f t="shared" si="4"/>
        <v>0</v>
      </c>
      <c r="P109">
        <v>1</v>
      </c>
    </row>
    <row r="110" spans="8:16">
      <c r="H110" s="2" t="s">
        <v>111</v>
      </c>
      <c r="I110" s="2" t="s">
        <v>325</v>
      </c>
      <c r="K110">
        <f>IF(H110='Nom du personnage'!$F$54,1,)</f>
        <v>0</v>
      </c>
      <c r="L110">
        <f>IF(H110='Nom du personnage'!$K$54,1,)</f>
        <v>0</v>
      </c>
      <c r="O110">
        <f t="shared" si="4"/>
        <v>0</v>
      </c>
      <c r="P110">
        <v>1</v>
      </c>
    </row>
    <row r="111" spans="8:16">
      <c r="H111" s="2" t="s">
        <v>111</v>
      </c>
      <c r="I111" s="2" t="s">
        <v>37</v>
      </c>
      <c r="K111">
        <f>IF(H111='Nom du personnage'!$F$54,1,)</f>
        <v>0</v>
      </c>
      <c r="L111">
        <f>IF(H111='Nom du personnage'!$K$54,1,)</f>
        <v>0</v>
      </c>
      <c r="O111">
        <f t="shared" si="4"/>
        <v>0</v>
      </c>
      <c r="P111">
        <v>1</v>
      </c>
    </row>
    <row r="112" spans="8:16">
      <c r="H112" s="2" t="s">
        <v>111</v>
      </c>
      <c r="I112" s="2" t="s">
        <v>41</v>
      </c>
      <c r="K112">
        <f>IF(H112='Nom du personnage'!$F$54,1,)</f>
        <v>0</v>
      </c>
      <c r="L112">
        <f>IF(H112='Nom du personnage'!$K$54,1,)</f>
        <v>0</v>
      </c>
      <c r="O112">
        <f t="shared" si="4"/>
        <v>0</v>
      </c>
      <c r="P112">
        <v>1</v>
      </c>
    </row>
    <row r="113" spans="8:16">
      <c r="H113" s="2" t="s">
        <v>111</v>
      </c>
      <c r="I113" s="2" t="s">
        <v>319</v>
      </c>
      <c r="K113">
        <f>IF(H113='Nom du personnage'!$F$54,1,)</f>
        <v>0</v>
      </c>
      <c r="L113">
        <f>IF(H113='Nom du personnage'!$K$54,1,)</f>
        <v>0</v>
      </c>
      <c r="O113">
        <f t="shared" si="4"/>
        <v>0</v>
      </c>
      <c r="P113">
        <v>1</v>
      </c>
    </row>
    <row r="114" spans="8:16">
      <c r="H114" s="2" t="s">
        <v>71</v>
      </c>
      <c r="I114" s="2" t="s">
        <v>325</v>
      </c>
      <c r="K114">
        <f>IF(H114='Nom du personnage'!$F$54,1,)</f>
        <v>0</v>
      </c>
      <c r="L114">
        <f>IF(H114='Nom du personnage'!$K$54,1,)</f>
        <v>0</v>
      </c>
      <c r="O114">
        <f t="shared" si="4"/>
        <v>0</v>
      </c>
      <c r="P114">
        <v>1</v>
      </c>
    </row>
    <row r="115" spans="8:16">
      <c r="H115" s="2" t="s">
        <v>71</v>
      </c>
      <c r="I115" s="2" t="s">
        <v>37</v>
      </c>
      <c r="K115">
        <f>IF(H115='Nom du personnage'!$F$54,1,)</f>
        <v>0</v>
      </c>
      <c r="L115">
        <f>IF(H115='Nom du personnage'!$K$54,1,)</f>
        <v>0</v>
      </c>
      <c r="O115">
        <f t="shared" si="4"/>
        <v>0</v>
      </c>
      <c r="P115">
        <v>1</v>
      </c>
    </row>
    <row r="116" spans="8:16">
      <c r="H116" s="2" t="s">
        <v>71</v>
      </c>
      <c r="I116" s="2" t="s">
        <v>319</v>
      </c>
      <c r="K116">
        <f>IF(H116='Nom du personnage'!$F$54,1,)</f>
        <v>0</v>
      </c>
      <c r="L116">
        <f>IF(H116='Nom du personnage'!$K$54,1,)</f>
        <v>0</v>
      </c>
      <c r="O116">
        <f t="shared" si="4"/>
        <v>0</v>
      </c>
      <c r="P116">
        <v>1</v>
      </c>
    </row>
    <row r="117" spans="8:16">
      <c r="H117" s="2" t="s">
        <v>114</v>
      </c>
      <c r="I117" s="2" t="s">
        <v>325</v>
      </c>
      <c r="K117">
        <f>IF(H117='Nom du personnage'!$F$54,1,)</f>
        <v>0</v>
      </c>
      <c r="L117">
        <f>IF(H117='Nom du personnage'!$K$54,1,)</f>
        <v>0</v>
      </c>
      <c r="O117">
        <f t="shared" si="4"/>
        <v>0</v>
      </c>
      <c r="P117">
        <v>1</v>
      </c>
    </row>
    <row r="118" spans="8:16">
      <c r="H118" s="2" t="s">
        <v>114</v>
      </c>
      <c r="I118" s="2" t="s">
        <v>57</v>
      </c>
      <c r="K118">
        <f>IF(H118='Nom du personnage'!$F$54,1,)</f>
        <v>0</v>
      </c>
      <c r="L118">
        <f>IF(H118='Nom du personnage'!$K$54,1,)</f>
        <v>0</v>
      </c>
      <c r="O118">
        <f t="shared" si="4"/>
        <v>0</v>
      </c>
      <c r="P118">
        <v>1</v>
      </c>
    </row>
    <row r="119" spans="8:16">
      <c r="H119" s="2" t="s">
        <v>114</v>
      </c>
      <c r="I119" s="2" t="s">
        <v>323</v>
      </c>
      <c r="K119">
        <f>IF(H119='Nom du personnage'!$F$54,1,)</f>
        <v>0</v>
      </c>
      <c r="L119">
        <f>IF(H119='Nom du personnage'!$K$54,1,)</f>
        <v>0</v>
      </c>
      <c r="O119">
        <f t="shared" si="4"/>
        <v>0</v>
      </c>
      <c r="P119">
        <v>1</v>
      </c>
    </row>
    <row r="120" spans="8:16">
      <c r="H120" s="2" t="s">
        <v>74</v>
      </c>
      <c r="I120" s="2" t="s">
        <v>41</v>
      </c>
      <c r="K120">
        <f>IF(H120='Nom du personnage'!$F$54,1,)</f>
        <v>0</v>
      </c>
      <c r="L120">
        <f>IF(H120='Nom du personnage'!$K$54,1,)</f>
        <v>0</v>
      </c>
      <c r="O120">
        <f t="shared" si="4"/>
        <v>0</v>
      </c>
      <c r="P120">
        <v>1</v>
      </c>
    </row>
    <row r="121" spans="8:16">
      <c r="H121" s="2" t="s">
        <v>74</v>
      </c>
      <c r="I121" s="2" t="s">
        <v>320</v>
      </c>
      <c r="K121">
        <f>IF(H121='Nom du personnage'!$F$54,1,)</f>
        <v>0</v>
      </c>
      <c r="L121">
        <f>IF(H121='Nom du personnage'!$K$54,1,)</f>
        <v>0</v>
      </c>
      <c r="O121">
        <f t="shared" si="4"/>
        <v>0</v>
      </c>
      <c r="P121">
        <v>1</v>
      </c>
    </row>
    <row r="122" spans="8:16">
      <c r="H122" s="2" t="s">
        <v>74</v>
      </c>
      <c r="I122" s="2" t="s">
        <v>53</v>
      </c>
      <c r="K122">
        <f>IF(H122='Nom du personnage'!$F$54,1,)</f>
        <v>0</v>
      </c>
      <c r="L122">
        <f>IF(H122='Nom du personnage'!$K$54,1,)</f>
        <v>0</v>
      </c>
      <c r="O122">
        <f t="shared" si="4"/>
        <v>0</v>
      </c>
      <c r="P122">
        <v>1</v>
      </c>
    </row>
    <row r="123" spans="8:16">
      <c r="H123" s="2" t="s">
        <v>74</v>
      </c>
      <c r="I123" s="2" t="s">
        <v>323</v>
      </c>
      <c r="K123">
        <f>IF(H123='Nom du personnage'!$F$54,1,)</f>
        <v>0</v>
      </c>
      <c r="L123">
        <f>IF(H123='Nom du personnage'!$K$54,1,)</f>
        <v>0</v>
      </c>
      <c r="O123">
        <f t="shared" si="4"/>
        <v>0</v>
      </c>
      <c r="P123">
        <v>1</v>
      </c>
    </row>
    <row r="124" spans="8:16">
      <c r="H124" s="2" t="s">
        <v>117</v>
      </c>
      <c r="I124" s="2" t="s">
        <v>325</v>
      </c>
      <c r="K124">
        <f>IF(H124='Nom du personnage'!$F$54,1,)</f>
        <v>0</v>
      </c>
      <c r="L124">
        <f>IF(H124='Nom du personnage'!$K$54,1,)</f>
        <v>0</v>
      </c>
      <c r="O124">
        <f t="shared" si="4"/>
        <v>0</v>
      </c>
      <c r="P124">
        <v>1</v>
      </c>
    </row>
    <row r="125" spans="8:16">
      <c r="H125" s="2" t="s">
        <v>117</v>
      </c>
      <c r="I125" s="2" t="s">
        <v>37</v>
      </c>
      <c r="K125">
        <f>IF(H125='Nom du personnage'!$F$54,1,)</f>
        <v>0</v>
      </c>
      <c r="L125">
        <f>IF(H125='Nom du personnage'!$K$54,1,)</f>
        <v>0</v>
      </c>
      <c r="O125">
        <f t="shared" si="4"/>
        <v>0</v>
      </c>
      <c r="P125">
        <v>1</v>
      </c>
    </row>
    <row r="126" spans="8:16">
      <c r="H126" s="2" t="s">
        <v>117</v>
      </c>
      <c r="I126" s="2" t="s">
        <v>320</v>
      </c>
      <c r="K126">
        <f>IF(H126='Nom du personnage'!$F$54,1,)</f>
        <v>0</v>
      </c>
      <c r="L126">
        <f>IF(H126='Nom du personnage'!$K$54,1,)</f>
        <v>0</v>
      </c>
      <c r="O126">
        <f t="shared" si="4"/>
        <v>0</v>
      </c>
      <c r="P126">
        <v>1</v>
      </c>
    </row>
    <row r="127" spans="8:16">
      <c r="H127" s="2" t="s">
        <v>77</v>
      </c>
      <c r="I127" s="2" t="s">
        <v>325</v>
      </c>
      <c r="K127">
        <f>IF(H127='Nom du personnage'!$F$54,1,)</f>
        <v>0</v>
      </c>
      <c r="L127">
        <f>IF(H127='Nom du personnage'!$K$54,1,)</f>
        <v>0</v>
      </c>
      <c r="O127">
        <f t="shared" si="4"/>
        <v>0</v>
      </c>
      <c r="P127">
        <v>1</v>
      </c>
    </row>
    <row r="128" spans="8:16">
      <c r="H128" s="2" t="s">
        <v>77</v>
      </c>
      <c r="I128" s="2" t="s">
        <v>319</v>
      </c>
      <c r="K128">
        <f>IF(H128='Nom du personnage'!$F$54,1,)</f>
        <v>0</v>
      </c>
      <c r="L128">
        <f>IF(H128='Nom du personnage'!$K$54,1,)</f>
        <v>0</v>
      </c>
      <c r="O128">
        <f t="shared" si="4"/>
        <v>0</v>
      </c>
      <c r="P128">
        <v>1</v>
      </c>
    </row>
    <row r="129" spans="8:16">
      <c r="H129" s="2" t="s">
        <v>77</v>
      </c>
      <c r="I129" s="2" t="s">
        <v>320</v>
      </c>
      <c r="K129">
        <f>IF(H129='Nom du personnage'!$F$54,1,)</f>
        <v>0</v>
      </c>
      <c r="L129">
        <f>IF(H129='Nom du personnage'!$K$54,1,)</f>
        <v>0</v>
      </c>
      <c r="O129">
        <f t="shared" si="4"/>
        <v>0</v>
      </c>
      <c r="P129">
        <v>1</v>
      </c>
    </row>
    <row r="130" spans="8:16">
      <c r="H130" s="2" t="s">
        <v>77</v>
      </c>
      <c r="I130" s="2" t="s">
        <v>53</v>
      </c>
      <c r="K130">
        <f>IF(H130='Nom du personnage'!$F$54,1,)</f>
        <v>0</v>
      </c>
      <c r="L130">
        <f>IF(H130='Nom du personnage'!$K$54,1,)</f>
        <v>0</v>
      </c>
      <c r="O130">
        <f t="shared" si="4"/>
        <v>0</v>
      </c>
      <c r="P130">
        <v>1</v>
      </c>
    </row>
    <row r="131" spans="8:16">
      <c r="H131" s="2" t="s">
        <v>77</v>
      </c>
      <c r="I131" s="2" t="s">
        <v>323</v>
      </c>
      <c r="K131">
        <f>IF(H131='Nom du personnage'!$F$54,1,)</f>
        <v>0</v>
      </c>
      <c r="L131">
        <f>IF(H131='Nom du personnage'!$K$54,1,)</f>
        <v>0</v>
      </c>
      <c r="O131">
        <f t="shared" si="4"/>
        <v>0</v>
      </c>
      <c r="P131">
        <v>1</v>
      </c>
    </row>
    <row r="132" spans="8:16">
      <c r="H132" s="2" t="s">
        <v>80</v>
      </c>
      <c r="I132" s="2" t="s">
        <v>325</v>
      </c>
      <c r="K132">
        <f>IF(H132='Nom du personnage'!$F$54,1,)</f>
        <v>0</v>
      </c>
      <c r="L132">
        <f>IF(H132='Nom du personnage'!$K$54,1,)</f>
        <v>0</v>
      </c>
      <c r="O132">
        <f t="shared" si="4"/>
        <v>0</v>
      </c>
      <c r="P132">
        <v>1</v>
      </c>
    </row>
    <row r="133" spans="8:16">
      <c r="H133" s="2" t="s">
        <v>80</v>
      </c>
      <c r="I133" s="2" t="s">
        <v>57</v>
      </c>
      <c r="K133">
        <f>IF(H133='Nom du personnage'!$F$54,1,)</f>
        <v>0</v>
      </c>
      <c r="L133">
        <f>IF(H133='Nom du personnage'!$K$54,1,)</f>
        <v>0</v>
      </c>
      <c r="O133">
        <f t="shared" si="4"/>
        <v>0</v>
      </c>
      <c r="P133">
        <v>1</v>
      </c>
    </row>
    <row r="134" spans="8:16">
      <c r="H134" s="2" t="s">
        <v>80</v>
      </c>
      <c r="I134" s="2" t="s">
        <v>323</v>
      </c>
      <c r="K134">
        <f>IF(H134='Nom du personnage'!$F$54,1,)</f>
        <v>0</v>
      </c>
      <c r="L134">
        <f>IF(H134='Nom du personnage'!$K$54,1,)</f>
        <v>0</v>
      </c>
      <c r="O134">
        <f t="shared" ref="O134:O135" si="5">IF(OR(K134=1,L134=1),I134,0)</f>
        <v>0</v>
      </c>
      <c r="P134">
        <v>1</v>
      </c>
    </row>
    <row r="135" spans="8:16">
      <c r="H135" s="2" t="s">
        <v>80</v>
      </c>
      <c r="I135" s="2" t="s">
        <v>326</v>
      </c>
      <c r="K135">
        <f>IF(H135='Nom du personnage'!$F$54,1,)</f>
        <v>0</v>
      </c>
      <c r="L135">
        <f>IF(H135='Nom du personnage'!$K$54,1,)</f>
        <v>0</v>
      </c>
      <c r="O135">
        <f t="shared" si="5"/>
        <v>0</v>
      </c>
      <c r="P135">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85DD-60E9-43B6-882E-FB9CADD69F95}">
  <sheetPr codeName="Feuil6"/>
  <dimension ref="A2:AH242"/>
  <sheetViews>
    <sheetView zoomScale="70" zoomScaleNormal="70" workbookViewId="0">
      <selection activeCell="K8" sqref="K8"/>
    </sheetView>
  </sheetViews>
  <sheetFormatPr baseColWidth="10" defaultRowHeight="15"/>
  <cols>
    <col min="1" max="1" width="15.54296875" bestFit="1" customWidth="1"/>
    <col min="2" max="2" width="29.54296875" bestFit="1" customWidth="1"/>
    <col min="6" max="6" width="16.6328125" hidden="1" customWidth="1"/>
    <col min="7" max="7" width="16.1796875" hidden="1" customWidth="1"/>
    <col min="8" max="8" width="12.7265625" hidden="1" customWidth="1"/>
    <col min="9" max="14" width="0" hidden="1" customWidth="1"/>
    <col min="15" max="15" width="13.1796875" hidden="1" customWidth="1"/>
    <col min="16" max="23" width="0" hidden="1" customWidth="1"/>
    <col min="24" max="24" width="12.26953125" bestFit="1" customWidth="1"/>
    <col min="26" max="26" width="15.54296875" bestFit="1" customWidth="1"/>
    <col min="27" max="27" width="15.54296875" customWidth="1"/>
    <col min="29" max="29" width="23" bestFit="1" customWidth="1"/>
  </cols>
  <sheetData>
    <row r="2" spans="1:34">
      <c r="A2" s="2" t="s">
        <v>318</v>
      </c>
      <c r="B2" s="2" t="s">
        <v>327</v>
      </c>
      <c r="C2" s="2" t="s">
        <v>328</v>
      </c>
      <c r="D2" s="2" t="s">
        <v>447</v>
      </c>
      <c r="F2" t="s">
        <v>215</v>
      </c>
      <c r="G2" s="2" t="s">
        <v>445</v>
      </c>
      <c r="H2" s="2" t="s">
        <v>680</v>
      </c>
      <c r="J2" s="2" t="s">
        <v>223</v>
      </c>
      <c r="O2" s="2" t="s">
        <v>446</v>
      </c>
      <c r="X2" t="s">
        <v>684</v>
      </c>
      <c r="Y2" t="s">
        <v>683</v>
      </c>
      <c r="Z2" t="s">
        <v>705</v>
      </c>
      <c r="AB2" t="s">
        <v>685</v>
      </c>
      <c r="AC2" s="2" t="s">
        <v>327</v>
      </c>
      <c r="AD2" s="2" t="s">
        <v>448</v>
      </c>
      <c r="AE2" s="2" t="s">
        <v>447</v>
      </c>
    </row>
    <row r="3" spans="1:34">
      <c r="A3" s="2" t="s">
        <v>37</v>
      </c>
      <c r="B3" s="2" t="s">
        <v>329</v>
      </c>
      <c r="C3">
        <v>2</v>
      </c>
      <c r="D3">
        <v>1</v>
      </c>
      <c r="F3" s="2" t="s">
        <v>217</v>
      </c>
      <c r="G3" s="2" t="s">
        <v>41</v>
      </c>
      <c r="I3" s="3">
        <f t="shared" ref="I3:I34" si="0">IF(J3=F3,G3,)</f>
        <v>0</v>
      </c>
      <c r="J3" cm="1">
        <f t="array" ref="J3:N3">'Nom du personnage'!$F$54:$J$54</f>
        <v>0</v>
      </c>
      <c r="K3">
        <v>0</v>
      </c>
      <c r="L3">
        <v>0</v>
      </c>
      <c r="M3">
        <v>0</v>
      </c>
      <c r="N3">
        <v>0</v>
      </c>
      <c r="O3" cm="1">
        <f t="array" ref="O3:W3">'Nom du personnage'!$H$88:$P$88</f>
        <v>0</v>
      </c>
      <c r="P3">
        <v>0</v>
      </c>
      <c r="Q3">
        <v>0</v>
      </c>
      <c r="R3">
        <v>0</v>
      </c>
      <c r="S3">
        <v>0</v>
      </c>
      <c r="T3">
        <v>0</v>
      </c>
      <c r="U3">
        <v>0</v>
      </c>
      <c r="V3">
        <v>0</v>
      </c>
      <c r="W3">
        <v>0</v>
      </c>
      <c r="X3" cm="1">
        <f t="array" ref="X3">IF(OR(A3='Nom du personnage'!$H$88:$O$88,'Nom du personnage'!$V$88:$AC$88=Magie!A3),1,)</f>
        <v>0</v>
      </c>
      <c r="Y3" t="e">
        <f ca="1">IF('Nom du personnage'!$AC$59&gt;=Magie!D3,1,)</f>
        <v>#N/A</v>
      </c>
      <c r="Z3">
        <f t="shared" ref="Z3:Z35" si="1">IF(D3=1,1,0)</f>
        <v>1</v>
      </c>
      <c r="AA3">
        <f>IF(A3='Nom du personnage'!$V$88,10,0)</f>
        <v>0</v>
      </c>
      <c r="AB3" t="e">
        <f ca="1">+X3+Y3+Z3+AA3</f>
        <v>#N/A</v>
      </c>
      <c r="AC3" t="e">
        <f ca="1">IF(AB3=3,B3,)</f>
        <v>#N/A</v>
      </c>
      <c r="AD3" t="e">
        <f>IF(VLOOKUP('Nom du personnage'!$U$51,Données!$P$3:$R$30,3,FALSE)=1,VLOOKUP(AC3,B3:C182,2,FALSE)+1,VLOOKUP(AC3,B3:C182,2,FALSE))</f>
        <v>#N/A</v>
      </c>
      <c r="AE3" t="e">
        <f ca="1">VLOOKUP(AC3,B3:D242,3,FALSE)</f>
        <v>#N/A</v>
      </c>
      <c r="AF3" t="e">
        <f ca="1">IF(OR(AB3=13,AB3=12),B3,)</f>
        <v>#N/A</v>
      </c>
      <c r="AG3" t="e">
        <f>IF(VLOOKUP('Nom du personnage'!$U$51,Données!$P$3:$R$30,3,FALSE)=1,VLOOKUP(AF3,B3:C182,2,FALSE)+1,VLOOKUP(AF3,B3:C182,2,FALSE))</f>
        <v>#N/A</v>
      </c>
      <c r="AH3" t="e">
        <f ca="1">VLOOKUP(AF3,B3:D242,3,FALSE)</f>
        <v>#N/A</v>
      </c>
    </row>
    <row r="4" spans="1:34">
      <c r="A4" s="2" t="s">
        <v>37</v>
      </c>
      <c r="B4" s="2" t="s">
        <v>330</v>
      </c>
      <c r="C4">
        <v>2</v>
      </c>
      <c r="D4">
        <v>1</v>
      </c>
      <c r="F4" s="2" t="s">
        <v>217</v>
      </c>
      <c r="G4" s="2" t="s">
        <v>320</v>
      </c>
      <c r="I4" s="3">
        <f t="shared" si="0"/>
        <v>0</v>
      </c>
      <c r="J4" cm="1">
        <f t="array" ref="J4:N4">'Nom du personnage'!$F$54:$J$54</f>
        <v>0</v>
      </c>
      <c r="K4">
        <v>0</v>
      </c>
      <c r="L4">
        <v>0</v>
      </c>
      <c r="M4">
        <v>0</v>
      </c>
      <c r="N4">
        <v>0</v>
      </c>
      <c r="O4" cm="1">
        <f t="array" ref="O4:W4">'Nom du personnage'!$H$88:$P$88</f>
        <v>0</v>
      </c>
      <c r="P4">
        <v>0</v>
      </c>
      <c r="Q4">
        <v>0</v>
      </c>
      <c r="R4">
        <v>0</v>
      </c>
      <c r="S4">
        <v>0</v>
      </c>
      <c r="T4">
        <v>0</v>
      </c>
      <c r="U4">
        <v>0</v>
      </c>
      <c r="V4">
        <v>0</v>
      </c>
      <c r="W4">
        <v>0</v>
      </c>
      <c r="X4" cm="1">
        <f t="array" ref="X4">IF(OR(A4='Nom du personnage'!$H$88:$O$88,'Nom du personnage'!$V$88:$AC$88=Magie!A4),1,)</f>
        <v>0</v>
      </c>
      <c r="Y4" t="e">
        <f ca="1">IF('Nom du personnage'!$AC$59&gt;=Magie!D4,1,)</f>
        <v>#N/A</v>
      </c>
      <c r="Z4">
        <f t="shared" si="1"/>
        <v>1</v>
      </c>
      <c r="AA4">
        <f>IF(A4='Nom du personnage'!$V$88,10,0)</f>
        <v>0</v>
      </c>
      <c r="AB4" t="e">
        <f t="shared" ref="AB4:AB67" ca="1" si="2">+X4+Y4+Z4+AA4</f>
        <v>#N/A</v>
      </c>
      <c r="AC4" t="e">
        <f t="shared" ref="AC4:AC67" ca="1" si="3">IF(AB4=3,B4,)</f>
        <v>#N/A</v>
      </c>
      <c r="AD4" t="e">
        <f>IF(VLOOKUP('Nom du personnage'!$U$51,Données!$P$3:$R$30,3,FALSE)=1,VLOOKUP(AC4,B4:C183,2,FALSE)+1,VLOOKUP(AC4,B4:C183,2,FALSE))</f>
        <v>#N/A</v>
      </c>
      <c r="AE4" t="e">
        <f t="shared" ref="AE4:AE67" ca="1" si="4">VLOOKUP(AC4,B4:D243,3,FALSE)</f>
        <v>#N/A</v>
      </c>
      <c r="AF4" t="e">
        <f t="shared" ref="AF4:AF67" ca="1" si="5">IF(OR(AB4=13,AB4=12),B4,)</f>
        <v>#N/A</v>
      </c>
      <c r="AG4" t="e">
        <f>IF(VLOOKUP('Nom du personnage'!$U$51,Données!$P$3:$R$30,3,FALSE)=1,VLOOKUP(AF4,B4:C183,2,FALSE)+1,VLOOKUP(AF4,B4:C183,2,FALSE))</f>
        <v>#N/A</v>
      </c>
      <c r="AH4" t="e">
        <f t="shared" ref="AH4:AH67" ca="1" si="6">VLOOKUP(AF4,B4:D243,3,FALSE)</f>
        <v>#N/A</v>
      </c>
    </row>
    <row r="5" spans="1:34">
      <c r="A5" s="2" t="s">
        <v>37</v>
      </c>
      <c r="B5" s="2" t="s">
        <v>331</v>
      </c>
      <c r="C5">
        <v>2</v>
      </c>
      <c r="D5">
        <v>1</v>
      </c>
      <c r="F5" s="2" t="s">
        <v>217</v>
      </c>
      <c r="G5" s="2" t="s">
        <v>53</v>
      </c>
      <c r="I5" s="3">
        <f t="shared" si="0"/>
        <v>0</v>
      </c>
      <c r="J5" cm="1">
        <f t="array" ref="J5:N5">'Nom du personnage'!$F$54:$J$54</f>
        <v>0</v>
      </c>
      <c r="K5">
        <v>0</v>
      </c>
      <c r="L5">
        <v>0</v>
      </c>
      <c r="M5">
        <v>0</v>
      </c>
      <c r="N5">
        <v>0</v>
      </c>
      <c r="O5" cm="1">
        <f t="array" ref="O5:W5">'Nom du personnage'!$H$88:$P$88</f>
        <v>0</v>
      </c>
      <c r="P5">
        <v>0</v>
      </c>
      <c r="Q5">
        <v>0</v>
      </c>
      <c r="R5">
        <v>0</v>
      </c>
      <c r="S5">
        <v>0</v>
      </c>
      <c r="T5">
        <v>0</v>
      </c>
      <c r="U5">
        <v>0</v>
      </c>
      <c r="V5">
        <v>0</v>
      </c>
      <c r="W5">
        <v>0</v>
      </c>
      <c r="X5" cm="1">
        <f t="array" ref="X5">IF(OR(A5='Nom du personnage'!$H$88:$O$88,'Nom du personnage'!$V$88:$AC$88=Magie!A5),1,)</f>
        <v>0</v>
      </c>
      <c r="Y5" t="e">
        <f ca="1">IF('Nom du personnage'!$AC$59&gt;=Magie!D5,1,)</f>
        <v>#N/A</v>
      </c>
      <c r="Z5">
        <f t="shared" si="1"/>
        <v>1</v>
      </c>
      <c r="AA5">
        <f>IF(A5='Nom du personnage'!$V$88,10,0)</f>
        <v>0</v>
      </c>
      <c r="AB5" t="e">
        <f t="shared" ca="1" si="2"/>
        <v>#N/A</v>
      </c>
      <c r="AC5" t="e">
        <f t="shared" ca="1" si="3"/>
        <v>#N/A</v>
      </c>
      <c r="AD5" t="e">
        <f>IF(VLOOKUP('Nom du personnage'!$U$51,Données!$P$3:$R$30,3,FALSE)=1,VLOOKUP(AC5,B5:C184,2,FALSE)+1,VLOOKUP(AC5,B5:C184,2,FALSE))</f>
        <v>#N/A</v>
      </c>
      <c r="AE5" t="e">
        <f t="shared" ca="1" si="4"/>
        <v>#N/A</v>
      </c>
      <c r="AF5" t="e">
        <f t="shared" ca="1" si="5"/>
        <v>#N/A</v>
      </c>
      <c r="AG5" t="e">
        <f>IF(VLOOKUP('Nom du personnage'!$U$51,Données!$P$3:$R$30,3,FALSE)=1,VLOOKUP(AF5,B5:C184,2,FALSE)+1,VLOOKUP(AF5,B5:C184,2,FALSE))</f>
        <v>#N/A</v>
      </c>
      <c r="AH5" t="e">
        <f t="shared" ca="1" si="6"/>
        <v>#N/A</v>
      </c>
    </row>
    <row r="6" spans="1:34">
      <c r="A6" s="2" t="s">
        <v>37</v>
      </c>
      <c r="B6" s="2" t="s">
        <v>332</v>
      </c>
      <c r="C6">
        <v>2</v>
      </c>
      <c r="D6">
        <v>2</v>
      </c>
      <c r="F6" s="2" t="s">
        <v>217</v>
      </c>
      <c r="G6" s="2" t="s">
        <v>323</v>
      </c>
      <c r="I6" s="3">
        <f t="shared" si="0"/>
        <v>0</v>
      </c>
      <c r="J6" cm="1">
        <f t="array" ref="J6:N6">'Nom du personnage'!$F$54:$J$54</f>
        <v>0</v>
      </c>
      <c r="K6">
        <v>0</v>
      </c>
      <c r="L6">
        <v>0</v>
      </c>
      <c r="M6">
        <v>0</v>
      </c>
      <c r="N6">
        <v>0</v>
      </c>
      <c r="O6" cm="1">
        <f t="array" ref="O6:W6">'Nom du personnage'!$H$88:$P$88</f>
        <v>0</v>
      </c>
      <c r="P6">
        <v>0</v>
      </c>
      <c r="Q6">
        <v>0</v>
      </c>
      <c r="R6">
        <v>0</v>
      </c>
      <c r="S6">
        <v>0</v>
      </c>
      <c r="T6">
        <v>0</v>
      </c>
      <c r="U6">
        <v>0</v>
      </c>
      <c r="V6">
        <v>0</v>
      </c>
      <c r="W6">
        <v>0</v>
      </c>
      <c r="X6" cm="1">
        <f t="array" ref="X6">IF(OR(A6='Nom du personnage'!$H$88:$O$88,'Nom du personnage'!$V$88:$AC$88=Magie!A6),1,)</f>
        <v>0</v>
      </c>
      <c r="Y6" t="e">
        <f ca="1">IF('Nom du personnage'!$AC$59&gt;=Magie!D6,1,)</f>
        <v>#N/A</v>
      </c>
      <c r="Z6">
        <f ca="1">IF(AND(A6='Nom du personnage'!$H$88,_xlfn.AGGREGATE(4,6,'Nom du personnage'!$C$91:$D$109)&gt;=Magie!D3),1,0)</f>
        <v>0</v>
      </c>
      <c r="AA6">
        <f ca="1">IF(AND(A6='Nom du personnage'!$V$88,_xlfn.AGGREGATE(4,6,'Nom du personnage'!$Q$91:$R$109)&gt;=Magie!D3),10,0)</f>
        <v>0</v>
      </c>
      <c r="AB6" t="e">
        <f t="shared" ca="1" si="2"/>
        <v>#N/A</v>
      </c>
      <c r="AC6" t="e">
        <f t="shared" ca="1" si="3"/>
        <v>#N/A</v>
      </c>
      <c r="AD6" t="e">
        <f>IF(VLOOKUP('Nom du personnage'!$U$51,Données!$P$3:$R$30,3,FALSE)=1,VLOOKUP(AC6,B6:C185,2,FALSE)+1,VLOOKUP(AC6,B6:C185,2,FALSE))</f>
        <v>#N/A</v>
      </c>
      <c r="AE6" t="e">
        <f t="shared" ca="1" si="4"/>
        <v>#N/A</v>
      </c>
      <c r="AF6" t="e">
        <f t="shared" ca="1" si="5"/>
        <v>#N/A</v>
      </c>
      <c r="AG6" t="e">
        <f>IF(VLOOKUP('Nom du personnage'!$U$51,Données!$P$3:$R$30,3,FALSE)=1,VLOOKUP(AF6,B6:C185,2,FALSE)+1,VLOOKUP(AF6,B6:C185,2,FALSE))</f>
        <v>#N/A</v>
      </c>
      <c r="AH6" t="e">
        <f t="shared" ca="1" si="6"/>
        <v>#N/A</v>
      </c>
    </row>
    <row r="7" spans="1:34">
      <c r="A7" s="2" t="s">
        <v>37</v>
      </c>
      <c r="B7" s="2" t="s">
        <v>333</v>
      </c>
      <c r="C7">
        <v>2</v>
      </c>
      <c r="D7">
        <v>2</v>
      </c>
      <c r="F7" s="2" t="s">
        <v>83</v>
      </c>
      <c r="G7" s="2" t="s">
        <v>37</v>
      </c>
      <c r="I7" s="3">
        <f t="shared" si="0"/>
        <v>0</v>
      </c>
      <c r="J7" cm="1">
        <f t="array" ref="J7:N7">'Nom du personnage'!$F$54:$J$54</f>
        <v>0</v>
      </c>
      <c r="K7">
        <v>0</v>
      </c>
      <c r="L7">
        <v>0</v>
      </c>
      <c r="M7">
        <v>0</v>
      </c>
      <c r="N7">
        <v>0</v>
      </c>
      <c r="O7" cm="1">
        <f t="array" ref="O7:W7">'Nom du personnage'!$H$88:$P$88</f>
        <v>0</v>
      </c>
      <c r="P7">
        <v>0</v>
      </c>
      <c r="Q7">
        <v>0</v>
      </c>
      <c r="R7">
        <v>0</v>
      </c>
      <c r="S7">
        <v>0</v>
      </c>
      <c r="T7">
        <v>0</v>
      </c>
      <c r="U7">
        <v>0</v>
      </c>
      <c r="V7">
        <v>0</v>
      </c>
      <c r="W7">
        <v>0</v>
      </c>
      <c r="X7" cm="1">
        <f t="array" ref="X7">IF(OR(A7='Nom du personnage'!$H$88:$O$88,'Nom du personnage'!$V$88:$AC$88=Magie!A7),1,)</f>
        <v>0</v>
      </c>
      <c r="Y7" t="e">
        <f ca="1">IF('Nom du personnage'!$AC$59&gt;=Magie!D7,1,)</f>
        <v>#N/A</v>
      </c>
      <c r="Z7">
        <f ca="1">IF(AND(A7='Nom du personnage'!$H$88,_xlfn.AGGREGATE(4,6,'Nom du personnage'!$C$91:$D$109)&gt;=Magie!D4),1,0)</f>
        <v>0</v>
      </c>
      <c r="AA7">
        <f ca="1">IF(AND(A7='Nom du personnage'!$V$88,_xlfn.AGGREGATE(4,6,'Nom du personnage'!$Q$91:$R$109)&gt;=Magie!D4),10,0)</f>
        <v>0</v>
      </c>
      <c r="AB7" t="e">
        <f t="shared" ca="1" si="2"/>
        <v>#N/A</v>
      </c>
      <c r="AC7" t="e">
        <f t="shared" ca="1" si="3"/>
        <v>#N/A</v>
      </c>
      <c r="AD7" t="e">
        <f>IF(VLOOKUP('Nom du personnage'!$U$51,Données!$P$3:$R$30,3,FALSE)=1,VLOOKUP(AC7,B7:C186,2,FALSE)+1,VLOOKUP(AC7,B7:C186,2,FALSE))</f>
        <v>#N/A</v>
      </c>
      <c r="AE7" t="e">
        <f t="shared" ca="1" si="4"/>
        <v>#N/A</v>
      </c>
      <c r="AF7" t="e">
        <f t="shared" ca="1" si="5"/>
        <v>#N/A</v>
      </c>
      <c r="AG7" t="e">
        <f>IF(VLOOKUP('Nom du personnage'!$U$51,Données!$P$3:$R$30,3,FALSE)=1,VLOOKUP(AF7,B7:C186,2,FALSE)+1,VLOOKUP(AF7,B7:C186,2,FALSE))</f>
        <v>#N/A</v>
      </c>
      <c r="AH7" t="e">
        <f t="shared" ca="1" si="6"/>
        <v>#N/A</v>
      </c>
    </row>
    <row r="8" spans="1:34">
      <c r="A8" s="2" t="s">
        <v>37</v>
      </c>
      <c r="B8" s="2" t="s">
        <v>334</v>
      </c>
      <c r="C8">
        <v>2</v>
      </c>
      <c r="D8">
        <v>2</v>
      </c>
      <c r="F8" s="2" t="s">
        <v>83</v>
      </c>
      <c r="G8" s="2" t="s">
        <v>41</v>
      </c>
      <c r="I8" s="3">
        <f t="shared" si="0"/>
        <v>0</v>
      </c>
      <c r="J8" cm="1">
        <f t="array" ref="J8:N8">'Nom du personnage'!$F$54:$J$54</f>
        <v>0</v>
      </c>
      <c r="K8">
        <v>0</v>
      </c>
      <c r="L8">
        <v>0</v>
      </c>
      <c r="M8">
        <v>0</v>
      </c>
      <c r="N8">
        <v>0</v>
      </c>
      <c r="O8" cm="1">
        <f t="array" ref="O8:W8">'Nom du personnage'!$H$88:$P$88</f>
        <v>0</v>
      </c>
      <c r="P8">
        <v>0</v>
      </c>
      <c r="Q8">
        <v>0</v>
      </c>
      <c r="R8">
        <v>0</v>
      </c>
      <c r="S8">
        <v>0</v>
      </c>
      <c r="T8">
        <v>0</v>
      </c>
      <c r="U8">
        <v>0</v>
      </c>
      <c r="V8">
        <v>0</v>
      </c>
      <c r="W8">
        <v>0</v>
      </c>
      <c r="X8" cm="1">
        <f t="array" ref="X8">IF(OR(A8='Nom du personnage'!$H$88:$O$88,'Nom du personnage'!$V$88:$AC$88=Magie!A8),1,)</f>
        <v>0</v>
      </c>
      <c r="Y8" t="e">
        <f ca="1">IF('Nom du personnage'!$AC$59&gt;=Magie!D8,1,)</f>
        <v>#N/A</v>
      </c>
      <c r="Z8">
        <f ca="1">IF(AND(A8='Nom du personnage'!$H$88,_xlfn.AGGREGATE(4,6,'Nom du personnage'!$C$91:$D$109)&gt;=Magie!D5),1,0)</f>
        <v>0</v>
      </c>
      <c r="AA8">
        <f ca="1">IF(AND(A8='Nom du personnage'!$V$88,_xlfn.AGGREGATE(4,6,'Nom du personnage'!$Q$91:$R$109)&gt;=Magie!D5),10,0)</f>
        <v>0</v>
      </c>
      <c r="AB8" t="e">
        <f t="shared" ca="1" si="2"/>
        <v>#N/A</v>
      </c>
      <c r="AC8" t="e">
        <f t="shared" ca="1" si="3"/>
        <v>#N/A</v>
      </c>
      <c r="AD8" t="e">
        <f>IF(VLOOKUP('Nom du personnage'!$U$51,Données!$P$3:$R$30,3,FALSE)=1,VLOOKUP(AC8,B8:C187,2,FALSE)+1,VLOOKUP(AC8,B8:C187,2,FALSE))</f>
        <v>#N/A</v>
      </c>
      <c r="AE8" t="e">
        <f t="shared" ca="1" si="4"/>
        <v>#N/A</v>
      </c>
      <c r="AF8" t="e">
        <f t="shared" ca="1" si="5"/>
        <v>#N/A</v>
      </c>
      <c r="AG8" t="e">
        <f>IF(VLOOKUP('Nom du personnage'!$U$51,Données!$P$3:$R$30,3,FALSE)=1,VLOOKUP(AF8,B8:C187,2,FALSE)+1,VLOOKUP(AF8,B8:C187,2,FALSE))</f>
        <v>#N/A</v>
      </c>
      <c r="AH8" t="e">
        <f t="shared" ca="1" si="6"/>
        <v>#N/A</v>
      </c>
    </row>
    <row r="9" spans="1:34">
      <c r="A9" s="2" t="s">
        <v>37</v>
      </c>
      <c r="B9" s="2" t="s">
        <v>335</v>
      </c>
      <c r="C9">
        <v>2</v>
      </c>
      <c r="D9">
        <v>3</v>
      </c>
      <c r="F9" s="2" t="s">
        <v>83</v>
      </c>
      <c r="G9" s="2" t="s">
        <v>326</v>
      </c>
      <c r="I9" s="3">
        <f t="shared" si="0"/>
        <v>0</v>
      </c>
      <c r="J9" cm="1">
        <f t="array" ref="J9:N9">'Nom du personnage'!$F$54:$J$54</f>
        <v>0</v>
      </c>
      <c r="K9">
        <v>0</v>
      </c>
      <c r="L9">
        <v>0</v>
      </c>
      <c r="M9">
        <v>0</v>
      </c>
      <c r="N9">
        <v>0</v>
      </c>
      <c r="O9" cm="1">
        <f t="array" ref="O9:W9">'Nom du personnage'!$H$88:$P$88</f>
        <v>0</v>
      </c>
      <c r="P9">
        <v>0</v>
      </c>
      <c r="Q9">
        <v>0</v>
      </c>
      <c r="R9">
        <v>0</v>
      </c>
      <c r="S9">
        <v>0</v>
      </c>
      <c r="T9">
        <v>0</v>
      </c>
      <c r="U9">
        <v>0</v>
      </c>
      <c r="V9">
        <v>0</v>
      </c>
      <c r="W9">
        <v>0</v>
      </c>
      <c r="X9" cm="1">
        <f t="array" ref="X9">IF(OR(A9='Nom du personnage'!$H$88:$O$88,'Nom du personnage'!$V$88:$AC$88=Magie!A9),1,)</f>
        <v>0</v>
      </c>
      <c r="Y9" t="e">
        <f ca="1">IF('Nom du personnage'!$AC$59&gt;=Magie!D9,1,)</f>
        <v>#N/A</v>
      </c>
      <c r="Z9">
        <f ca="1">IF(AND(A9='Nom du personnage'!$H$88,_xlfn.AGGREGATE(4,6,'Nom du personnage'!$C$91:$D$109)&gt;=Magie!D6),1,0)</f>
        <v>0</v>
      </c>
      <c r="AA9">
        <f ca="1">IF(AND(A9='Nom du personnage'!$V$88,_xlfn.AGGREGATE(4,6,'Nom du personnage'!$Q$91:$R$109)&gt;=Magie!D6),10,0)</f>
        <v>0</v>
      </c>
      <c r="AB9" t="e">
        <f t="shared" ca="1" si="2"/>
        <v>#N/A</v>
      </c>
      <c r="AC9" t="e">
        <f t="shared" ca="1" si="3"/>
        <v>#N/A</v>
      </c>
      <c r="AD9" t="e">
        <f>IF(VLOOKUP('Nom du personnage'!$U$51,Données!$P$3:$R$30,3,FALSE)=1,VLOOKUP(AC9,B9:C188,2,FALSE)+1,VLOOKUP(AC9,B9:C188,2,FALSE))</f>
        <v>#N/A</v>
      </c>
      <c r="AE9" t="e">
        <f t="shared" ca="1" si="4"/>
        <v>#N/A</v>
      </c>
      <c r="AF9" t="e">
        <f t="shared" ca="1" si="5"/>
        <v>#N/A</v>
      </c>
      <c r="AG9" t="e">
        <f>IF(VLOOKUP('Nom du personnage'!$U$51,Données!$P$3:$R$30,3,FALSE)=1,VLOOKUP(AF9,B9:C188,2,FALSE)+1,VLOOKUP(AF9,B9:C188,2,FALSE))</f>
        <v>#N/A</v>
      </c>
      <c r="AH9" t="e">
        <f t="shared" ca="1" si="6"/>
        <v>#N/A</v>
      </c>
    </row>
    <row r="10" spans="1:34">
      <c r="A10" s="2" t="s">
        <v>37</v>
      </c>
      <c r="B10" s="2" t="s">
        <v>336</v>
      </c>
      <c r="C10">
        <v>2</v>
      </c>
      <c r="D10">
        <v>3</v>
      </c>
      <c r="F10" t="s">
        <v>36</v>
      </c>
      <c r="G10" s="2" t="s">
        <v>37</v>
      </c>
      <c r="I10" s="3">
        <f t="shared" si="0"/>
        <v>0</v>
      </c>
      <c r="J10" cm="1">
        <f t="array" ref="J10:N10">'Nom du personnage'!$F$54:$J$54</f>
        <v>0</v>
      </c>
      <c r="K10">
        <v>0</v>
      </c>
      <c r="L10">
        <v>0</v>
      </c>
      <c r="M10">
        <v>0</v>
      </c>
      <c r="N10">
        <v>0</v>
      </c>
      <c r="O10" cm="1">
        <f t="array" ref="O10:W10">'Nom du personnage'!$H$88:$P$88</f>
        <v>0</v>
      </c>
      <c r="P10">
        <v>0</v>
      </c>
      <c r="Q10">
        <v>0</v>
      </c>
      <c r="R10">
        <v>0</v>
      </c>
      <c r="S10">
        <v>0</v>
      </c>
      <c r="T10">
        <v>0</v>
      </c>
      <c r="U10">
        <v>0</v>
      </c>
      <c r="V10">
        <v>0</v>
      </c>
      <c r="W10">
        <v>0</v>
      </c>
      <c r="X10" cm="1">
        <f t="array" ref="X10">IF(OR(A10='Nom du personnage'!$H$88:$O$88,'Nom du personnage'!$V$88:$AC$88=Magie!A10),1,)</f>
        <v>0</v>
      </c>
      <c r="Y10" t="e">
        <f ca="1">IF('Nom du personnage'!$AC$59&gt;=Magie!D10,1,)</f>
        <v>#N/A</v>
      </c>
      <c r="Z10">
        <f ca="1">IF(AND(A10='Nom du personnage'!$H$88,_xlfn.AGGREGATE(4,6,'Nom du personnage'!$C$91:$D$109)&gt;=Magie!D7),1,0)</f>
        <v>0</v>
      </c>
      <c r="AA10">
        <f ca="1">IF(AND(A10='Nom du personnage'!$V$88,_xlfn.AGGREGATE(4,6,'Nom du personnage'!$Q$91:$R$109)&gt;=Magie!D7),10,0)</f>
        <v>0</v>
      </c>
      <c r="AB10" t="e">
        <f t="shared" ca="1" si="2"/>
        <v>#N/A</v>
      </c>
      <c r="AC10" t="e">
        <f t="shared" ca="1" si="3"/>
        <v>#N/A</v>
      </c>
      <c r="AD10" t="e">
        <f>IF(VLOOKUP('Nom du personnage'!$U$51,Données!$P$3:$R$30,3,FALSE)=1,VLOOKUP(AC10,B10:C189,2,FALSE)+1,VLOOKUP(AC10,B10:C189,2,FALSE))</f>
        <v>#N/A</v>
      </c>
      <c r="AE10" t="e">
        <f t="shared" ca="1" si="4"/>
        <v>#N/A</v>
      </c>
      <c r="AF10" t="e">
        <f t="shared" ca="1" si="5"/>
        <v>#N/A</v>
      </c>
      <c r="AG10" t="e">
        <f>IF(VLOOKUP('Nom du personnage'!$U$51,Données!$P$3:$R$30,3,FALSE)=1,VLOOKUP(AF10,B10:C189,2,FALSE)+1,VLOOKUP(AF10,B10:C189,2,FALSE))</f>
        <v>#N/A</v>
      </c>
      <c r="AH10" t="e">
        <f t="shared" ca="1" si="6"/>
        <v>#N/A</v>
      </c>
    </row>
    <row r="11" spans="1:34">
      <c r="A11" s="2" t="s">
        <v>37</v>
      </c>
      <c r="B11" s="2" t="s">
        <v>337</v>
      </c>
      <c r="C11">
        <v>2</v>
      </c>
      <c r="D11">
        <v>3</v>
      </c>
      <c r="F11" t="s">
        <v>36</v>
      </c>
      <c r="G11" s="2" t="s">
        <v>320</v>
      </c>
      <c r="I11" s="3">
        <f t="shared" si="0"/>
        <v>0</v>
      </c>
      <c r="J11" cm="1">
        <f t="array" ref="J11:N11">'Nom du personnage'!$F$54:$J$54</f>
        <v>0</v>
      </c>
      <c r="K11">
        <v>0</v>
      </c>
      <c r="L11">
        <v>0</v>
      </c>
      <c r="M11">
        <v>0</v>
      </c>
      <c r="N11">
        <v>0</v>
      </c>
      <c r="O11" cm="1">
        <f t="array" ref="O11:W11">'Nom du personnage'!$H$88:$P$88</f>
        <v>0</v>
      </c>
      <c r="P11">
        <v>0</v>
      </c>
      <c r="Q11">
        <v>0</v>
      </c>
      <c r="R11">
        <v>0</v>
      </c>
      <c r="S11">
        <v>0</v>
      </c>
      <c r="T11">
        <v>0</v>
      </c>
      <c r="U11">
        <v>0</v>
      </c>
      <c r="V11">
        <v>0</v>
      </c>
      <c r="W11">
        <v>0</v>
      </c>
      <c r="X11" cm="1">
        <f t="array" ref="X11">IF(OR(A11='Nom du personnage'!$H$88:$O$88,'Nom du personnage'!$V$88:$AC$88=Magie!A11),1,)</f>
        <v>0</v>
      </c>
      <c r="Y11" t="e">
        <f ca="1">IF('Nom du personnage'!$AC$59&gt;=Magie!D11,1,)</f>
        <v>#N/A</v>
      </c>
      <c r="Z11">
        <f ca="1">IF(AND(A11='Nom du personnage'!$H$88,_xlfn.AGGREGATE(4,6,'Nom du personnage'!$C$91:$D$109)&gt;=Magie!D8),1,0)</f>
        <v>0</v>
      </c>
      <c r="AA11">
        <f ca="1">IF(AND(A11='Nom du personnage'!$V$88,_xlfn.AGGREGATE(4,6,'Nom du personnage'!$Q$91:$R$109)&gt;=Magie!D8),10,0)</f>
        <v>0</v>
      </c>
      <c r="AB11" t="e">
        <f t="shared" ca="1" si="2"/>
        <v>#N/A</v>
      </c>
      <c r="AC11" t="e">
        <f t="shared" ca="1" si="3"/>
        <v>#N/A</v>
      </c>
      <c r="AD11" t="e">
        <f>IF(VLOOKUP('Nom du personnage'!$U$51,Données!$P$3:$R$30,3,FALSE)=1,VLOOKUP(AC11,B11:C190,2,FALSE)+1,VLOOKUP(AC11,B11:C190,2,FALSE))</f>
        <v>#N/A</v>
      </c>
      <c r="AE11" t="e">
        <f t="shared" ca="1" si="4"/>
        <v>#N/A</v>
      </c>
      <c r="AF11" t="e">
        <f t="shared" ca="1" si="5"/>
        <v>#N/A</v>
      </c>
      <c r="AG11" t="e">
        <f>IF(VLOOKUP('Nom du personnage'!$U$51,Données!$P$3:$R$30,3,FALSE)=1,VLOOKUP(AF11,B11:C190,2,FALSE)+1,VLOOKUP(AF11,B11:C190,2,FALSE))</f>
        <v>#N/A</v>
      </c>
      <c r="AH11" t="e">
        <f t="shared" ca="1" si="6"/>
        <v>#N/A</v>
      </c>
    </row>
    <row r="12" spans="1:34">
      <c r="A12" s="2" t="s">
        <v>37</v>
      </c>
      <c r="B12" s="2" t="s">
        <v>338</v>
      </c>
      <c r="C12">
        <v>3</v>
      </c>
      <c r="D12">
        <v>4</v>
      </c>
      <c r="F12" t="s">
        <v>36</v>
      </c>
      <c r="G12" s="2" t="s">
        <v>53</v>
      </c>
      <c r="I12" s="3">
        <f t="shared" si="0"/>
        <v>0</v>
      </c>
      <c r="J12" cm="1">
        <f t="array" ref="J12:N12">'Nom du personnage'!$F$54:$J$54</f>
        <v>0</v>
      </c>
      <c r="K12">
        <v>0</v>
      </c>
      <c r="L12">
        <v>0</v>
      </c>
      <c r="M12">
        <v>0</v>
      </c>
      <c r="N12">
        <v>0</v>
      </c>
      <c r="O12" cm="1">
        <f t="array" ref="O12:W12">'Nom du personnage'!$H$88:$P$88</f>
        <v>0</v>
      </c>
      <c r="P12">
        <v>0</v>
      </c>
      <c r="Q12">
        <v>0</v>
      </c>
      <c r="R12">
        <v>0</v>
      </c>
      <c r="S12">
        <v>0</v>
      </c>
      <c r="T12">
        <v>0</v>
      </c>
      <c r="U12">
        <v>0</v>
      </c>
      <c r="V12">
        <v>0</v>
      </c>
      <c r="W12">
        <v>0</v>
      </c>
      <c r="X12" cm="1">
        <f t="array" ref="X12">IF(OR(A12='Nom du personnage'!$H$88:$O$88,'Nom du personnage'!$V$88:$AC$88=Magie!A12),1,)</f>
        <v>0</v>
      </c>
      <c r="Y12" t="e">
        <f ca="1">IF('Nom du personnage'!$AC$59&gt;=Magie!D12,1,)</f>
        <v>#N/A</v>
      </c>
      <c r="Z12">
        <f ca="1">IF(AND(A12='Nom du personnage'!$H$88,_xlfn.AGGREGATE(4,6,'Nom du personnage'!$C$91:$D$109)&gt;=Magie!D9),1,0)</f>
        <v>0</v>
      </c>
      <c r="AA12">
        <f ca="1">IF(AND(A12='Nom du personnage'!$V$88,_xlfn.AGGREGATE(4,6,'Nom du personnage'!$Q$91:$R$109)&gt;=Magie!D9),10,0)</f>
        <v>0</v>
      </c>
      <c r="AB12" t="e">
        <f t="shared" ca="1" si="2"/>
        <v>#N/A</v>
      </c>
      <c r="AC12" t="e">
        <f t="shared" ca="1" si="3"/>
        <v>#N/A</v>
      </c>
      <c r="AD12" t="e">
        <f>IF(VLOOKUP('Nom du personnage'!$U$51,Données!$P$3:$R$30,3,FALSE)=1,VLOOKUP(AC12,B12:C191,2,FALSE)+1,VLOOKUP(AC12,B12:C191,2,FALSE))</f>
        <v>#N/A</v>
      </c>
      <c r="AE12" t="e">
        <f t="shared" ca="1" si="4"/>
        <v>#N/A</v>
      </c>
      <c r="AF12" t="e">
        <f t="shared" ca="1" si="5"/>
        <v>#N/A</v>
      </c>
      <c r="AG12" t="e">
        <f>IF(VLOOKUP('Nom du personnage'!$U$51,Données!$P$3:$R$30,3,FALSE)=1,VLOOKUP(AF12,B12:C191,2,FALSE)+1,VLOOKUP(AF12,B12:C191,2,FALSE))</f>
        <v>#N/A</v>
      </c>
      <c r="AH12" t="e">
        <f t="shared" ca="1" si="6"/>
        <v>#N/A</v>
      </c>
    </row>
    <row r="13" spans="1:34">
      <c r="A13" s="2" t="s">
        <v>37</v>
      </c>
      <c r="B13" s="2" t="s">
        <v>339</v>
      </c>
      <c r="C13">
        <v>3</v>
      </c>
      <c r="D13">
        <v>4</v>
      </c>
      <c r="F13" s="2" t="s">
        <v>40</v>
      </c>
      <c r="G13" s="2" t="s">
        <v>37</v>
      </c>
      <c r="I13" s="3">
        <f t="shared" si="0"/>
        <v>0</v>
      </c>
      <c r="J13" cm="1">
        <f t="array" ref="J13:N13">'Nom du personnage'!$F$54:$J$54</f>
        <v>0</v>
      </c>
      <c r="K13">
        <v>0</v>
      </c>
      <c r="L13">
        <v>0</v>
      </c>
      <c r="M13">
        <v>0</v>
      </c>
      <c r="N13">
        <v>0</v>
      </c>
      <c r="O13" cm="1">
        <f t="array" ref="O13:W13">'Nom du personnage'!$H$88:$P$88</f>
        <v>0</v>
      </c>
      <c r="P13">
        <v>0</v>
      </c>
      <c r="Q13">
        <v>0</v>
      </c>
      <c r="R13">
        <v>0</v>
      </c>
      <c r="S13">
        <v>0</v>
      </c>
      <c r="T13">
        <v>0</v>
      </c>
      <c r="U13">
        <v>0</v>
      </c>
      <c r="V13">
        <v>0</v>
      </c>
      <c r="W13">
        <v>0</v>
      </c>
      <c r="X13" cm="1">
        <f t="array" ref="X13">IF(OR(A13='Nom du personnage'!$H$88:$O$88,'Nom du personnage'!$V$88:$AC$88=Magie!A13),1,)</f>
        <v>0</v>
      </c>
      <c r="Y13" t="e">
        <f ca="1">IF('Nom du personnage'!$AC$59&gt;=Magie!D13,1,)</f>
        <v>#N/A</v>
      </c>
      <c r="Z13">
        <f ca="1">IF(AND(A13='Nom du personnage'!$H$88,_xlfn.AGGREGATE(4,6,'Nom du personnage'!$C$91:$D$109)&gt;=Magie!D10),1,0)</f>
        <v>0</v>
      </c>
      <c r="AA13">
        <f ca="1">IF(AND(A13='Nom du personnage'!$V$88,_xlfn.AGGREGATE(4,6,'Nom du personnage'!$Q$91:$R$109)&gt;=Magie!D10),10,0)</f>
        <v>0</v>
      </c>
      <c r="AB13" t="e">
        <f t="shared" ca="1" si="2"/>
        <v>#N/A</v>
      </c>
      <c r="AC13" t="e">
        <f t="shared" ca="1" si="3"/>
        <v>#N/A</v>
      </c>
      <c r="AD13" t="e">
        <f>IF(VLOOKUP('Nom du personnage'!$U$51,Données!$P$3:$R$30,3,FALSE)=1,VLOOKUP(AC13,B13:C192,2,FALSE)+1,VLOOKUP(AC13,B13:C192,2,FALSE))</f>
        <v>#N/A</v>
      </c>
      <c r="AE13" t="e">
        <f t="shared" ca="1" si="4"/>
        <v>#N/A</v>
      </c>
      <c r="AF13" t="e">
        <f t="shared" ca="1" si="5"/>
        <v>#N/A</v>
      </c>
      <c r="AG13" t="e">
        <f>IF(VLOOKUP('Nom du personnage'!$U$51,Données!$P$3:$R$30,3,FALSE)=1,VLOOKUP(AF13,B13:C192,2,FALSE)+1,VLOOKUP(AF13,B13:C192,2,FALSE))</f>
        <v>#N/A</v>
      </c>
      <c r="AH13" t="e">
        <f t="shared" ca="1" si="6"/>
        <v>#N/A</v>
      </c>
    </row>
    <row r="14" spans="1:34">
      <c r="A14" s="2" t="s">
        <v>37</v>
      </c>
      <c r="B14" s="2" t="s">
        <v>358</v>
      </c>
      <c r="C14">
        <v>3</v>
      </c>
      <c r="D14">
        <v>4</v>
      </c>
      <c r="F14" s="2" t="s">
        <v>40</v>
      </c>
      <c r="G14" s="2" t="s">
        <v>320</v>
      </c>
      <c r="I14" s="3">
        <f t="shared" si="0"/>
        <v>0</v>
      </c>
      <c r="J14" cm="1">
        <f t="array" ref="J14:N14">'Nom du personnage'!$F$54:$J$54</f>
        <v>0</v>
      </c>
      <c r="K14">
        <v>0</v>
      </c>
      <c r="L14">
        <v>0</v>
      </c>
      <c r="M14">
        <v>0</v>
      </c>
      <c r="N14">
        <v>0</v>
      </c>
      <c r="O14" cm="1">
        <f t="array" ref="O14:W14">'Nom du personnage'!$H$88:$P$88</f>
        <v>0</v>
      </c>
      <c r="P14">
        <v>0</v>
      </c>
      <c r="Q14">
        <v>0</v>
      </c>
      <c r="R14">
        <v>0</v>
      </c>
      <c r="S14">
        <v>0</v>
      </c>
      <c r="T14">
        <v>0</v>
      </c>
      <c r="U14">
        <v>0</v>
      </c>
      <c r="V14">
        <v>0</v>
      </c>
      <c r="W14">
        <v>0</v>
      </c>
      <c r="X14" cm="1">
        <f t="array" ref="X14">IF(OR(A14='Nom du personnage'!$H$88:$O$88,'Nom du personnage'!$V$88:$AC$88=Magie!A14),1,)</f>
        <v>0</v>
      </c>
      <c r="Y14" t="e">
        <f ca="1">IF('Nom du personnage'!$AC$59&gt;=Magie!D14,1,)</f>
        <v>#N/A</v>
      </c>
      <c r="Z14">
        <f ca="1">IF(AND(A14='Nom du personnage'!$H$88,_xlfn.AGGREGATE(4,6,'Nom du personnage'!$C$91:$D$109)&gt;=Magie!D11),1,0)</f>
        <v>0</v>
      </c>
      <c r="AA14">
        <f ca="1">IF(AND(A14='Nom du personnage'!$V$88,_xlfn.AGGREGATE(4,6,'Nom du personnage'!$Q$91:$R$109)&gt;=Magie!D11),10,0)</f>
        <v>0</v>
      </c>
      <c r="AB14" t="e">
        <f t="shared" ca="1" si="2"/>
        <v>#N/A</v>
      </c>
      <c r="AC14" t="e">
        <f t="shared" ca="1" si="3"/>
        <v>#N/A</v>
      </c>
      <c r="AD14" t="e">
        <f>IF(VLOOKUP('Nom du personnage'!$U$51,Données!$P$3:$R$30,3,FALSE)=1,VLOOKUP(AC14,B14:C193,2,FALSE)+1,VLOOKUP(AC14,B14:C193,2,FALSE))</f>
        <v>#N/A</v>
      </c>
      <c r="AE14" t="e">
        <f t="shared" ca="1" si="4"/>
        <v>#N/A</v>
      </c>
      <c r="AF14" t="e">
        <f t="shared" ca="1" si="5"/>
        <v>#N/A</v>
      </c>
      <c r="AG14" t="e">
        <f>IF(VLOOKUP('Nom du personnage'!$U$51,Données!$P$3:$R$30,3,FALSE)=1,VLOOKUP(AF14,B14:C193,2,FALSE)+1,VLOOKUP(AF14,B14:C193,2,FALSE))</f>
        <v>#N/A</v>
      </c>
      <c r="AH14" t="e">
        <f t="shared" ca="1" si="6"/>
        <v>#N/A</v>
      </c>
    </row>
    <row r="15" spans="1:34">
      <c r="A15" s="2" t="s">
        <v>37</v>
      </c>
      <c r="B15" s="2" t="s">
        <v>340</v>
      </c>
      <c r="C15">
        <v>3</v>
      </c>
      <c r="D15">
        <v>5</v>
      </c>
      <c r="F15" s="2" t="s">
        <v>40</v>
      </c>
      <c r="G15" s="2" t="s">
        <v>53</v>
      </c>
      <c r="I15" s="3">
        <f t="shared" si="0"/>
        <v>0</v>
      </c>
      <c r="J15" cm="1">
        <f t="array" ref="J15:N15">'Nom du personnage'!$F$54:$J$54</f>
        <v>0</v>
      </c>
      <c r="K15">
        <v>0</v>
      </c>
      <c r="L15">
        <v>0</v>
      </c>
      <c r="M15">
        <v>0</v>
      </c>
      <c r="N15">
        <v>0</v>
      </c>
      <c r="O15" cm="1">
        <f t="array" ref="O15:W15">'Nom du personnage'!$H$88:$P$88</f>
        <v>0</v>
      </c>
      <c r="P15">
        <v>0</v>
      </c>
      <c r="Q15">
        <v>0</v>
      </c>
      <c r="R15">
        <v>0</v>
      </c>
      <c r="S15">
        <v>0</v>
      </c>
      <c r="T15">
        <v>0</v>
      </c>
      <c r="U15">
        <v>0</v>
      </c>
      <c r="V15">
        <v>0</v>
      </c>
      <c r="W15">
        <v>0</v>
      </c>
      <c r="X15" cm="1">
        <f t="array" ref="X15">IF(OR(A15='Nom du personnage'!$H$88:$O$88,'Nom du personnage'!$V$88:$AC$88=Magie!A15),1,)</f>
        <v>0</v>
      </c>
      <c r="Y15" t="e">
        <f ca="1">IF('Nom du personnage'!$AC$59&gt;=Magie!D15,1,)</f>
        <v>#N/A</v>
      </c>
      <c r="Z15">
        <f ca="1">IF(AND(A15='Nom du personnage'!$H$88,_xlfn.AGGREGATE(4,6,'Nom du personnage'!$C$91:$D$109)&gt;=Magie!D12),1,0)</f>
        <v>0</v>
      </c>
      <c r="AA15">
        <f ca="1">IF(AND(A15='Nom du personnage'!$V$88,_xlfn.AGGREGATE(4,6,'Nom du personnage'!$Q$91:$R$109)&gt;=Magie!D12),10,0)</f>
        <v>0</v>
      </c>
      <c r="AB15" t="e">
        <f t="shared" ca="1" si="2"/>
        <v>#N/A</v>
      </c>
      <c r="AC15" t="e">
        <f t="shared" ca="1" si="3"/>
        <v>#N/A</v>
      </c>
      <c r="AD15" t="e">
        <f>IF(VLOOKUP('Nom du personnage'!$U$51,Données!$P$3:$R$30,3,FALSE)=1,VLOOKUP(AC15,B15:C194,2,FALSE)+1,VLOOKUP(AC15,B15:C194,2,FALSE))</f>
        <v>#N/A</v>
      </c>
      <c r="AE15" t="e">
        <f t="shared" ca="1" si="4"/>
        <v>#N/A</v>
      </c>
      <c r="AF15" t="e">
        <f t="shared" ca="1" si="5"/>
        <v>#N/A</v>
      </c>
      <c r="AG15" t="e">
        <f>IF(VLOOKUP('Nom du personnage'!$U$51,Données!$P$3:$R$30,3,FALSE)=1,VLOOKUP(AF15,B15:C194,2,FALSE)+1,VLOOKUP(AF15,B15:C194,2,FALSE))</f>
        <v>#N/A</v>
      </c>
      <c r="AH15" t="e">
        <f t="shared" ca="1" si="6"/>
        <v>#N/A</v>
      </c>
    </row>
    <row r="16" spans="1:34">
      <c r="A16" s="2" t="s">
        <v>37</v>
      </c>
      <c r="B16" s="2" t="s">
        <v>341</v>
      </c>
      <c r="C16">
        <v>3</v>
      </c>
      <c r="D16">
        <v>5</v>
      </c>
      <c r="F16" s="2" t="s">
        <v>40</v>
      </c>
      <c r="G16" s="2" t="s">
        <v>57</v>
      </c>
      <c r="I16" s="3">
        <f t="shared" si="0"/>
        <v>0</v>
      </c>
      <c r="J16" cm="1">
        <f t="array" ref="J16:N16">'Nom du personnage'!$F$54:$J$54</f>
        <v>0</v>
      </c>
      <c r="K16">
        <v>0</v>
      </c>
      <c r="L16">
        <v>0</v>
      </c>
      <c r="M16">
        <v>0</v>
      </c>
      <c r="N16">
        <v>0</v>
      </c>
      <c r="O16" cm="1">
        <f t="array" ref="O16:W16">'Nom du personnage'!$H$88:$P$88</f>
        <v>0</v>
      </c>
      <c r="P16">
        <v>0</v>
      </c>
      <c r="Q16">
        <v>0</v>
      </c>
      <c r="R16">
        <v>0</v>
      </c>
      <c r="S16">
        <v>0</v>
      </c>
      <c r="T16">
        <v>0</v>
      </c>
      <c r="U16">
        <v>0</v>
      </c>
      <c r="V16">
        <v>0</v>
      </c>
      <c r="W16">
        <v>0</v>
      </c>
      <c r="X16" cm="1">
        <f t="array" ref="X16">IF(OR(A16='Nom du personnage'!$H$88:$O$88,'Nom du personnage'!$V$88:$AC$88=Magie!A16),1,)</f>
        <v>0</v>
      </c>
      <c r="Y16" t="e">
        <f ca="1">IF('Nom du personnage'!$AC$59&gt;=Magie!D16,1,)</f>
        <v>#N/A</v>
      </c>
      <c r="Z16">
        <f ca="1">IF(AND(A16='Nom du personnage'!$H$88,_xlfn.AGGREGATE(4,6,'Nom du personnage'!$C$91:$D$109)&gt;=Magie!D13),1,0)</f>
        <v>0</v>
      </c>
      <c r="AA16">
        <f ca="1">IF(AND(A16='Nom du personnage'!$V$88,_xlfn.AGGREGATE(4,6,'Nom du personnage'!$Q$91:$R$109)&gt;=Magie!D13),10,0)</f>
        <v>0</v>
      </c>
      <c r="AB16" t="e">
        <f t="shared" ca="1" si="2"/>
        <v>#N/A</v>
      </c>
      <c r="AC16" t="e">
        <f ca="1">IF(AB16=3,B16,)</f>
        <v>#N/A</v>
      </c>
      <c r="AD16" t="e">
        <f>IF(VLOOKUP('Nom du personnage'!$U$51,Données!$P$3:$R$30,3,FALSE)=1,VLOOKUP(AC16,B16:C195,2,FALSE)+1,VLOOKUP(AC16,B16:C195,2,FALSE))</f>
        <v>#N/A</v>
      </c>
      <c r="AE16" t="e">
        <f t="shared" ca="1" si="4"/>
        <v>#N/A</v>
      </c>
      <c r="AF16" t="e">
        <f t="shared" ca="1" si="5"/>
        <v>#N/A</v>
      </c>
      <c r="AG16" t="e">
        <f>IF(VLOOKUP('Nom du personnage'!$U$51,Données!$P$3:$R$30,3,FALSE)=1,VLOOKUP(AF16,B16:C195,2,FALSE)+1,VLOOKUP(AF16,B16:C195,2,FALSE))</f>
        <v>#N/A</v>
      </c>
      <c r="AH16" t="e">
        <f t="shared" ca="1" si="6"/>
        <v>#N/A</v>
      </c>
    </row>
    <row r="17" spans="1:34">
      <c r="A17" s="2" t="s">
        <v>37</v>
      </c>
      <c r="B17" s="2" t="s">
        <v>342</v>
      </c>
      <c r="C17">
        <v>3</v>
      </c>
      <c r="D17">
        <v>5</v>
      </c>
      <c r="F17" s="2" t="s">
        <v>31</v>
      </c>
      <c r="G17" s="2" t="s">
        <v>37</v>
      </c>
      <c r="I17" s="3">
        <f t="shared" si="0"/>
        <v>0</v>
      </c>
      <c r="J17" cm="1">
        <f t="array" ref="J17:N17">'Nom du personnage'!$F$54:$J$54</f>
        <v>0</v>
      </c>
      <c r="K17">
        <v>0</v>
      </c>
      <c r="L17">
        <v>0</v>
      </c>
      <c r="M17">
        <v>0</v>
      </c>
      <c r="N17">
        <v>0</v>
      </c>
      <c r="O17" cm="1">
        <f t="array" ref="O17:W17">'Nom du personnage'!$H$88:$P$88</f>
        <v>0</v>
      </c>
      <c r="P17">
        <v>0</v>
      </c>
      <c r="Q17">
        <v>0</v>
      </c>
      <c r="R17">
        <v>0</v>
      </c>
      <c r="S17">
        <v>0</v>
      </c>
      <c r="T17">
        <v>0</v>
      </c>
      <c r="U17">
        <v>0</v>
      </c>
      <c r="V17">
        <v>0</v>
      </c>
      <c r="W17">
        <v>0</v>
      </c>
      <c r="X17" cm="1">
        <f t="array" ref="X17">IF(OR(A17='Nom du personnage'!$H$88:$O$88,'Nom du personnage'!$V$88:$AC$88=Magie!A17),1,)</f>
        <v>0</v>
      </c>
      <c r="Y17" t="e">
        <f ca="1">IF('Nom du personnage'!$AC$59&gt;=Magie!D17,1,)</f>
        <v>#N/A</v>
      </c>
      <c r="Z17">
        <f ca="1">IF(AND(A17='Nom du personnage'!$H$88,_xlfn.AGGREGATE(4,6,'Nom du personnage'!$C$91:$D$109)&gt;=Magie!D14),1,0)</f>
        <v>0</v>
      </c>
      <c r="AA17">
        <f ca="1">IF(AND(A17='Nom du personnage'!$V$88,_xlfn.AGGREGATE(4,6,'Nom du personnage'!$Q$91:$R$109)&gt;=Magie!D14),10,0)</f>
        <v>0</v>
      </c>
      <c r="AB17" t="e">
        <f t="shared" ca="1" si="2"/>
        <v>#N/A</v>
      </c>
      <c r="AC17" t="e">
        <f t="shared" ca="1" si="3"/>
        <v>#N/A</v>
      </c>
      <c r="AD17" t="e">
        <f>IF(VLOOKUP('Nom du personnage'!$U$51,Données!$P$3:$R$30,3,FALSE)=1,VLOOKUP(AC17,B17:C196,2,FALSE)+1,VLOOKUP(AC17,B17:C196,2,FALSE))</f>
        <v>#N/A</v>
      </c>
      <c r="AE17" t="e">
        <f t="shared" ca="1" si="4"/>
        <v>#N/A</v>
      </c>
      <c r="AF17" t="e">
        <f t="shared" ca="1" si="5"/>
        <v>#N/A</v>
      </c>
      <c r="AG17" t="e">
        <f>IF(VLOOKUP('Nom du personnage'!$U$51,Données!$P$3:$R$30,3,FALSE)=1,VLOOKUP(AF17,B17:C196,2,FALSE)+1,VLOOKUP(AF17,B17:C196,2,FALSE))</f>
        <v>#N/A</v>
      </c>
      <c r="AH17" t="e">
        <f t="shared" ca="1" si="6"/>
        <v>#N/A</v>
      </c>
    </row>
    <row r="18" spans="1:34">
      <c r="A18" s="2" t="s">
        <v>37</v>
      </c>
      <c r="B18" s="2" t="s">
        <v>343</v>
      </c>
      <c r="C18">
        <v>3</v>
      </c>
      <c r="D18">
        <v>6</v>
      </c>
      <c r="F18" s="2" t="s">
        <v>31</v>
      </c>
      <c r="G18" s="2" t="s">
        <v>320</v>
      </c>
      <c r="I18" s="3">
        <f t="shared" si="0"/>
        <v>0</v>
      </c>
      <c r="J18" cm="1">
        <f t="array" ref="J18:N18">'Nom du personnage'!$F$54:$J$54</f>
        <v>0</v>
      </c>
      <c r="K18">
        <v>0</v>
      </c>
      <c r="L18">
        <v>0</v>
      </c>
      <c r="M18">
        <v>0</v>
      </c>
      <c r="N18">
        <v>0</v>
      </c>
      <c r="O18" cm="1">
        <f t="array" ref="O18:W18">'Nom du personnage'!$H$88:$P$88</f>
        <v>0</v>
      </c>
      <c r="P18">
        <v>0</v>
      </c>
      <c r="Q18">
        <v>0</v>
      </c>
      <c r="R18">
        <v>0</v>
      </c>
      <c r="S18">
        <v>0</v>
      </c>
      <c r="T18">
        <v>0</v>
      </c>
      <c r="U18">
        <v>0</v>
      </c>
      <c r="V18">
        <v>0</v>
      </c>
      <c r="W18">
        <v>0</v>
      </c>
      <c r="X18" cm="1">
        <f t="array" ref="X18">IF(OR(A18='Nom du personnage'!$H$88:$O$88,'Nom du personnage'!$V$88:$AC$88=Magie!A18),1,)</f>
        <v>0</v>
      </c>
      <c r="Y18" t="e">
        <f ca="1">IF('Nom du personnage'!$AC$59&gt;=Magie!D18,1,)</f>
        <v>#N/A</v>
      </c>
      <c r="Z18">
        <f ca="1">IF(AND(A18='Nom du personnage'!$H$88,_xlfn.AGGREGATE(4,6,'Nom du personnage'!$C$91:$D$109)&gt;=Magie!D15),1,0)</f>
        <v>0</v>
      </c>
      <c r="AA18">
        <f ca="1">IF(AND(A18='Nom du personnage'!$V$88,_xlfn.AGGREGATE(4,6,'Nom du personnage'!$Q$91:$R$109)&gt;=Magie!D15),10,0)</f>
        <v>0</v>
      </c>
      <c r="AB18" t="e">
        <f t="shared" ca="1" si="2"/>
        <v>#N/A</v>
      </c>
      <c r="AC18" t="e">
        <f t="shared" ca="1" si="3"/>
        <v>#N/A</v>
      </c>
      <c r="AD18" t="e">
        <f>IF(VLOOKUP('Nom du personnage'!$U$51,Données!$P$3:$R$30,3,FALSE)=1,VLOOKUP(AC18,B18:C197,2,FALSE)+1,VLOOKUP(AC18,B18:C197,2,FALSE))</f>
        <v>#N/A</v>
      </c>
      <c r="AE18" t="e">
        <f t="shared" ca="1" si="4"/>
        <v>#N/A</v>
      </c>
      <c r="AF18" t="e">
        <f t="shared" ca="1" si="5"/>
        <v>#N/A</v>
      </c>
      <c r="AG18" t="e">
        <f>IF(VLOOKUP('Nom du personnage'!$U$51,Données!$P$3:$R$30,3,FALSE)=1,VLOOKUP(AF18,B18:C197,2,FALSE)+1,VLOOKUP(AF18,B18:C197,2,FALSE))</f>
        <v>#N/A</v>
      </c>
      <c r="AH18" t="e">
        <f t="shared" ca="1" si="6"/>
        <v>#N/A</v>
      </c>
    </row>
    <row r="19" spans="1:34">
      <c r="A19" s="2" t="s">
        <v>37</v>
      </c>
      <c r="B19" s="2" t="s">
        <v>344</v>
      </c>
      <c r="C19">
        <v>3</v>
      </c>
      <c r="D19">
        <v>6</v>
      </c>
      <c r="F19" s="2" t="s">
        <v>31</v>
      </c>
      <c r="G19" s="2" t="s">
        <v>57</v>
      </c>
      <c r="I19" s="3">
        <f t="shared" si="0"/>
        <v>0</v>
      </c>
      <c r="J19" cm="1">
        <f t="array" ref="J19:N19">'Nom du personnage'!$F$54:$J$54</f>
        <v>0</v>
      </c>
      <c r="K19">
        <v>0</v>
      </c>
      <c r="L19">
        <v>0</v>
      </c>
      <c r="M19">
        <v>0</v>
      </c>
      <c r="N19">
        <v>0</v>
      </c>
      <c r="O19" cm="1">
        <f t="array" ref="O19:W19">'Nom du personnage'!$H$88:$P$88</f>
        <v>0</v>
      </c>
      <c r="P19">
        <v>0</v>
      </c>
      <c r="Q19">
        <v>0</v>
      </c>
      <c r="R19">
        <v>0</v>
      </c>
      <c r="S19">
        <v>0</v>
      </c>
      <c r="T19">
        <v>0</v>
      </c>
      <c r="U19">
        <v>0</v>
      </c>
      <c r="V19">
        <v>0</v>
      </c>
      <c r="W19">
        <v>0</v>
      </c>
      <c r="X19" cm="1">
        <f t="array" ref="X19">IF(OR(A19='Nom du personnage'!$H$88:$O$88,'Nom du personnage'!$V$88:$AC$88=Magie!A19),1,)</f>
        <v>0</v>
      </c>
      <c r="Y19" t="e">
        <f ca="1">IF('Nom du personnage'!$AC$59&gt;=Magie!D19,1,)</f>
        <v>#N/A</v>
      </c>
      <c r="Z19">
        <f ca="1">IF(AND(A19='Nom du personnage'!$H$88,_xlfn.AGGREGATE(4,6,'Nom du personnage'!$C$91:$D$109)&gt;=Magie!D16),1,0)</f>
        <v>0</v>
      </c>
      <c r="AA19">
        <f ca="1">IF(AND(A19='Nom du personnage'!$V$88,_xlfn.AGGREGATE(4,6,'Nom du personnage'!$Q$91:$R$109)&gt;=Magie!D16),10,0)</f>
        <v>0</v>
      </c>
      <c r="AB19" t="e">
        <f t="shared" ca="1" si="2"/>
        <v>#N/A</v>
      </c>
      <c r="AC19" t="e">
        <f t="shared" ca="1" si="3"/>
        <v>#N/A</v>
      </c>
      <c r="AD19" t="e">
        <f>IF(VLOOKUP('Nom du personnage'!$U$51,Données!$P$3:$R$30,3,FALSE)=1,VLOOKUP(AC19,B19:C198,2,FALSE)+1,VLOOKUP(AC19,B19:C198,2,FALSE))</f>
        <v>#N/A</v>
      </c>
      <c r="AE19" t="e">
        <f t="shared" ca="1" si="4"/>
        <v>#N/A</v>
      </c>
      <c r="AF19" t="e">
        <f t="shared" ca="1" si="5"/>
        <v>#N/A</v>
      </c>
      <c r="AG19" t="e">
        <f>IF(VLOOKUP('Nom du personnage'!$U$51,Données!$P$3:$R$30,3,FALSE)=1,VLOOKUP(AF19,B19:C198,2,FALSE)+1,VLOOKUP(AF19,B19:C198,2,FALSE))</f>
        <v>#N/A</v>
      </c>
      <c r="AH19" t="e">
        <f t="shared" ca="1" si="6"/>
        <v>#N/A</v>
      </c>
    </row>
    <row r="20" spans="1:34">
      <c r="A20" s="2" t="s">
        <v>37</v>
      </c>
      <c r="B20" s="2" t="s">
        <v>345</v>
      </c>
      <c r="C20">
        <v>3</v>
      </c>
      <c r="D20">
        <v>6</v>
      </c>
      <c r="F20" s="2" t="s">
        <v>31</v>
      </c>
      <c r="G20" s="2" t="s">
        <v>323</v>
      </c>
      <c r="I20" s="3">
        <f t="shared" si="0"/>
        <v>0</v>
      </c>
      <c r="J20" cm="1">
        <f t="array" ref="J20:N20">'Nom du personnage'!$F$54:$J$54</f>
        <v>0</v>
      </c>
      <c r="K20">
        <v>0</v>
      </c>
      <c r="L20">
        <v>0</v>
      </c>
      <c r="M20">
        <v>0</v>
      </c>
      <c r="N20">
        <v>0</v>
      </c>
      <c r="O20" cm="1">
        <f t="array" ref="O20:W20">'Nom du personnage'!$H$88:$P$88</f>
        <v>0</v>
      </c>
      <c r="P20">
        <v>0</v>
      </c>
      <c r="Q20">
        <v>0</v>
      </c>
      <c r="R20">
        <v>0</v>
      </c>
      <c r="S20">
        <v>0</v>
      </c>
      <c r="T20">
        <v>0</v>
      </c>
      <c r="U20">
        <v>0</v>
      </c>
      <c r="V20">
        <v>0</v>
      </c>
      <c r="W20">
        <v>0</v>
      </c>
      <c r="X20" cm="1">
        <f t="array" ref="X20">IF(OR(A20='Nom du personnage'!$H$88:$O$88,'Nom du personnage'!$V$88:$AC$88=Magie!A20),1,)</f>
        <v>0</v>
      </c>
      <c r="Y20" t="e">
        <f ca="1">IF('Nom du personnage'!$AC$59&gt;=Magie!D20,1,)</f>
        <v>#N/A</v>
      </c>
      <c r="Z20">
        <f ca="1">IF(AND(A20='Nom du personnage'!$H$88,_xlfn.AGGREGATE(4,6,'Nom du personnage'!$C$91:$D$109)&gt;=Magie!D17),1,0)</f>
        <v>0</v>
      </c>
      <c r="AA20">
        <f ca="1">IF(AND(A20='Nom du personnage'!$V$88,_xlfn.AGGREGATE(4,6,'Nom du personnage'!$Q$91:$R$109)&gt;=Magie!D17),10,0)</f>
        <v>0</v>
      </c>
      <c r="AB20" t="e">
        <f t="shared" ca="1" si="2"/>
        <v>#N/A</v>
      </c>
      <c r="AC20" t="e">
        <f t="shared" ca="1" si="3"/>
        <v>#N/A</v>
      </c>
      <c r="AD20" t="e">
        <f>IF(VLOOKUP('Nom du personnage'!$U$51,Données!$P$3:$R$30,3,FALSE)=1,VLOOKUP(AC20,B20:C199,2,FALSE)+1,VLOOKUP(AC20,B20:C199,2,FALSE))</f>
        <v>#N/A</v>
      </c>
      <c r="AE20" t="e">
        <f t="shared" ca="1" si="4"/>
        <v>#N/A</v>
      </c>
      <c r="AF20" t="e">
        <f t="shared" ca="1" si="5"/>
        <v>#N/A</v>
      </c>
      <c r="AG20" t="e">
        <f>IF(VLOOKUP('Nom du personnage'!$U$51,Données!$P$3:$R$30,3,FALSE)=1,VLOOKUP(AF20,B20:C199,2,FALSE)+1,VLOOKUP(AF20,B20:C199,2,FALSE))</f>
        <v>#N/A</v>
      </c>
      <c r="AH20" t="e">
        <f t="shared" ca="1" si="6"/>
        <v>#N/A</v>
      </c>
    </row>
    <row r="21" spans="1:34">
      <c r="A21" s="2" t="s">
        <v>37</v>
      </c>
      <c r="B21" s="2" t="s">
        <v>346</v>
      </c>
      <c r="C21">
        <v>4</v>
      </c>
      <c r="D21">
        <v>7</v>
      </c>
      <c r="F21" s="2" t="s">
        <v>216</v>
      </c>
      <c r="G21" s="2" t="s">
        <v>320</v>
      </c>
      <c r="I21" s="3">
        <f t="shared" si="0"/>
        <v>0</v>
      </c>
      <c r="J21" cm="1">
        <f t="array" ref="J21:N21">'Nom du personnage'!$F$54:$J$54</f>
        <v>0</v>
      </c>
      <c r="K21">
        <v>0</v>
      </c>
      <c r="L21">
        <v>0</v>
      </c>
      <c r="M21">
        <v>0</v>
      </c>
      <c r="N21">
        <v>0</v>
      </c>
      <c r="O21" cm="1">
        <f t="array" ref="O21:W21">'Nom du personnage'!$H$88:$P$88</f>
        <v>0</v>
      </c>
      <c r="P21">
        <v>0</v>
      </c>
      <c r="Q21">
        <v>0</v>
      </c>
      <c r="R21">
        <v>0</v>
      </c>
      <c r="S21">
        <v>0</v>
      </c>
      <c r="T21">
        <v>0</v>
      </c>
      <c r="U21">
        <v>0</v>
      </c>
      <c r="V21">
        <v>0</v>
      </c>
      <c r="W21">
        <v>0</v>
      </c>
      <c r="X21" cm="1">
        <f t="array" ref="X21">IF(OR(A21='Nom du personnage'!$H$88:$O$88,'Nom du personnage'!$V$88:$AC$88=Magie!A21),1,)</f>
        <v>0</v>
      </c>
      <c r="Y21" t="e">
        <f ca="1">IF('Nom du personnage'!$AC$59&gt;=Magie!D21,1,)</f>
        <v>#N/A</v>
      </c>
      <c r="Z21">
        <f ca="1">IF(AND(A21='Nom du personnage'!$H$88,_xlfn.AGGREGATE(4,6,'Nom du personnage'!$C$91:$D$109)&gt;=Magie!D18),1,0)</f>
        <v>0</v>
      </c>
      <c r="AA21">
        <f ca="1">IF(AND(A21='Nom du personnage'!$V$88,_xlfn.AGGREGATE(4,6,'Nom du personnage'!$Q$91:$R$109)&gt;=Magie!D18),10,0)</f>
        <v>0</v>
      </c>
      <c r="AB21" t="e">
        <f t="shared" ca="1" si="2"/>
        <v>#N/A</v>
      </c>
      <c r="AC21" t="e">
        <f t="shared" ca="1" si="3"/>
        <v>#N/A</v>
      </c>
      <c r="AD21" t="e">
        <f>IF(VLOOKUP('Nom du personnage'!$U$51,Données!$P$3:$R$30,3,FALSE)=1,VLOOKUP(AC21,B21:C200,2,FALSE)+1,VLOOKUP(AC21,B21:C200,2,FALSE))</f>
        <v>#N/A</v>
      </c>
      <c r="AE21" t="e">
        <f t="shared" ca="1" si="4"/>
        <v>#N/A</v>
      </c>
      <c r="AF21" t="e">
        <f t="shared" ca="1" si="5"/>
        <v>#N/A</v>
      </c>
      <c r="AG21" t="e">
        <f>IF(VLOOKUP('Nom du personnage'!$U$51,Données!$P$3:$R$30,3,FALSE)=1,VLOOKUP(AF21,B21:C200,2,FALSE)+1,VLOOKUP(AF21,B21:C200,2,FALSE))</f>
        <v>#N/A</v>
      </c>
      <c r="AH21" t="e">
        <f t="shared" ca="1" si="6"/>
        <v>#N/A</v>
      </c>
    </row>
    <row r="22" spans="1:34">
      <c r="A22" s="2" t="s">
        <v>37</v>
      </c>
      <c r="B22" s="2" t="s">
        <v>347</v>
      </c>
      <c r="C22">
        <v>4</v>
      </c>
      <c r="D22">
        <v>7</v>
      </c>
      <c r="F22" s="2" t="s">
        <v>216</v>
      </c>
      <c r="G22" s="2" t="s">
        <v>53</v>
      </c>
      <c r="I22" s="3">
        <f t="shared" si="0"/>
        <v>0</v>
      </c>
      <c r="J22" cm="1">
        <f t="array" ref="J22:N22">'Nom du personnage'!$F$54:$J$54</f>
        <v>0</v>
      </c>
      <c r="K22">
        <v>0</v>
      </c>
      <c r="L22">
        <v>0</v>
      </c>
      <c r="M22">
        <v>0</v>
      </c>
      <c r="N22">
        <v>0</v>
      </c>
      <c r="O22" cm="1">
        <f t="array" ref="O22:W22">'Nom du personnage'!$H$88:$P$88</f>
        <v>0</v>
      </c>
      <c r="P22">
        <v>0</v>
      </c>
      <c r="Q22">
        <v>0</v>
      </c>
      <c r="R22">
        <v>0</v>
      </c>
      <c r="S22">
        <v>0</v>
      </c>
      <c r="T22">
        <v>0</v>
      </c>
      <c r="U22">
        <v>0</v>
      </c>
      <c r="V22">
        <v>0</v>
      </c>
      <c r="W22">
        <v>0</v>
      </c>
      <c r="X22" cm="1">
        <f t="array" ref="X22">IF(OR(A22='Nom du personnage'!$H$88:$O$88,'Nom du personnage'!$V$88:$AC$88=Magie!A22),1,)</f>
        <v>0</v>
      </c>
      <c r="Y22" t="e">
        <f ca="1">IF('Nom du personnage'!$AC$59&gt;=Magie!D22,1,)</f>
        <v>#N/A</v>
      </c>
      <c r="Z22">
        <f ca="1">IF(AND(A22='Nom du personnage'!$H$88,_xlfn.AGGREGATE(4,6,'Nom du personnage'!$C$91:$D$109)&gt;=Magie!D19),1,0)</f>
        <v>0</v>
      </c>
      <c r="AA22">
        <f ca="1">IF(AND(A22='Nom du personnage'!$V$88,_xlfn.AGGREGATE(4,6,'Nom du personnage'!$Q$91:$R$109)&gt;=Magie!D19),10,0)</f>
        <v>0</v>
      </c>
      <c r="AB22" t="e">
        <f t="shared" ca="1" si="2"/>
        <v>#N/A</v>
      </c>
      <c r="AC22" t="e">
        <f t="shared" ca="1" si="3"/>
        <v>#N/A</v>
      </c>
      <c r="AD22" t="e">
        <f>IF(VLOOKUP('Nom du personnage'!$U$51,Données!$P$3:$R$30,3,FALSE)=1,VLOOKUP(AC22,B22:C201,2,FALSE)+1,VLOOKUP(AC22,B22:C201,2,FALSE))</f>
        <v>#N/A</v>
      </c>
      <c r="AE22" t="e">
        <f t="shared" ca="1" si="4"/>
        <v>#N/A</v>
      </c>
      <c r="AF22" t="e">
        <f t="shared" ca="1" si="5"/>
        <v>#N/A</v>
      </c>
      <c r="AG22" t="e">
        <f>IF(VLOOKUP('Nom du personnage'!$U$51,Données!$P$3:$R$30,3,FALSE)=1,VLOOKUP(AF22,B22:C201,2,FALSE)+1,VLOOKUP(AF22,B22:C201,2,FALSE))</f>
        <v>#N/A</v>
      </c>
      <c r="AH22" t="e">
        <f t="shared" ca="1" si="6"/>
        <v>#N/A</v>
      </c>
    </row>
    <row r="23" spans="1:34">
      <c r="A23" s="2" t="s">
        <v>37</v>
      </c>
      <c r="B23" s="2" t="s">
        <v>348</v>
      </c>
      <c r="C23">
        <v>4</v>
      </c>
      <c r="D23">
        <v>7</v>
      </c>
      <c r="F23" s="2" t="s">
        <v>216</v>
      </c>
      <c r="G23" s="2" t="s">
        <v>323</v>
      </c>
      <c r="I23" s="3">
        <f t="shared" si="0"/>
        <v>0</v>
      </c>
      <c r="J23" cm="1">
        <f t="array" ref="J23:N23">'Nom du personnage'!$F$54:$J$54</f>
        <v>0</v>
      </c>
      <c r="K23">
        <v>0</v>
      </c>
      <c r="L23">
        <v>0</v>
      </c>
      <c r="M23">
        <v>0</v>
      </c>
      <c r="N23">
        <v>0</v>
      </c>
      <c r="O23" cm="1">
        <f t="array" ref="O23:W23">'Nom du personnage'!$H$88:$P$88</f>
        <v>0</v>
      </c>
      <c r="P23">
        <v>0</v>
      </c>
      <c r="Q23">
        <v>0</v>
      </c>
      <c r="R23">
        <v>0</v>
      </c>
      <c r="S23">
        <v>0</v>
      </c>
      <c r="T23">
        <v>0</v>
      </c>
      <c r="U23">
        <v>0</v>
      </c>
      <c r="V23">
        <v>0</v>
      </c>
      <c r="W23">
        <v>0</v>
      </c>
      <c r="X23" cm="1">
        <f t="array" ref="X23">IF(OR(A23='Nom du personnage'!$H$88:$O$88,'Nom du personnage'!$V$88:$AC$88=Magie!A23),1,)</f>
        <v>0</v>
      </c>
      <c r="Y23" t="e">
        <f ca="1">IF('Nom du personnage'!$AC$59&gt;=Magie!D23,1,)</f>
        <v>#N/A</v>
      </c>
      <c r="Z23">
        <f ca="1">IF(AND(A23='Nom du personnage'!$H$88,_xlfn.AGGREGATE(4,6,'Nom du personnage'!$C$91:$D$109)&gt;=Magie!D20),1,0)</f>
        <v>0</v>
      </c>
      <c r="AA23">
        <f ca="1">IF(AND(A23='Nom du personnage'!$V$88,_xlfn.AGGREGATE(4,6,'Nom du personnage'!$Q$91:$R$109)&gt;=Magie!D20),10,0)</f>
        <v>0</v>
      </c>
      <c r="AB23" t="e">
        <f t="shared" ca="1" si="2"/>
        <v>#N/A</v>
      </c>
      <c r="AC23" t="e">
        <f t="shared" ca="1" si="3"/>
        <v>#N/A</v>
      </c>
      <c r="AD23" t="e">
        <f>IF(VLOOKUP('Nom du personnage'!$U$51,Données!$P$3:$R$30,3,FALSE)=1,VLOOKUP(AC23,B23:C202,2,FALSE)+1,VLOOKUP(AC23,B23:C202,2,FALSE))</f>
        <v>#N/A</v>
      </c>
      <c r="AE23" t="e">
        <f t="shared" ca="1" si="4"/>
        <v>#N/A</v>
      </c>
      <c r="AF23" t="e">
        <f t="shared" ca="1" si="5"/>
        <v>#N/A</v>
      </c>
      <c r="AG23" t="e">
        <f>IF(VLOOKUP('Nom du personnage'!$U$51,Données!$P$3:$R$30,3,FALSE)=1,VLOOKUP(AF23,B23:C202,2,FALSE)+1,VLOOKUP(AF23,B23:C202,2,FALSE))</f>
        <v>#N/A</v>
      </c>
      <c r="AH23" t="e">
        <f t="shared" ca="1" si="6"/>
        <v>#N/A</v>
      </c>
    </row>
    <row r="24" spans="1:34">
      <c r="A24" s="2" t="s">
        <v>37</v>
      </c>
      <c r="B24" s="2" t="s">
        <v>349</v>
      </c>
      <c r="C24">
        <v>4</v>
      </c>
      <c r="D24">
        <v>8</v>
      </c>
      <c r="F24" s="2" t="s">
        <v>86</v>
      </c>
      <c r="G24" s="2" t="s">
        <v>37</v>
      </c>
      <c r="I24" s="3">
        <f t="shared" si="0"/>
        <v>0</v>
      </c>
      <c r="J24" cm="1">
        <f t="array" ref="J24:N24">'Nom du personnage'!$F$54:$J$54</f>
        <v>0</v>
      </c>
      <c r="K24">
        <v>0</v>
      </c>
      <c r="L24">
        <v>0</v>
      </c>
      <c r="M24">
        <v>0</v>
      </c>
      <c r="N24">
        <v>0</v>
      </c>
      <c r="O24" cm="1">
        <f t="array" ref="O24:W24">'Nom du personnage'!$H$88:$P$88</f>
        <v>0</v>
      </c>
      <c r="P24">
        <v>0</v>
      </c>
      <c r="Q24">
        <v>0</v>
      </c>
      <c r="R24">
        <v>0</v>
      </c>
      <c r="S24">
        <v>0</v>
      </c>
      <c r="T24">
        <v>0</v>
      </c>
      <c r="U24">
        <v>0</v>
      </c>
      <c r="V24">
        <v>0</v>
      </c>
      <c r="W24">
        <v>0</v>
      </c>
      <c r="X24" cm="1">
        <f t="array" ref="X24">IF(OR(A24='Nom du personnage'!$H$88:$O$88,'Nom du personnage'!$V$88:$AC$88=Magie!A24),1,)</f>
        <v>0</v>
      </c>
      <c r="Y24" t="e">
        <f ca="1">IF('Nom du personnage'!$AC$59&gt;=Magie!D24,1,)</f>
        <v>#N/A</v>
      </c>
      <c r="Z24">
        <f ca="1">IF(AND(A24='Nom du personnage'!$H$88,_xlfn.AGGREGATE(4,6,'Nom du personnage'!$C$91:$D$109)&gt;=Magie!D21),1,0)</f>
        <v>0</v>
      </c>
      <c r="AA24">
        <f ca="1">IF(AND(A24='Nom du personnage'!$V$88,_xlfn.AGGREGATE(4,6,'Nom du personnage'!$Q$91:$R$109)&gt;=Magie!D21),10,0)</f>
        <v>0</v>
      </c>
      <c r="AB24" t="e">
        <f t="shared" ca="1" si="2"/>
        <v>#N/A</v>
      </c>
      <c r="AC24" t="e">
        <f t="shared" ca="1" si="3"/>
        <v>#N/A</v>
      </c>
      <c r="AD24" t="e">
        <f>IF(VLOOKUP('Nom du personnage'!$U$51,Données!$P$3:$R$30,3,FALSE)=1,VLOOKUP(AC24,B24:C203,2,FALSE)+1,VLOOKUP(AC24,B24:C203,2,FALSE))</f>
        <v>#N/A</v>
      </c>
      <c r="AE24" t="e">
        <f t="shared" ca="1" si="4"/>
        <v>#N/A</v>
      </c>
      <c r="AF24" t="e">
        <f t="shared" ca="1" si="5"/>
        <v>#N/A</v>
      </c>
      <c r="AG24" t="e">
        <f>IF(VLOOKUP('Nom du personnage'!$U$51,Données!$P$3:$R$30,3,FALSE)=1,VLOOKUP(AF24,B24:C203,2,FALSE)+1,VLOOKUP(AF24,B24:C203,2,FALSE))</f>
        <v>#N/A</v>
      </c>
      <c r="AH24" t="e">
        <f t="shared" ca="1" si="6"/>
        <v>#N/A</v>
      </c>
    </row>
    <row r="25" spans="1:34">
      <c r="A25" s="2" t="s">
        <v>37</v>
      </c>
      <c r="B25" s="2" t="s">
        <v>350</v>
      </c>
      <c r="C25">
        <v>4</v>
      </c>
      <c r="D25">
        <v>8</v>
      </c>
      <c r="F25" s="2" t="s">
        <v>86</v>
      </c>
      <c r="G25" s="2" t="s">
        <v>41</v>
      </c>
      <c r="I25" s="3">
        <f t="shared" si="0"/>
        <v>0</v>
      </c>
      <c r="J25" cm="1">
        <f t="array" ref="J25:N25">'Nom du personnage'!$F$54:$J$54</f>
        <v>0</v>
      </c>
      <c r="K25">
        <v>0</v>
      </c>
      <c r="L25">
        <v>0</v>
      </c>
      <c r="M25">
        <v>0</v>
      </c>
      <c r="N25">
        <v>0</v>
      </c>
      <c r="O25" cm="1">
        <f t="array" ref="O25:W25">'Nom du personnage'!$H$88:$P$88</f>
        <v>0</v>
      </c>
      <c r="P25">
        <v>0</v>
      </c>
      <c r="Q25">
        <v>0</v>
      </c>
      <c r="R25">
        <v>0</v>
      </c>
      <c r="S25">
        <v>0</v>
      </c>
      <c r="T25">
        <v>0</v>
      </c>
      <c r="U25">
        <v>0</v>
      </c>
      <c r="V25">
        <v>0</v>
      </c>
      <c r="W25">
        <v>0</v>
      </c>
      <c r="X25" cm="1">
        <f t="array" ref="X25">IF(OR(A25='Nom du personnage'!$H$88:$O$88,'Nom du personnage'!$V$88:$AC$88=Magie!A25),1,)</f>
        <v>0</v>
      </c>
      <c r="Y25" t="e">
        <f ca="1">IF('Nom du personnage'!$AC$59&gt;=Magie!D25,1,)</f>
        <v>#N/A</v>
      </c>
      <c r="Z25">
        <f ca="1">IF(AND(A25='Nom du personnage'!$H$88,_xlfn.AGGREGATE(4,6,'Nom du personnage'!$C$91:$D$109)&gt;=Magie!D22),1,0)</f>
        <v>0</v>
      </c>
      <c r="AA25">
        <f ca="1">IF(AND(A25='Nom du personnage'!$V$88,_xlfn.AGGREGATE(4,6,'Nom du personnage'!$Q$91:$R$109)&gt;=Magie!D22),10,0)</f>
        <v>0</v>
      </c>
      <c r="AB25" t="e">
        <f t="shared" ca="1" si="2"/>
        <v>#N/A</v>
      </c>
      <c r="AC25" t="e">
        <f t="shared" ca="1" si="3"/>
        <v>#N/A</v>
      </c>
      <c r="AD25" t="e">
        <f>IF(VLOOKUP('Nom du personnage'!$U$51,Données!$P$3:$R$30,3,FALSE)=1,VLOOKUP(AC25,B25:C204,2,FALSE)+1,VLOOKUP(AC25,B25:C204,2,FALSE))</f>
        <v>#N/A</v>
      </c>
      <c r="AE25" t="e">
        <f t="shared" ca="1" si="4"/>
        <v>#N/A</v>
      </c>
      <c r="AF25" t="e">
        <f t="shared" ca="1" si="5"/>
        <v>#N/A</v>
      </c>
      <c r="AG25" t="e">
        <f>IF(VLOOKUP('Nom du personnage'!$U$51,Données!$P$3:$R$30,3,FALSE)=1,VLOOKUP(AF25,B25:C204,2,FALSE)+1,VLOOKUP(AF25,B25:C204,2,FALSE))</f>
        <v>#N/A</v>
      </c>
      <c r="AH25" t="e">
        <f t="shared" ca="1" si="6"/>
        <v>#N/A</v>
      </c>
    </row>
    <row r="26" spans="1:34">
      <c r="A26" s="2" t="s">
        <v>37</v>
      </c>
      <c r="B26" s="2" t="s">
        <v>351</v>
      </c>
      <c r="C26">
        <v>4</v>
      </c>
      <c r="D26">
        <v>8</v>
      </c>
      <c r="F26" s="2" t="s">
        <v>86</v>
      </c>
      <c r="G26" s="2" t="s">
        <v>326</v>
      </c>
      <c r="I26" s="3">
        <f t="shared" si="0"/>
        <v>0</v>
      </c>
      <c r="J26" cm="1">
        <f t="array" ref="J26:N26">'Nom du personnage'!$F$54:$J$54</f>
        <v>0</v>
      </c>
      <c r="K26">
        <v>0</v>
      </c>
      <c r="L26">
        <v>0</v>
      </c>
      <c r="M26">
        <v>0</v>
      </c>
      <c r="N26">
        <v>0</v>
      </c>
      <c r="O26" cm="1">
        <f t="array" ref="O26:W26">'Nom du personnage'!$H$88:$P$88</f>
        <v>0</v>
      </c>
      <c r="P26">
        <v>0</v>
      </c>
      <c r="Q26">
        <v>0</v>
      </c>
      <c r="R26">
        <v>0</v>
      </c>
      <c r="S26">
        <v>0</v>
      </c>
      <c r="T26">
        <v>0</v>
      </c>
      <c r="U26">
        <v>0</v>
      </c>
      <c r="V26">
        <v>0</v>
      </c>
      <c r="W26">
        <v>0</v>
      </c>
      <c r="X26" cm="1">
        <f t="array" ref="X26">IF(OR(A26='Nom du personnage'!$H$88:$O$88,'Nom du personnage'!$V$88:$AC$88=Magie!A26),1,)</f>
        <v>0</v>
      </c>
      <c r="Y26" t="e">
        <f ca="1">IF('Nom du personnage'!$AC$59&gt;=Magie!D26,1,)</f>
        <v>#N/A</v>
      </c>
      <c r="Z26">
        <f ca="1">IF(AND(A26='Nom du personnage'!$H$88,_xlfn.AGGREGATE(4,6,'Nom du personnage'!$C$91:$D$109)&gt;=Magie!D23),1,0)</f>
        <v>0</v>
      </c>
      <c r="AA26">
        <f ca="1">IF(AND(A26='Nom du personnage'!$V$88,_xlfn.AGGREGATE(4,6,'Nom du personnage'!$Q$91:$R$109)&gt;=Magie!D23),10,0)</f>
        <v>0</v>
      </c>
      <c r="AB26" t="e">
        <f t="shared" ca="1" si="2"/>
        <v>#N/A</v>
      </c>
      <c r="AC26" t="e">
        <f t="shared" ca="1" si="3"/>
        <v>#N/A</v>
      </c>
      <c r="AD26" t="e">
        <f>IF(VLOOKUP('Nom du personnage'!$U$51,Données!$P$3:$R$30,3,FALSE)=1,VLOOKUP(AC26,B26:C205,2,FALSE)+1,VLOOKUP(AC26,B26:C205,2,FALSE))</f>
        <v>#N/A</v>
      </c>
      <c r="AE26" t="e">
        <f t="shared" ca="1" si="4"/>
        <v>#N/A</v>
      </c>
      <c r="AF26" t="e">
        <f t="shared" ca="1" si="5"/>
        <v>#N/A</v>
      </c>
      <c r="AG26" t="e">
        <f>IF(VLOOKUP('Nom du personnage'!$U$51,Données!$P$3:$R$30,3,FALSE)=1,VLOOKUP(AF26,B26:C205,2,FALSE)+1,VLOOKUP(AF26,B26:C205,2,FALSE))</f>
        <v>#N/A</v>
      </c>
      <c r="AH26" t="e">
        <f t="shared" ca="1" si="6"/>
        <v>#N/A</v>
      </c>
    </row>
    <row r="27" spans="1:34">
      <c r="A27" s="2" t="s">
        <v>37</v>
      </c>
      <c r="B27" s="2" t="s">
        <v>352</v>
      </c>
      <c r="C27">
        <v>4</v>
      </c>
      <c r="D27">
        <v>9</v>
      </c>
      <c r="F27" s="2" t="s">
        <v>95</v>
      </c>
      <c r="G27" s="2" t="s">
        <v>37</v>
      </c>
      <c r="I27" s="3">
        <f t="shared" si="0"/>
        <v>0</v>
      </c>
      <c r="J27" cm="1">
        <f t="array" ref="J27:N27">'Nom du personnage'!$F$54:$J$54</f>
        <v>0</v>
      </c>
      <c r="K27">
        <v>0</v>
      </c>
      <c r="L27">
        <v>0</v>
      </c>
      <c r="M27">
        <v>0</v>
      </c>
      <c r="N27">
        <v>0</v>
      </c>
      <c r="O27" cm="1">
        <f t="array" ref="O27:W27">'Nom du personnage'!$H$88:$P$88</f>
        <v>0</v>
      </c>
      <c r="P27">
        <v>0</v>
      </c>
      <c r="Q27">
        <v>0</v>
      </c>
      <c r="R27">
        <v>0</v>
      </c>
      <c r="S27">
        <v>0</v>
      </c>
      <c r="T27">
        <v>0</v>
      </c>
      <c r="U27">
        <v>0</v>
      </c>
      <c r="V27">
        <v>0</v>
      </c>
      <c r="W27">
        <v>0</v>
      </c>
      <c r="X27" cm="1">
        <f t="array" ref="X27">IF(OR(A27='Nom du personnage'!$H$88:$O$88,'Nom du personnage'!$V$88:$AC$88=Magie!A27),1,)</f>
        <v>0</v>
      </c>
      <c r="Y27" t="e">
        <f ca="1">IF('Nom du personnage'!$AC$59&gt;=Magie!D27,1,)</f>
        <v>#N/A</v>
      </c>
      <c r="Z27">
        <f ca="1">IF(AND(A27='Nom du personnage'!$H$88,_xlfn.AGGREGATE(4,6,'Nom du personnage'!$C$91:$D$109)&gt;=Magie!D24),1,0)</f>
        <v>0</v>
      </c>
      <c r="AA27">
        <f ca="1">IF(AND(A27='Nom du personnage'!$V$88,_xlfn.AGGREGATE(4,6,'Nom du personnage'!$Q$91:$R$109)&gt;=Magie!D24),10,0)</f>
        <v>0</v>
      </c>
      <c r="AB27" t="e">
        <f t="shared" ca="1" si="2"/>
        <v>#N/A</v>
      </c>
      <c r="AC27" t="e">
        <f t="shared" ca="1" si="3"/>
        <v>#N/A</v>
      </c>
      <c r="AD27" t="e">
        <f>IF(VLOOKUP('Nom du personnage'!$U$51,Données!$P$3:$R$30,3,FALSE)=1,VLOOKUP(AC27,B27:C206,2,FALSE)+1,VLOOKUP(AC27,B27:C206,2,FALSE))</f>
        <v>#N/A</v>
      </c>
      <c r="AE27" t="e">
        <f t="shared" ca="1" si="4"/>
        <v>#N/A</v>
      </c>
      <c r="AF27" t="e">
        <f t="shared" ca="1" si="5"/>
        <v>#N/A</v>
      </c>
      <c r="AG27" t="e">
        <f>IF(VLOOKUP('Nom du personnage'!$U$51,Données!$P$3:$R$30,3,FALSE)=1,VLOOKUP(AF27,B27:C206,2,FALSE)+1,VLOOKUP(AF27,B27:C206,2,FALSE))</f>
        <v>#N/A</v>
      </c>
      <c r="AH27" t="e">
        <f t="shared" ca="1" si="6"/>
        <v>#N/A</v>
      </c>
    </row>
    <row r="28" spans="1:34">
      <c r="A28" s="2" t="s">
        <v>37</v>
      </c>
      <c r="B28" s="2" t="s">
        <v>353</v>
      </c>
      <c r="C28">
        <v>4</v>
      </c>
      <c r="D28">
        <v>9</v>
      </c>
      <c r="F28" s="2" t="s">
        <v>95</v>
      </c>
      <c r="G28" s="2" t="s">
        <v>324</v>
      </c>
      <c r="I28" s="3">
        <f t="shared" si="0"/>
        <v>0</v>
      </c>
      <c r="J28" cm="1">
        <f t="array" ref="J28:N28">'Nom du personnage'!$F$54:$J$54</f>
        <v>0</v>
      </c>
      <c r="K28">
        <v>0</v>
      </c>
      <c r="L28">
        <v>0</v>
      </c>
      <c r="M28">
        <v>0</v>
      </c>
      <c r="N28">
        <v>0</v>
      </c>
      <c r="O28" cm="1">
        <f t="array" ref="O28:W28">'Nom du personnage'!$H$88:$P$88</f>
        <v>0</v>
      </c>
      <c r="P28">
        <v>0</v>
      </c>
      <c r="Q28">
        <v>0</v>
      </c>
      <c r="R28">
        <v>0</v>
      </c>
      <c r="S28">
        <v>0</v>
      </c>
      <c r="T28">
        <v>0</v>
      </c>
      <c r="U28">
        <v>0</v>
      </c>
      <c r="V28">
        <v>0</v>
      </c>
      <c r="W28">
        <v>0</v>
      </c>
      <c r="X28" cm="1">
        <f t="array" ref="X28">IF(OR(A28='Nom du personnage'!$H$88:$O$88,'Nom du personnage'!$V$88:$AC$88=Magie!A28),1,)</f>
        <v>0</v>
      </c>
      <c r="Y28" t="e">
        <f ca="1">IF('Nom du personnage'!$AC$59&gt;=Magie!D28,1,)</f>
        <v>#N/A</v>
      </c>
      <c r="Z28">
        <f ca="1">IF(AND(A28='Nom du personnage'!$H$88,_xlfn.AGGREGATE(4,6,'Nom du personnage'!$C$91:$D$109)&gt;=Magie!D25),1,0)</f>
        <v>0</v>
      </c>
      <c r="AA28">
        <f ca="1">IF(AND(A28='Nom du personnage'!$V$88,_xlfn.AGGREGATE(4,6,'Nom du personnage'!$Q$91:$R$109)&gt;=Magie!D25),10,0)</f>
        <v>0</v>
      </c>
      <c r="AB28" t="e">
        <f t="shared" ca="1" si="2"/>
        <v>#N/A</v>
      </c>
      <c r="AC28" t="e">
        <f t="shared" ca="1" si="3"/>
        <v>#N/A</v>
      </c>
      <c r="AD28" t="e">
        <f>IF(VLOOKUP('Nom du personnage'!$U$51,Données!$P$3:$R$30,3,FALSE)=1,VLOOKUP(AC28,B28:C207,2,FALSE)+1,VLOOKUP(AC28,B28:C207,2,FALSE))</f>
        <v>#N/A</v>
      </c>
      <c r="AE28" t="e">
        <f t="shared" ca="1" si="4"/>
        <v>#N/A</v>
      </c>
      <c r="AF28" t="e">
        <f t="shared" ca="1" si="5"/>
        <v>#N/A</v>
      </c>
      <c r="AG28" t="e">
        <f>IF(VLOOKUP('Nom du personnage'!$U$51,Données!$P$3:$R$30,3,FALSE)=1,VLOOKUP(AF28,B28:C207,2,FALSE)+1,VLOOKUP(AF28,B28:C207,2,FALSE))</f>
        <v>#N/A</v>
      </c>
      <c r="AH28" t="e">
        <f t="shared" ca="1" si="6"/>
        <v>#N/A</v>
      </c>
    </row>
    <row r="29" spans="1:34">
      <c r="A29" s="2" t="s">
        <v>37</v>
      </c>
      <c r="B29" s="2" t="s">
        <v>354</v>
      </c>
      <c r="C29">
        <v>4</v>
      </c>
      <c r="D29">
        <v>9</v>
      </c>
      <c r="F29" s="2" t="s">
        <v>95</v>
      </c>
      <c r="G29" s="2" t="s">
        <v>326</v>
      </c>
      <c r="I29" s="3">
        <f t="shared" si="0"/>
        <v>0</v>
      </c>
      <c r="J29" cm="1">
        <f t="array" ref="J29:N29">'Nom du personnage'!$F$54:$J$54</f>
        <v>0</v>
      </c>
      <c r="K29">
        <v>0</v>
      </c>
      <c r="L29">
        <v>0</v>
      </c>
      <c r="M29">
        <v>0</v>
      </c>
      <c r="N29">
        <v>0</v>
      </c>
      <c r="O29" cm="1">
        <f t="array" ref="O29:W29">'Nom du personnage'!$H$88:$P$88</f>
        <v>0</v>
      </c>
      <c r="P29">
        <v>0</v>
      </c>
      <c r="Q29">
        <v>0</v>
      </c>
      <c r="R29">
        <v>0</v>
      </c>
      <c r="S29">
        <v>0</v>
      </c>
      <c r="T29">
        <v>0</v>
      </c>
      <c r="U29">
        <v>0</v>
      </c>
      <c r="V29">
        <v>0</v>
      </c>
      <c r="W29">
        <v>0</v>
      </c>
      <c r="X29" cm="1">
        <f t="array" ref="X29">IF(OR(A29='Nom du personnage'!$H$88:$O$88,'Nom du personnage'!$V$88:$AC$88=Magie!A29),1,)</f>
        <v>0</v>
      </c>
      <c r="Y29" t="e">
        <f ca="1">IF('Nom du personnage'!$AC$59&gt;=Magie!D29,1,)</f>
        <v>#N/A</v>
      </c>
      <c r="Z29">
        <f ca="1">IF(AND(A29='Nom du personnage'!$H$88,_xlfn.AGGREGATE(4,6,'Nom du personnage'!$C$91:$D$109)&gt;=Magie!D26),1,0)</f>
        <v>0</v>
      </c>
      <c r="AA29">
        <f ca="1">IF(AND(A29='Nom du personnage'!$V$88,_xlfn.AGGREGATE(4,6,'Nom du personnage'!$Q$91:$R$109)&gt;=Magie!D26),10,0)</f>
        <v>0</v>
      </c>
      <c r="AB29" t="e">
        <f t="shared" ca="1" si="2"/>
        <v>#N/A</v>
      </c>
      <c r="AC29" t="e">
        <f t="shared" ca="1" si="3"/>
        <v>#N/A</v>
      </c>
      <c r="AD29" t="e">
        <f>IF(VLOOKUP('Nom du personnage'!$U$51,Données!$P$3:$R$30,3,FALSE)=1,VLOOKUP(AC29,B29:C208,2,FALSE)+1,VLOOKUP(AC29,B29:C208,2,FALSE))</f>
        <v>#N/A</v>
      </c>
      <c r="AE29" t="e">
        <f t="shared" ca="1" si="4"/>
        <v>#N/A</v>
      </c>
      <c r="AF29" t="e">
        <f t="shared" ca="1" si="5"/>
        <v>#N/A</v>
      </c>
      <c r="AG29" t="e">
        <f>IF(VLOOKUP('Nom du personnage'!$U$51,Données!$P$3:$R$30,3,FALSE)=1,VLOOKUP(AF29,B29:C208,2,FALSE)+1,VLOOKUP(AF29,B29:C208,2,FALSE))</f>
        <v>#N/A</v>
      </c>
      <c r="AH29" t="e">
        <f t="shared" ca="1" si="6"/>
        <v>#N/A</v>
      </c>
    </row>
    <row r="30" spans="1:34">
      <c r="A30" s="2" t="s">
        <v>37</v>
      </c>
      <c r="B30" s="2" t="s">
        <v>355</v>
      </c>
      <c r="C30">
        <v>5</v>
      </c>
      <c r="D30">
        <v>10</v>
      </c>
      <c r="F30" s="2" t="s">
        <v>44</v>
      </c>
      <c r="G30" s="2" t="s">
        <v>37</v>
      </c>
      <c r="I30" s="3">
        <f>IF(J30=F30,G30,)</f>
        <v>0</v>
      </c>
      <c r="J30" cm="1">
        <f t="array" ref="J30:N30">'Nom du personnage'!$F$54:$J$54</f>
        <v>0</v>
      </c>
      <c r="K30">
        <v>0</v>
      </c>
      <c r="L30">
        <v>0</v>
      </c>
      <c r="M30">
        <v>0</v>
      </c>
      <c r="N30">
        <v>0</v>
      </c>
      <c r="O30" cm="1">
        <f t="array" ref="O30:W30">'Nom du personnage'!$H$88:$P$88</f>
        <v>0</v>
      </c>
      <c r="P30">
        <v>0</v>
      </c>
      <c r="Q30">
        <v>0</v>
      </c>
      <c r="R30">
        <v>0</v>
      </c>
      <c r="S30">
        <v>0</v>
      </c>
      <c r="T30">
        <v>0</v>
      </c>
      <c r="U30">
        <v>0</v>
      </c>
      <c r="V30">
        <v>0</v>
      </c>
      <c r="W30">
        <v>0</v>
      </c>
      <c r="X30" cm="1">
        <f t="array" ref="X30">IF(OR(A30='Nom du personnage'!$H$88:$O$88,'Nom du personnage'!$V$88:$AC$88=Magie!A30),1,)</f>
        <v>0</v>
      </c>
      <c r="Y30" t="e">
        <f ca="1">IF('Nom du personnage'!$AC$59&gt;=Magie!D30,1,)</f>
        <v>#N/A</v>
      </c>
      <c r="Z30">
        <f ca="1">IF(AND(A30='Nom du personnage'!$H$88,_xlfn.AGGREGATE(4,6,'Nom du personnage'!$C$91:$D$109)&gt;=Magie!D27),1,0)</f>
        <v>0</v>
      </c>
      <c r="AA30">
        <f ca="1">IF(AND(A30='Nom du personnage'!$V$88,_xlfn.AGGREGATE(4,6,'Nom du personnage'!$Q$91:$R$109)&gt;=Magie!D27),10,0)</f>
        <v>0</v>
      </c>
      <c r="AB30" t="e">
        <f t="shared" ca="1" si="2"/>
        <v>#N/A</v>
      </c>
      <c r="AC30" t="e">
        <f t="shared" ca="1" si="3"/>
        <v>#N/A</v>
      </c>
      <c r="AD30" t="e">
        <f>IF(VLOOKUP('Nom du personnage'!$U$51,Données!$P$3:$R$30,3,FALSE)=1,VLOOKUP(AC30,B30:C209,2,FALSE)+1,VLOOKUP(AC30,B30:C209,2,FALSE))</f>
        <v>#N/A</v>
      </c>
      <c r="AE30" t="e">
        <f t="shared" ca="1" si="4"/>
        <v>#N/A</v>
      </c>
      <c r="AF30" t="e">
        <f t="shared" ca="1" si="5"/>
        <v>#N/A</v>
      </c>
      <c r="AG30" t="e">
        <f>IF(VLOOKUP('Nom du personnage'!$U$51,Données!$P$3:$R$30,3,FALSE)=1,VLOOKUP(AF30,B30:C209,2,FALSE)+1,VLOOKUP(AF30,B30:C209,2,FALSE))</f>
        <v>#N/A</v>
      </c>
      <c r="AH30" t="e">
        <f t="shared" ca="1" si="6"/>
        <v>#N/A</v>
      </c>
    </row>
    <row r="31" spans="1:34">
      <c r="A31" s="2" t="s">
        <v>37</v>
      </c>
      <c r="B31" s="2" t="s">
        <v>356</v>
      </c>
      <c r="C31">
        <v>5</v>
      </c>
      <c r="D31">
        <v>10</v>
      </c>
      <c r="F31" s="2" t="s">
        <v>44</v>
      </c>
      <c r="G31" s="2" t="s">
        <v>41</v>
      </c>
      <c r="I31" s="3">
        <f t="shared" si="0"/>
        <v>0</v>
      </c>
      <c r="J31" cm="1">
        <f t="array" ref="J31:N31">'Nom du personnage'!$F$54:$J$54</f>
        <v>0</v>
      </c>
      <c r="K31">
        <v>0</v>
      </c>
      <c r="L31">
        <v>0</v>
      </c>
      <c r="M31">
        <v>0</v>
      </c>
      <c r="N31">
        <v>0</v>
      </c>
      <c r="O31" cm="1">
        <f t="array" ref="O31:W31">'Nom du personnage'!$H$88:$P$88</f>
        <v>0</v>
      </c>
      <c r="P31">
        <v>0</v>
      </c>
      <c r="Q31">
        <v>0</v>
      </c>
      <c r="R31">
        <v>0</v>
      </c>
      <c r="S31">
        <v>0</v>
      </c>
      <c r="T31">
        <v>0</v>
      </c>
      <c r="U31">
        <v>0</v>
      </c>
      <c r="V31">
        <v>0</v>
      </c>
      <c r="W31">
        <v>0</v>
      </c>
      <c r="X31" cm="1">
        <f t="array" ref="X31">IF(OR(A31='Nom du personnage'!$H$88:$O$88,'Nom du personnage'!$V$88:$AC$88=Magie!A31),1,)</f>
        <v>0</v>
      </c>
      <c r="Y31" t="e">
        <f ca="1">IF('Nom du personnage'!$AC$59&gt;=Magie!D31,1,)</f>
        <v>#N/A</v>
      </c>
      <c r="Z31">
        <f ca="1">IF(AND(A31='Nom du personnage'!$H$88,_xlfn.AGGREGATE(4,6,'Nom du personnage'!$C$91:$D$109)&gt;=Magie!D28),1,0)</f>
        <v>0</v>
      </c>
      <c r="AA31">
        <f ca="1">IF(AND(A31='Nom du personnage'!$V$88,_xlfn.AGGREGATE(4,6,'Nom du personnage'!$Q$91:$R$109)&gt;=Magie!D28),10,0)</f>
        <v>0</v>
      </c>
      <c r="AB31" t="e">
        <f t="shared" ca="1" si="2"/>
        <v>#N/A</v>
      </c>
      <c r="AC31" t="e">
        <f t="shared" ca="1" si="3"/>
        <v>#N/A</v>
      </c>
      <c r="AD31" t="e">
        <f>IF(VLOOKUP('Nom du personnage'!$U$51,Données!$P$3:$R$30,3,FALSE)=1,VLOOKUP(AC31,B31:C210,2,FALSE)+1,VLOOKUP(AC31,B31:C210,2,FALSE))</f>
        <v>#N/A</v>
      </c>
      <c r="AE31" t="e">
        <f t="shared" ca="1" si="4"/>
        <v>#N/A</v>
      </c>
      <c r="AF31" t="e">
        <f t="shared" ca="1" si="5"/>
        <v>#N/A</v>
      </c>
      <c r="AG31" t="e">
        <f>IF(VLOOKUP('Nom du personnage'!$U$51,Données!$P$3:$R$30,3,FALSE)=1,VLOOKUP(AF31,B31:C210,2,FALSE)+1,VLOOKUP(AF31,B31:C210,2,FALSE))</f>
        <v>#N/A</v>
      </c>
      <c r="AH31" t="e">
        <f t="shared" ca="1" si="6"/>
        <v>#N/A</v>
      </c>
    </row>
    <row r="32" spans="1:34">
      <c r="A32" s="2" t="s">
        <v>37</v>
      </c>
      <c r="B32" s="2" t="s">
        <v>357</v>
      </c>
      <c r="C32">
        <v>5</v>
      </c>
      <c r="D32">
        <v>10</v>
      </c>
      <c r="F32" s="2" t="s">
        <v>44</v>
      </c>
      <c r="G32" s="2" t="s">
        <v>324</v>
      </c>
      <c r="I32" s="3">
        <f t="shared" si="0"/>
        <v>0</v>
      </c>
      <c r="J32" cm="1">
        <f t="array" ref="J32:N32">'Nom du personnage'!$F$54:$J$54</f>
        <v>0</v>
      </c>
      <c r="K32">
        <v>0</v>
      </c>
      <c r="L32">
        <v>0</v>
      </c>
      <c r="M32">
        <v>0</v>
      </c>
      <c r="N32">
        <v>0</v>
      </c>
      <c r="O32" cm="1">
        <f t="array" ref="O32:W32">'Nom du personnage'!$H$88:$P$88</f>
        <v>0</v>
      </c>
      <c r="P32">
        <v>0</v>
      </c>
      <c r="Q32">
        <v>0</v>
      </c>
      <c r="R32">
        <v>0</v>
      </c>
      <c r="S32">
        <v>0</v>
      </c>
      <c r="T32">
        <v>0</v>
      </c>
      <c r="U32">
        <v>0</v>
      </c>
      <c r="V32">
        <v>0</v>
      </c>
      <c r="W32">
        <v>0</v>
      </c>
      <c r="X32" cm="1">
        <f t="array" ref="X32">IF(OR(A32='Nom du personnage'!$H$88:$O$88,'Nom du personnage'!$V$88:$AC$88=Magie!A32),1,)</f>
        <v>0</v>
      </c>
      <c r="Y32" t="e">
        <f ca="1">IF('Nom du personnage'!$AC$59&gt;=Magie!D32,1,)</f>
        <v>#N/A</v>
      </c>
      <c r="Z32">
        <f ca="1">IF(AND(A32='Nom du personnage'!$H$88,_xlfn.AGGREGATE(4,6,'Nom du personnage'!$C$91:$D$109)&gt;=Magie!D29),1,0)</f>
        <v>0</v>
      </c>
      <c r="AA32">
        <f ca="1">IF(AND(A32='Nom du personnage'!$V$88,_xlfn.AGGREGATE(4,6,'Nom du personnage'!$Q$91:$R$109)&gt;=Magie!D29),10,0)</f>
        <v>0</v>
      </c>
      <c r="AB32" t="e">
        <f t="shared" ca="1" si="2"/>
        <v>#N/A</v>
      </c>
      <c r="AC32" t="e">
        <f t="shared" ca="1" si="3"/>
        <v>#N/A</v>
      </c>
      <c r="AD32" t="e">
        <f>IF(VLOOKUP('Nom du personnage'!$U$51,Données!$P$3:$R$30,3,FALSE)=1,VLOOKUP(AC32,B32:C211,2,FALSE)+1,VLOOKUP(AC32,B32:C211,2,FALSE))</f>
        <v>#N/A</v>
      </c>
      <c r="AE32" t="e">
        <f t="shared" ca="1" si="4"/>
        <v>#N/A</v>
      </c>
      <c r="AF32" t="e">
        <f t="shared" ca="1" si="5"/>
        <v>#N/A</v>
      </c>
      <c r="AG32" t="e">
        <f>IF(VLOOKUP('Nom du personnage'!$U$51,Données!$P$3:$R$30,3,FALSE)=1,VLOOKUP(AF32,B32:C211,2,FALSE)+1,VLOOKUP(AF32,B32:C211,2,FALSE))</f>
        <v>#N/A</v>
      </c>
      <c r="AH32" t="e">
        <f t="shared" ca="1" si="6"/>
        <v>#N/A</v>
      </c>
    </row>
    <row r="33" spans="1:34">
      <c r="A33" s="2" t="s">
        <v>41</v>
      </c>
      <c r="B33" s="2" t="s">
        <v>359</v>
      </c>
      <c r="C33">
        <v>2</v>
      </c>
      <c r="D33">
        <v>1</v>
      </c>
      <c r="F33" s="2" t="s">
        <v>99</v>
      </c>
      <c r="G33" s="2" t="s">
        <v>37</v>
      </c>
      <c r="I33" s="3">
        <f t="shared" si="0"/>
        <v>0</v>
      </c>
      <c r="J33" cm="1">
        <f t="array" ref="J33:N33">'Nom du personnage'!$F$54:$J$54</f>
        <v>0</v>
      </c>
      <c r="K33">
        <v>0</v>
      </c>
      <c r="L33">
        <v>0</v>
      </c>
      <c r="M33">
        <v>0</v>
      </c>
      <c r="N33">
        <v>0</v>
      </c>
      <c r="O33" cm="1">
        <f t="array" ref="O33:W33">'Nom du personnage'!$H$88:$P$88</f>
        <v>0</v>
      </c>
      <c r="P33">
        <v>0</v>
      </c>
      <c r="Q33">
        <v>0</v>
      </c>
      <c r="R33">
        <v>0</v>
      </c>
      <c r="S33">
        <v>0</v>
      </c>
      <c r="T33">
        <v>0</v>
      </c>
      <c r="U33">
        <v>0</v>
      </c>
      <c r="V33">
        <v>0</v>
      </c>
      <c r="W33">
        <v>0</v>
      </c>
      <c r="X33" cm="1">
        <f t="array" ref="X33">IF(OR(A33='Nom du personnage'!$H$88:$O$88,'Nom du personnage'!$V$88:$AC$88=Magie!A33),1,)</f>
        <v>0</v>
      </c>
      <c r="Y33" t="e">
        <f ca="1">IF('Nom du personnage'!$AC$59&gt;=Magie!D33,1,)</f>
        <v>#N/A</v>
      </c>
      <c r="Z33">
        <f t="shared" si="1"/>
        <v>1</v>
      </c>
      <c r="AA33">
        <f>IF(A33='Nom du personnage'!$V$88,10,0)</f>
        <v>0</v>
      </c>
      <c r="AB33" t="e">
        <f t="shared" ca="1" si="2"/>
        <v>#N/A</v>
      </c>
      <c r="AC33" t="e">
        <f t="shared" ca="1" si="3"/>
        <v>#N/A</v>
      </c>
      <c r="AD33" t="e">
        <f>IF(VLOOKUP('Nom du personnage'!$U$51,Données!$P$3:$R$30,3,FALSE)=1,VLOOKUP(AC33,B33:C212,2,FALSE)+1,VLOOKUP(AC33,B33:C212,2,FALSE))</f>
        <v>#N/A</v>
      </c>
      <c r="AE33" t="e">
        <f t="shared" ca="1" si="4"/>
        <v>#N/A</v>
      </c>
      <c r="AF33" t="e">
        <f t="shared" ca="1" si="5"/>
        <v>#N/A</v>
      </c>
      <c r="AG33" t="e">
        <f>IF(VLOOKUP('Nom du personnage'!$U$51,Données!$P$3:$R$30,3,FALSE)=1,VLOOKUP(AF33,B33:C212,2,FALSE)+1,VLOOKUP(AF33,B33:C212,2,FALSE))</f>
        <v>#N/A</v>
      </c>
      <c r="AH33" t="e">
        <f t="shared" ca="1" si="6"/>
        <v>#N/A</v>
      </c>
    </row>
    <row r="34" spans="1:34">
      <c r="A34" s="2" t="s">
        <v>41</v>
      </c>
      <c r="B34" s="2" t="s">
        <v>360</v>
      </c>
      <c r="C34">
        <v>2</v>
      </c>
      <c r="D34">
        <v>1</v>
      </c>
      <c r="F34" s="2" t="s">
        <v>99</v>
      </c>
      <c r="G34" s="2" t="s">
        <v>322</v>
      </c>
      <c r="I34" s="3">
        <f t="shared" si="0"/>
        <v>0</v>
      </c>
      <c r="J34" cm="1">
        <f t="array" ref="J34:N34">'Nom du personnage'!$F$54:$J$54</f>
        <v>0</v>
      </c>
      <c r="K34">
        <v>0</v>
      </c>
      <c r="L34">
        <v>0</v>
      </c>
      <c r="M34">
        <v>0</v>
      </c>
      <c r="N34">
        <v>0</v>
      </c>
      <c r="O34" cm="1">
        <f t="array" ref="O34:W34">'Nom du personnage'!$H$88:$P$88</f>
        <v>0</v>
      </c>
      <c r="P34">
        <v>0</v>
      </c>
      <c r="Q34">
        <v>0</v>
      </c>
      <c r="R34">
        <v>0</v>
      </c>
      <c r="S34">
        <v>0</v>
      </c>
      <c r="T34">
        <v>0</v>
      </c>
      <c r="U34">
        <v>0</v>
      </c>
      <c r="V34">
        <v>0</v>
      </c>
      <c r="W34">
        <v>0</v>
      </c>
      <c r="X34" cm="1">
        <f t="array" ref="X34">IF(OR(A34='Nom du personnage'!$H$88:$O$88,'Nom du personnage'!$V$88:$AC$88=Magie!A34),1,)</f>
        <v>0</v>
      </c>
      <c r="Y34" t="e">
        <f ca="1">IF('Nom du personnage'!$AC$59&gt;=Magie!D34,1,)</f>
        <v>#N/A</v>
      </c>
      <c r="Z34">
        <f t="shared" si="1"/>
        <v>1</v>
      </c>
      <c r="AA34">
        <f>IF(A34='Nom du personnage'!$V$88,10,0)</f>
        <v>0</v>
      </c>
      <c r="AB34" t="e">
        <f t="shared" ca="1" si="2"/>
        <v>#N/A</v>
      </c>
      <c r="AC34" t="e">
        <f t="shared" ca="1" si="3"/>
        <v>#N/A</v>
      </c>
      <c r="AD34" t="e">
        <f>IF(VLOOKUP('Nom du personnage'!$U$51,Données!$P$3:$R$30,3,FALSE)=1,VLOOKUP(AC34,B34:C213,2,FALSE)+1,VLOOKUP(AC34,B34:C213,2,FALSE))</f>
        <v>#N/A</v>
      </c>
      <c r="AE34" t="e">
        <f t="shared" ca="1" si="4"/>
        <v>#N/A</v>
      </c>
      <c r="AF34" t="e">
        <f t="shared" ca="1" si="5"/>
        <v>#N/A</v>
      </c>
      <c r="AG34" t="e">
        <f>IF(VLOOKUP('Nom du personnage'!$U$51,Données!$P$3:$R$30,3,FALSE)=1,VLOOKUP(AF34,B34:C213,2,FALSE)+1,VLOOKUP(AF34,B34:C213,2,FALSE))</f>
        <v>#N/A</v>
      </c>
      <c r="AH34" t="e">
        <f t="shared" ca="1" si="6"/>
        <v>#N/A</v>
      </c>
    </row>
    <row r="35" spans="1:34">
      <c r="A35" s="2" t="s">
        <v>41</v>
      </c>
      <c r="B35" s="2" t="s">
        <v>361</v>
      </c>
      <c r="C35">
        <v>2</v>
      </c>
      <c r="D35">
        <v>1</v>
      </c>
      <c r="F35" s="2" t="s">
        <v>48</v>
      </c>
      <c r="G35" s="2" t="s">
        <v>325</v>
      </c>
      <c r="I35" s="3">
        <f t="shared" ref="I35:I66" si="7">IF(J35=F35,G35,)</f>
        <v>0</v>
      </c>
      <c r="J35" cm="1">
        <f t="array" ref="J35:N35">'Nom du personnage'!$F$54:$J$54</f>
        <v>0</v>
      </c>
      <c r="K35">
        <v>0</v>
      </c>
      <c r="L35">
        <v>0</v>
      </c>
      <c r="M35">
        <v>0</v>
      </c>
      <c r="N35">
        <v>0</v>
      </c>
      <c r="O35" cm="1">
        <f t="array" ref="O35:W35">'Nom du personnage'!$H$88:$P$88</f>
        <v>0</v>
      </c>
      <c r="P35">
        <v>0</v>
      </c>
      <c r="Q35">
        <v>0</v>
      </c>
      <c r="R35">
        <v>0</v>
      </c>
      <c r="S35">
        <v>0</v>
      </c>
      <c r="T35">
        <v>0</v>
      </c>
      <c r="U35">
        <v>0</v>
      </c>
      <c r="V35">
        <v>0</v>
      </c>
      <c r="W35">
        <v>0</v>
      </c>
      <c r="X35" cm="1">
        <f t="array" ref="X35">IF(OR(A35='Nom du personnage'!$H$88:$O$88,'Nom du personnage'!$V$88:$AC$88=Magie!A35),1,)</f>
        <v>0</v>
      </c>
      <c r="Y35" t="e">
        <f ca="1">IF('Nom du personnage'!$AC$59&gt;=Magie!D35,1,)</f>
        <v>#N/A</v>
      </c>
      <c r="Z35">
        <f t="shared" si="1"/>
        <v>1</v>
      </c>
      <c r="AA35">
        <f>IF(A35='Nom du personnage'!$V$88,10,0)</f>
        <v>0</v>
      </c>
      <c r="AB35" t="e">
        <f t="shared" ca="1" si="2"/>
        <v>#N/A</v>
      </c>
      <c r="AC35" t="e">
        <f t="shared" ca="1" si="3"/>
        <v>#N/A</v>
      </c>
      <c r="AD35" t="e">
        <f>IF(VLOOKUP('Nom du personnage'!$U$51,Données!$P$3:$R$30,3,FALSE)=1,VLOOKUP(AC35,B35:C214,2,FALSE)+1,VLOOKUP(AC35,B35:C214,2,FALSE))</f>
        <v>#N/A</v>
      </c>
      <c r="AE35" t="e">
        <f t="shared" ca="1" si="4"/>
        <v>#N/A</v>
      </c>
      <c r="AF35" t="e">
        <f t="shared" ca="1" si="5"/>
        <v>#N/A</v>
      </c>
      <c r="AG35" t="e">
        <f>IF(VLOOKUP('Nom du personnage'!$U$51,Données!$P$3:$R$30,3,FALSE)=1,VLOOKUP(AF35,B35:C214,2,FALSE)+1,VLOOKUP(AF35,B35:C214,2,FALSE))</f>
        <v>#N/A</v>
      </c>
      <c r="AH35" t="e">
        <f t="shared" ca="1" si="6"/>
        <v>#N/A</v>
      </c>
    </row>
    <row r="36" spans="1:34">
      <c r="A36" s="2" t="s">
        <v>41</v>
      </c>
      <c r="B36" s="2" t="s">
        <v>362</v>
      </c>
      <c r="C36">
        <v>2</v>
      </c>
      <c r="D36">
        <v>2</v>
      </c>
      <c r="F36" s="2" t="s">
        <v>48</v>
      </c>
      <c r="G36" s="2" t="s">
        <v>37</v>
      </c>
      <c r="I36" s="3">
        <f t="shared" si="7"/>
        <v>0</v>
      </c>
      <c r="J36" cm="1">
        <f t="array" ref="J36:N36">'Nom du personnage'!$F$54:$J$54</f>
        <v>0</v>
      </c>
      <c r="K36">
        <v>0</v>
      </c>
      <c r="L36">
        <v>0</v>
      </c>
      <c r="M36">
        <v>0</v>
      </c>
      <c r="N36">
        <v>0</v>
      </c>
      <c r="O36" cm="1">
        <f t="array" ref="O36:W36">'Nom du personnage'!$H$88:$P$88</f>
        <v>0</v>
      </c>
      <c r="P36">
        <v>0</v>
      </c>
      <c r="Q36">
        <v>0</v>
      </c>
      <c r="R36">
        <v>0</v>
      </c>
      <c r="S36">
        <v>0</v>
      </c>
      <c r="T36">
        <v>0</v>
      </c>
      <c r="U36">
        <v>0</v>
      </c>
      <c r="V36">
        <v>0</v>
      </c>
      <c r="W36">
        <v>0</v>
      </c>
      <c r="X36" cm="1">
        <f t="array" ref="X36">IF(OR(A36='Nom du personnage'!$H$88:$O$88,'Nom du personnage'!$V$88:$AC$88=Magie!A36),1,)</f>
        <v>0</v>
      </c>
      <c r="Y36" t="e">
        <f ca="1">IF('Nom du personnage'!$AC$59&gt;=Magie!D36,1,)</f>
        <v>#N/A</v>
      </c>
      <c r="Z36">
        <f ca="1">IF(AND(A36='Nom du personnage'!$H$88,_xlfn.AGGREGATE(4,6,'Nom du personnage'!$C$91:$D$109)&gt;=Magie!D33),1,0)</f>
        <v>0</v>
      </c>
      <c r="AA36">
        <f ca="1">IF(AND(A36='Nom du personnage'!$V$88,_xlfn.AGGREGATE(4,6,'Nom du personnage'!$Q$91:$R$109)&gt;=Magie!D33),10,0)</f>
        <v>0</v>
      </c>
      <c r="AB36" t="e">
        <f t="shared" ca="1" si="2"/>
        <v>#N/A</v>
      </c>
      <c r="AC36" t="e">
        <f t="shared" ca="1" si="3"/>
        <v>#N/A</v>
      </c>
      <c r="AD36" t="e">
        <f>IF(VLOOKUP('Nom du personnage'!$U$51,Données!$P$3:$R$30,3,FALSE)=1,VLOOKUP(AC36,B36:C215,2,FALSE)+1,VLOOKUP(AC36,B36:C215,2,FALSE))</f>
        <v>#N/A</v>
      </c>
      <c r="AE36" t="e">
        <f t="shared" ca="1" si="4"/>
        <v>#N/A</v>
      </c>
      <c r="AF36" t="e">
        <f t="shared" ca="1" si="5"/>
        <v>#N/A</v>
      </c>
      <c r="AG36" t="e">
        <f>IF(VLOOKUP('Nom du personnage'!$U$51,Données!$P$3:$R$30,3,FALSE)=1,VLOOKUP(AF36,B36:C215,2,FALSE)+1,VLOOKUP(AF36,B36:C215,2,FALSE))</f>
        <v>#N/A</v>
      </c>
      <c r="AH36" t="e">
        <f t="shared" ca="1" si="6"/>
        <v>#N/A</v>
      </c>
    </row>
    <row r="37" spans="1:34">
      <c r="A37" s="2" t="s">
        <v>41</v>
      </c>
      <c r="B37" s="2" t="s">
        <v>363</v>
      </c>
      <c r="C37">
        <v>2</v>
      </c>
      <c r="D37">
        <v>2</v>
      </c>
      <c r="F37" s="2" t="s">
        <v>48</v>
      </c>
      <c r="G37" s="2" t="s">
        <v>41</v>
      </c>
      <c r="I37" s="3">
        <f t="shared" si="7"/>
        <v>0</v>
      </c>
      <c r="J37" cm="1">
        <f t="array" ref="J37:N37">'Nom du personnage'!$F$54:$J$54</f>
        <v>0</v>
      </c>
      <c r="K37">
        <v>0</v>
      </c>
      <c r="L37">
        <v>0</v>
      </c>
      <c r="M37">
        <v>0</v>
      </c>
      <c r="N37">
        <v>0</v>
      </c>
      <c r="O37" cm="1">
        <f t="array" ref="O37:W37">'Nom du personnage'!$H$88:$P$88</f>
        <v>0</v>
      </c>
      <c r="P37">
        <v>0</v>
      </c>
      <c r="Q37">
        <v>0</v>
      </c>
      <c r="R37">
        <v>0</v>
      </c>
      <c r="S37">
        <v>0</v>
      </c>
      <c r="T37">
        <v>0</v>
      </c>
      <c r="U37">
        <v>0</v>
      </c>
      <c r="V37">
        <v>0</v>
      </c>
      <c r="W37">
        <v>0</v>
      </c>
      <c r="X37" cm="1">
        <f t="array" ref="X37">IF(OR(A37='Nom du personnage'!$H$88:$O$88,'Nom du personnage'!$V$88:$AC$88=Magie!A37),1,)</f>
        <v>0</v>
      </c>
      <c r="Y37" t="e">
        <f ca="1">IF('Nom du personnage'!$AC$59&gt;=Magie!D37,1,)</f>
        <v>#N/A</v>
      </c>
      <c r="Z37">
        <f ca="1">IF(AND(A37='Nom du personnage'!$H$88,_xlfn.AGGREGATE(4,6,'Nom du personnage'!$C$91:$D$109)&gt;=Magie!D34),1,0)</f>
        <v>0</v>
      </c>
      <c r="AA37">
        <f ca="1">IF(AND(A37='Nom du personnage'!$V$88,_xlfn.AGGREGATE(4,6,'Nom du personnage'!$Q$91:$R$109)&gt;=Magie!D34),10,0)</f>
        <v>0</v>
      </c>
      <c r="AB37" t="e">
        <f t="shared" ca="1" si="2"/>
        <v>#N/A</v>
      </c>
      <c r="AC37" t="e">
        <f t="shared" ca="1" si="3"/>
        <v>#N/A</v>
      </c>
      <c r="AD37" t="e">
        <f>IF(VLOOKUP('Nom du personnage'!$U$51,Données!$P$3:$R$30,3,FALSE)=1,VLOOKUP(AC37,B37:C216,2,FALSE)+1,VLOOKUP(AC37,B37:C216,2,FALSE))</f>
        <v>#N/A</v>
      </c>
      <c r="AE37" t="e">
        <f t="shared" ca="1" si="4"/>
        <v>#N/A</v>
      </c>
      <c r="AF37" t="e">
        <f t="shared" ca="1" si="5"/>
        <v>#N/A</v>
      </c>
      <c r="AG37" t="e">
        <f>IF(VLOOKUP('Nom du personnage'!$U$51,Données!$P$3:$R$30,3,FALSE)=1,VLOOKUP(AF37,B37:C216,2,FALSE)+1,VLOOKUP(AF37,B37:C216,2,FALSE))</f>
        <v>#N/A</v>
      </c>
      <c r="AH37" t="e">
        <f t="shared" ca="1" si="6"/>
        <v>#N/A</v>
      </c>
    </row>
    <row r="38" spans="1:34">
      <c r="A38" s="2" t="s">
        <v>41</v>
      </c>
      <c r="B38" s="2" t="s">
        <v>364</v>
      </c>
      <c r="C38">
        <v>2</v>
      </c>
      <c r="D38">
        <v>2</v>
      </c>
      <c r="F38" s="2" t="s">
        <v>222</v>
      </c>
      <c r="G38" s="2" t="s">
        <v>41</v>
      </c>
      <c r="I38" s="3">
        <f t="shared" si="7"/>
        <v>0</v>
      </c>
      <c r="J38" cm="1">
        <f t="array" ref="J38:N38">'Nom du personnage'!$F$54:$J$54</f>
        <v>0</v>
      </c>
      <c r="K38">
        <v>0</v>
      </c>
      <c r="L38">
        <v>0</v>
      </c>
      <c r="M38">
        <v>0</v>
      </c>
      <c r="N38">
        <v>0</v>
      </c>
      <c r="O38" cm="1">
        <f t="array" ref="O38:W38">'Nom du personnage'!$H$88:$P$88</f>
        <v>0</v>
      </c>
      <c r="P38">
        <v>0</v>
      </c>
      <c r="Q38">
        <v>0</v>
      </c>
      <c r="R38">
        <v>0</v>
      </c>
      <c r="S38">
        <v>0</v>
      </c>
      <c r="T38">
        <v>0</v>
      </c>
      <c r="U38">
        <v>0</v>
      </c>
      <c r="V38">
        <v>0</v>
      </c>
      <c r="W38">
        <v>0</v>
      </c>
      <c r="X38" cm="1">
        <f t="array" ref="X38">IF(OR(A38='Nom du personnage'!$H$88:$O$88,'Nom du personnage'!$V$88:$AC$88=Magie!A38),1,)</f>
        <v>0</v>
      </c>
      <c r="Y38" t="e">
        <f ca="1">IF('Nom du personnage'!$AC$59&gt;=Magie!D38,1,)</f>
        <v>#N/A</v>
      </c>
      <c r="Z38">
        <f ca="1">IF(AND(A38='Nom du personnage'!$H$88,_xlfn.AGGREGATE(4,6,'Nom du personnage'!$C$91:$D$109)&gt;=Magie!D35),1,0)</f>
        <v>0</v>
      </c>
      <c r="AA38">
        <f ca="1">IF(AND(A38='Nom du personnage'!$V$88,_xlfn.AGGREGATE(4,6,'Nom du personnage'!$Q$91:$R$109)&gt;=Magie!D35),10,0)</f>
        <v>0</v>
      </c>
      <c r="AB38" t="e">
        <f t="shared" ca="1" si="2"/>
        <v>#N/A</v>
      </c>
      <c r="AC38" t="e">
        <f t="shared" ca="1" si="3"/>
        <v>#N/A</v>
      </c>
      <c r="AD38" t="e">
        <f>IF(VLOOKUP('Nom du personnage'!$U$51,Données!$P$3:$R$30,3,FALSE)=1,VLOOKUP(AC38,B38:C217,2,FALSE)+1,VLOOKUP(AC38,B38:C217,2,FALSE))</f>
        <v>#N/A</v>
      </c>
      <c r="AE38" t="e">
        <f t="shared" ca="1" si="4"/>
        <v>#N/A</v>
      </c>
      <c r="AF38" t="e">
        <f t="shared" ca="1" si="5"/>
        <v>#N/A</v>
      </c>
      <c r="AG38" t="e">
        <f>IF(VLOOKUP('Nom du personnage'!$U$51,Données!$P$3:$R$30,3,FALSE)=1,VLOOKUP(AF38,B38:C217,2,FALSE)+1,VLOOKUP(AF38,B38:C217,2,FALSE))</f>
        <v>#N/A</v>
      </c>
      <c r="AH38" t="e">
        <f t="shared" ca="1" si="6"/>
        <v>#N/A</v>
      </c>
    </row>
    <row r="39" spans="1:34">
      <c r="A39" s="2" t="s">
        <v>41</v>
      </c>
      <c r="B39" s="2" t="s">
        <v>365</v>
      </c>
      <c r="C39">
        <v>2</v>
      </c>
      <c r="D39">
        <v>3</v>
      </c>
      <c r="F39" s="2" t="s">
        <v>222</v>
      </c>
      <c r="G39" s="2" t="s">
        <v>320</v>
      </c>
      <c r="I39" s="3">
        <f t="shared" si="7"/>
        <v>0</v>
      </c>
      <c r="J39" cm="1">
        <f t="array" ref="J39:N39">'Nom du personnage'!$F$54:$J$54</f>
        <v>0</v>
      </c>
      <c r="K39">
        <v>0</v>
      </c>
      <c r="L39">
        <v>0</v>
      </c>
      <c r="M39">
        <v>0</v>
      </c>
      <c r="N39">
        <v>0</v>
      </c>
      <c r="O39" cm="1">
        <f t="array" ref="O39:W39">'Nom du personnage'!$H$88:$P$88</f>
        <v>0</v>
      </c>
      <c r="P39">
        <v>0</v>
      </c>
      <c r="Q39">
        <v>0</v>
      </c>
      <c r="R39">
        <v>0</v>
      </c>
      <c r="S39">
        <v>0</v>
      </c>
      <c r="T39">
        <v>0</v>
      </c>
      <c r="U39">
        <v>0</v>
      </c>
      <c r="V39">
        <v>0</v>
      </c>
      <c r="W39">
        <v>0</v>
      </c>
      <c r="X39" cm="1">
        <f t="array" ref="X39">IF(OR(A39='Nom du personnage'!$H$88:$O$88,'Nom du personnage'!$V$88:$AC$88=Magie!A39),1,)</f>
        <v>0</v>
      </c>
      <c r="Y39" t="e">
        <f ca="1">IF('Nom du personnage'!$AC$59&gt;=Magie!D39,1,)</f>
        <v>#N/A</v>
      </c>
      <c r="Z39">
        <f ca="1">IF(AND(A39='Nom du personnage'!$H$88,_xlfn.AGGREGATE(4,6,'Nom du personnage'!$C$91:$D$109)&gt;=Magie!D36),1,0)</f>
        <v>0</v>
      </c>
      <c r="AA39">
        <f ca="1">IF(AND(A39='Nom du personnage'!$V$88,_xlfn.AGGREGATE(4,6,'Nom du personnage'!$Q$91:$R$109)&gt;=Magie!D36),10,0)</f>
        <v>0</v>
      </c>
      <c r="AB39" t="e">
        <f t="shared" ca="1" si="2"/>
        <v>#N/A</v>
      </c>
      <c r="AC39" t="e">
        <f t="shared" ca="1" si="3"/>
        <v>#N/A</v>
      </c>
      <c r="AD39" t="e">
        <f>IF(VLOOKUP('Nom du personnage'!$U$51,Données!$P$3:$R$30,3,FALSE)=1,VLOOKUP(AC39,B39:C218,2,FALSE)+1,VLOOKUP(AC39,B39:C218,2,FALSE))</f>
        <v>#N/A</v>
      </c>
      <c r="AE39" t="e">
        <f t="shared" ca="1" si="4"/>
        <v>#N/A</v>
      </c>
      <c r="AF39" t="e">
        <f t="shared" ca="1" si="5"/>
        <v>#N/A</v>
      </c>
      <c r="AG39" t="e">
        <f>IF(VLOOKUP('Nom du personnage'!$U$51,Données!$P$3:$R$30,3,FALSE)=1,VLOOKUP(AF39,B39:C218,2,FALSE)+1,VLOOKUP(AF39,B39:C218,2,FALSE))</f>
        <v>#N/A</v>
      </c>
      <c r="AH39" t="e">
        <f t="shared" ca="1" si="6"/>
        <v>#N/A</v>
      </c>
    </row>
    <row r="40" spans="1:34">
      <c r="A40" s="2" t="s">
        <v>41</v>
      </c>
      <c r="B40" s="2" t="s">
        <v>366</v>
      </c>
      <c r="C40">
        <v>2</v>
      </c>
      <c r="D40">
        <v>3</v>
      </c>
      <c r="F40" s="2" t="s">
        <v>222</v>
      </c>
      <c r="G40" s="2" t="s">
        <v>53</v>
      </c>
      <c r="I40" s="3">
        <f t="shared" si="7"/>
        <v>0</v>
      </c>
      <c r="J40" cm="1">
        <f t="array" ref="J40:N40">'Nom du personnage'!$F$54:$J$54</f>
        <v>0</v>
      </c>
      <c r="K40">
        <v>0</v>
      </c>
      <c r="L40">
        <v>0</v>
      </c>
      <c r="M40">
        <v>0</v>
      </c>
      <c r="N40">
        <v>0</v>
      </c>
      <c r="O40" cm="1">
        <f t="array" ref="O40:W40">'Nom du personnage'!$H$88:$P$88</f>
        <v>0</v>
      </c>
      <c r="P40">
        <v>0</v>
      </c>
      <c r="Q40">
        <v>0</v>
      </c>
      <c r="R40">
        <v>0</v>
      </c>
      <c r="S40">
        <v>0</v>
      </c>
      <c r="T40">
        <v>0</v>
      </c>
      <c r="U40">
        <v>0</v>
      </c>
      <c r="V40">
        <v>0</v>
      </c>
      <c r="W40">
        <v>0</v>
      </c>
      <c r="X40" cm="1">
        <f t="array" ref="X40">IF(OR(A40='Nom du personnage'!$H$88:$O$88,'Nom du personnage'!$V$88:$AC$88=Magie!A40),1,)</f>
        <v>0</v>
      </c>
      <c r="Y40" t="e">
        <f ca="1">IF('Nom du personnage'!$AC$59&gt;=Magie!D40,1,)</f>
        <v>#N/A</v>
      </c>
      <c r="Z40">
        <f ca="1">IF(AND(A40='Nom du personnage'!$H$88,_xlfn.AGGREGATE(4,6,'Nom du personnage'!$C$91:$D$109)&gt;=Magie!D37),1,0)</f>
        <v>0</v>
      </c>
      <c r="AA40">
        <f ca="1">IF(AND(A40='Nom du personnage'!$V$88,_xlfn.AGGREGATE(4,6,'Nom du personnage'!$Q$91:$R$109)&gt;=Magie!D37),10,0)</f>
        <v>0</v>
      </c>
      <c r="AB40" t="e">
        <f t="shared" ca="1" si="2"/>
        <v>#N/A</v>
      </c>
      <c r="AC40" t="e">
        <f t="shared" ca="1" si="3"/>
        <v>#N/A</v>
      </c>
      <c r="AD40" t="e">
        <f>IF(VLOOKUP('Nom du personnage'!$U$51,Données!$P$3:$R$30,3,FALSE)=1,VLOOKUP(AC40,B40:C219,2,FALSE)+1,VLOOKUP(AC40,B40:C219,2,FALSE))</f>
        <v>#N/A</v>
      </c>
      <c r="AE40" t="e">
        <f t="shared" ca="1" si="4"/>
        <v>#N/A</v>
      </c>
      <c r="AF40" t="e">
        <f t="shared" ca="1" si="5"/>
        <v>#N/A</v>
      </c>
      <c r="AG40" t="e">
        <f>IF(VLOOKUP('Nom du personnage'!$U$51,Données!$P$3:$R$30,3,FALSE)=1,VLOOKUP(AF40,B40:C219,2,FALSE)+1,VLOOKUP(AF40,B40:C219,2,FALSE))</f>
        <v>#N/A</v>
      </c>
      <c r="AH40" t="e">
        <f t="shared" ca="1" si="6"/>
        <v>#N/A</v>
      </c>
    </row>
    <row r="41" spans="1:34">
      <c r="A41" s="2" t="s">
        <v>41</v>
      </c>
      <c r="B41" s="2" t="s">
        <v>367</v>
      </c>
      <c r="C41">
        <v>2</v>
      </c>
      <c r="D41">
        <v>3</v>
      </c>
      <c r="F41" s="2" t="s">
        <v>222</v>
      </c>
      <c r="G41" s="2" t="s">
        <v>323</v>
      </c>
      <c r="I41" s="3">
        <f t="shared" si="7"/>
        <v>0</v>
      </c>
      <c r="J41" cm="1">
        <f t="array" ref="J41:N41">'Nom du personnage'!$F$54:$J$54</f>
        <v>0</v>
      </c>
      <c r="K41">
        <v>0</v>
      </c>
      <c r="L41">
        <v>0</v>
      </c>
      <c r="M41">
        <v>0</v>
      </c>
      <c r="N41">
        <v>0</v>
      </c>
      <c r="O41" cm="1">
        <f t="array" ref="O41:W41">'Nom du personnage'!$H$88:$P$88</f>
        <v>0</v>
      </c>
      <c r="P41">
        <v>0</v>
      </c>
      <c r="Q41">
        <v>0</v>
      </c>
      <c r="R41">
        <v>0</v>
      </c>
      <c r="S41">
        <v>0</v>
      </c>
      <c r="T41">
        <v>0</v>
      </c>
      <c r="U41">
        <v>0</v>
      </c>
      <c r="V41">
        <v>0</v>
      </c>
      <c r="W41">
        <v>0</v>
      </c>
      <c r="X41" cm="1">
        <f t="array" ref="X41">IF(OR(A41='Nom du personnage'!$H$88:$O$88,'Nom du personnage'!$V$88:$AC$88=Magie!A41),1,)</f>
        <v>0</v>
      </c>
      <c r="Y41" t="e">
        <f ca="1">IF('Nom du personnage'!$AC$59&gt;=Magie!D41,1,)</f>
        <v>#N/A</v>
      </c>
      <c r="Z41">
        <f ca="1">IF(AND(A41='Nom du personnage'!$H$88,_xlfn.AGGREGATE(4,6,'Nom du personnage'!$C$91:$D$109)&gt;=Magie!D38),1,0)</f>
        <v>0</v>
      </c>
      <c r="AA41">
        <f ca="1">IF(AND(A41='Nom du personnage'!$V$88,_xlfn.AGGREGATE(4,6,'Nom du personnage'!$Q$91:$R$109)&gt;=Magie!D38),10,0)</f>
        <v>0</v>
      </c>
      <c r="AB41" t="e">
        <f t="shared" ca="1" si="2"/>
        <v>#N/A</v>
      </c>
      <c r="AC41" t="e">
        <f t="shared" ca="1" si="3"/>
        <v>#N/A</v>
      </c>
      <c r="AD41" t="e">
        <f>IF(VLOOKUP('Nom du personnage'!$U$51,Données!$P$3:$R$30,3,FALSE)=1,VLOOKUP(AC41,B41:C220,2,FALSE)+1,VLOOKUP(AC41,B41:C220,2,FALSE))</f>
        <v>#N/A</v>
      </c>
      <c r="AE41" t="e">
        <f t="shared" ca="1" si="4"/>
        <v>#N/A</v>
      </c>
      <c r="AF41" t="e">
        <f t="shared" ca="1" si="5"/>
        <v>#N/A</v>
      </c>
      <c r="AG41" t="e">
        <f>IF(VLOOKUP('Nom du personnage'!$U$51,Données!$P$3:$R$30,3,FALSE)=1,VLOOKUP(AF41,B41:C220,2,FALSE)+1,VLOOKUP(AF41,B41:C220,2,FALSE))</f>
        <v>#N/A</v>
      </c>
      <c r="AH41" t="e">
        <f t="shared" ca="1" si="6"/>
        <v>#N/A</v>
      </c>
    </row>
    <row r="42" spans="1:34">
      <c r="A42" s="2" t="s">
        <v>41</v>
      </c>
      <c r="B42" s="2" t="s">
        <v>368</v>
      </c>
      <c r="C42">
        <v>3</v>
      </c>
      <c r="D42">
        <v>4</v>
      </c>
      <c r="F42" s="2" t="s">
        <v>221</v>
      </c>
      <c r="G42" s="2" t="s">
        <v>37</v>
      </c>
      <c r="I42" s="3">
        <f t="shared" si="7"/>
        <v>0</v>
      </c>
      <c r="J42" cm="1">
        <f t="array" ref="J42:N42">'Nom du personnage'!$F$54:$J$54</f>
        <v>0</v>
      </c>
      <c r="K42">
        <v>0</v>
      </c>
      <c r="L42">
        <v>0</v>
      </c>
      <c r="M42">
        <v>0</v>
      </c>
      <c r="N42">
        <v>0</v>
      </c>
      <c r="O42" cm="1">
        <f t="array" ref="O42:W42">'Nom du personnage'!$H$88:$P$88</f>
        <v>0</v>
      </c>
      <c r="P42">
        <v>0</v>
      </c>
      <c r="Q42">
        <v>0</v>
      </c>
      <c r="R42">
        <v>0</v>
      </c>
      <c r="S42">
        <v>0</v>
      </c>
      <c r="T42">
        <v>0</v>
      </c>
      <c r="U42">
        <v>0</v>
      </c>
      <c r="V42">
        <v>0</v>
      </c>
      <c r="W42">
        <v>0</v>
      </c>
      <c r="X42" cm="1">
        <f t="array" ref="X42">IF(OR(A42='Nom du personnage'!$H$88:$O$88,'Nom du personnage'!$V$88:$AC$88=Magie!A42),1,)</f>
        <v>0</v>
      </c>
      <c r="Y42" t="e">
        <f ca="1">IF('Nom du personnage'!$AC$59&gt;=Magie!D42,1,)</f>
        <v>#N/A</v>
      </c>
      <c r="Z42">
        <f ca="1">IF(AND(A42='Nom du personnage'!$H$88,_xlfn.AGGREGATE(4,6,'Nom du personnage'!$C$91:$D$109)&gt;=Magie!D39),1,0)</f>
        <v>0</v>
      </c>
      <c r="AA42">
        <f ca="1">IF(AND(A42='Nom du personnage'!$V$88,_xlfn.AGGREGATE(4,6,'Nom du personnage'!$Q$91:$R$109)&gt;=Magie!D39),10,0)</f>
        <v>0</v>
      </c>
      <c r="AB42" t="e">
        <f t="shared" ca="1" si="2"/>
        <v>#N/A</v>
      </c>
      <c r="AC42" t="e">
        <f t="shared" ca="1" si="3"/>
        <v>#N/A</v>
      </c>
      <c r="AD42" t="e">
        <f>IF(VLOOKUP('Nom du personnage'!$U$51,Données!$P$3:$R$30,3,FALSE)=1,VLOOKUP(AC42,B42:C221,2,FALSE)+1,VLOOKUP(AC42,B42:C221,2,FALSE))</f>
        <v>#N/A</v>
      </c>
      <c r="AE42" t="e">
        <f t="shared" ca="1" si="4"/>
        <v>#N/A</v>
      </c>
      <c r="AF42" t="e">
        <f t="shared" ca="1" si="5"/>
        <v>#N/A</v>
      </c>
      <c r="AG42" t="e">
        <f>IF(VLOOKUP('Nom du personnage'!$U$51,Données!$P$3:$R$30,3,FALSE)=1,VLOOKUP(AF42,B42:C221,2,FALSE)+1,VLOOKUP(AF42,B42:C221,2,FALSE))</f>
        <v>#N/A</v>
      </c>
      <c r="AH42" t="e">
        <f t="shared" ca="1" si="6"/>
        <v>#N/A</v>
      </c>
    </row>
    <row r="43" spans="1:34">
      <c r="A43" s="2" t="s">
        <v>41</v>
      </c>
      <c r="B43" s="2" t="s">
        <v>369</v>
      </c>
      <c r="C43">
        <v>3</v>
      </c>
      <c r="D43">
        <v>4</v>
      </c>
      <c r="F43" s="2" t="s">
        <v>221</v>
      </c>
      <c r="G43" s="2" t="s">
        <v>41</v>
      </c>
      <c r="I43" s="3">
        <f t="shared" si="7"/>
        <v>0</v>
      </c>
      <c r="J43" cm="1">
        <f t="array" ref="J43:N43">'Nom du personnage'!$F$54:$J$54</f>
        <v>0</v>
      </c>
      <c r="K43">
        <v>0</v>
      </c>
      <c r="L43">
        <v>0</v>
      </c>
      <c r="M43">
        <v>0</v>
      </c>
      <c r="N43">
        <v>0</v>
      </c>
      <c r="O43" cm="1">
        <f t="array" ref="O43:W43">'Nom du personnage'!$H$88:$P$88</f>
        <v>0</v>
      </c>
      <c r="P43">
        <v>0</v>
      </c>
      <c r="Q43">
        <v>0</v>
      </c>
      <c r="R43">
        <v>0</v>
      </c>
      <c r="S43">
        <v>0</v>
      </c>
      <c r="T43">
        <v>0</v>
      </c>
      <c r="U43">
        <v>0</v>
      </c>
      <c r="V43">
        <v>0</v>
      </c>
      <c r="W43">
        <v>0</v>
      </c>
      <c r="X43" cm="1">
        <f t="array" ref="X43">IF(OR(A43='Nom du personnage'!$H$88:$O$88,'Nom du personnage'!$V$88:$AC$88=Magie!A43),1,)</f>
        <v>0</v>
      </c>
      <c r="Y43" t="e">
        <f ca="1">IF('Nom du personnage'!$AC$59&gt;=Magie!D43,1,)</f>
        <v>#N/A</v>
      </c>
      <c r="Z43">
        <f ca="1">IF(AND(A43='Nom du personnage'!$H$88,_xlfn.AGGREGATE(4,6,'Nom du personnage'!$C$91:$D$109)&gt;=Magie!D40),1,0)</f>
        <v>0</v>
      </c>
      <c r="AA43">
        <f ca="1">IF(AND(A43='Nom du personnage'!$V$88,_xlfn.AGGREGATE(4,6,'Nom du personnage'!$Q$91:$R$109)&gt;=Magie!D40),10,0)</f>
        <v>0</v>
      </c>
      <c r="AB43" t="e">
        <f t="shared" ca="1" si="2"/>
        <v>#N/A</v>
      </c>
      <c r="AC43" t="e">
        <f t="shared" ca="1" si="3"/>
        <v>#N/A</v>
      </c>
      <c r="AD43" t="e">
        <f>IF(VLOOKUP('Nom du personnage'!$U$51,Données!$P$3:$R$30,3,FALSE)=1,VLOOKUP(AC43,B43:C222,2,FALSE)+1,VLOOKUP(AC43,B43:C222,2,FALSE))</f>
        <v>#N/A</v>
      </c>
      <c r="AE43" t="e">
        <f t="shared" ca="1" si="4"/>
        <v>#N/A</v>
      </c>
      <c r="AF43" t="e">
        <f t="shared" ca="1" si="5"/>
        <v>#N/A</v>
      </c>
      <c r="AG43" t="e">
        <f>IF(VLOOKUP('Nom du personnage'!$U$51,Données!$P$3:$R$30,3,FALSE)=1,VLOOKUP(AF43,B43:C222,2,FALSE)+1,VLOOKUP(AF43,B43:C222,2,FALSE))</f>
        <v>#N/A</v>
      </c>
      <c r="AH43" t="e">
        <f t="shared" ca="1" si="6"/>
        <v>#N/A</v>
      </c>
    </row>
    <row r="44" spans="1:34">
      <c r="A44" s="2" t="s">
        <v>41</v>
      </c>
      <c r="B44" s="2" t="s">
        <v>337</v>
      </c>
      <c r="C44">
        <v>3</v>
      </c>
      <c r="D44">
        <v>4</v>
      </c>
      <c r="F44" s="2" t="s">
        <v>221</v>
      </c>
      <c r="G44" s="2" t="s">
        <v>319</v>
      </c>
      <c r="I44" s="3">
        <f t="shared" si="7"/>
        <v>0</v>
      </c>
      <c r="J44" cm="1">
        <f t="array" ref="J44:N44">'Nom du personnage'!$F$54:$J$54</f>
        <v>0</v>
      </c>
      <c r="K44">
        <v>0</v>
      </c>
      <c r="L44">
        <v>0</v>
      </c>
      <c r="M44">
        <v>0</v>
      </c>
      <c r="N44">
        <v>0</v>
      </c>
      <c r="O44" cm="1">
        <f t="array" ref="O44:W44">'Nom du personnage'!$H$88:$P$88</f>
        <v>0</v>
      </c>
      <c r="P44">
        <v>0</v>
      </c>
      <c r="Q44">
        <v>0</v>
      </c>
      <c r="R44">
        <v>0</v>
      </c>
      <c r="S44">
        <v>0</v>
      </c>
      <c r="T44">
        <v>0</v>
      </c>
      <c r="U44">
        <v>0</v>
      </c>
      <c r="V44">
        <v>0</v>
      </c>
      <c r="W44">
        <v>0</v>
      </c>
      <c r="X44" cm="1">
        <f t="array" ref="X44">IF(OR(A44='Nom du personnage'!$H$88:$O$88,'Nom du personnage'!$V$88:$AC$88=Magie!A44),1,)</f>
        <v>0</v>
      </c>
      <c r="Y44" t="e">
        <f ca="1">IF('Nom du personnage'!$AC$59&gt;=Magie!D44,1,)</f>
        <v>#N/A</v>
      </c>
      <c r="Z44">
        <f ca="1">IF(AND(A44='Nom du personnage'!$H$88,_xlfn.AGGREGATE(4,6,'Nom du personnage'!$C$91:$D$109)&gt;=Magie!D41),1,0)</f>
        <v>0</v>
      </c>
      <c r="AA44">
        <f ca="1">IF(AND(A44='Nom du personnage'!$V$88,_xlfn.AGGREGATE(4,6,'Nom du personnage'!$Q$91:$R$109)&gt;=Magie!D41),10,0)</f>
        <v>0</v>
      </c>
      <c r="AB44" t="e">
        <f t="shared" ca="1" si="2"/>
        <v>#N/A</v>
      </c>
      <c r="AC44" t="e">
        <f t="shared" ca="1" si="3"/>
        <v>#N/A</v>
      </c>
      <c r="AD44" t="e">
        <f>IF(VLOOKUP('Nom du personnage'!$U$51,Données!$P$3:$R$30,3,FALSE)=1,VLOOKUP(AC44,B44:C223,2,FALSE)+1,VLOOKUP(AC44,B44:C223,2,FALSE))</f>
        <v>#N/A</v>
      </c>
      <c r="AE44" t="e">
        <f t="shared" ca="1" si="4"/>
        <v>#N/A</v>
      </c>
      <c r="AF44" t="e">
        <f t="shared" ca="1" si="5"/>
        <v>#N/A</v>
      </c>
      <c r="AG44" t="e">
        <f>IF(VLOOKUP('Nom du personnage'!$U$51,Données!$P$3:$R$30,3,FALSE)=1,VLOOKUP(AF44,B44:C223,2,FALSE)+1,VLOOKUP(AF44,B44:C223,2,FALSE))</f>
        <v>#N/A</v>
      </c>
      <c r="AH44" t="e">
        <f t="shared" ca="1" si="6"/>
        <v>#N/A</v>
      </c>
    </row>
    <row r="45" spans="1:34">
      <c r="A45" s="2" t="s">
        <v>41</v>
      </c>
      <c r="B45" s="2" t="s">
        <v>340</v>
      </c>
      <c r="C45">
        <v>3</v>
      </c>
      <c r="D45">
        <v>5</v>
      </c>
      <c r="F45" s="2" t="s">
        <v>221</v>
      </c>
      <c r="G45" s="2" t="s">
        <v>326</v>
      </c>
      <c r="I45" s="3">
        <f t="shared" si="7"/>
        <v>0</v>
      </c>
      <c r="J45" cm="1">
        <f t="array" ref="J45:N45">'Nom du personnage'!$F$54:$J$54</f>
        <v>0</v>
      </c>
      <c r="K45">
        <v>0</v>
      </c>
      <c r="L45">
        <v>0</v>
      </c>
      <c r="M45">
        <v>0</v>
      </c>
      <c r="N45">
        <v>0</v>
      </c>
      <c r="O45" cm="1">
        <f t="array" ref="O45:W45">'Nom du personnage'!$H$88:$P$88</f>
        <v>0</v>
      </c>
      <c r="P45">
        <v>0</v>
      </c>
      <c r="Q45">
        <v>0</v>
      </c>
      <c r="R45">
        <v>0</v>
      </c>
      <c r="S45">
        <v>0</v>
      </c>
      <c r="T45">
        <v>0</v>
      </c>
      <c r="U45">
        <v>0</v>
      </c>
      <c r="V45">
        <v>0</v>
      </c>
      <c r="W45">
        <v>0</v>
      </c>
      <c r="X45" cm="1">
        <f t="array" ref="X45">IF(OR(A45='Nom du personnage'!$H$88:$O$88,'Nom du personnage'!$V$88:$AC$88=Magie!A45),1,)</f>
        <v>0</v>
      </c>
      <c r="Y45" t="e">
        <f ca="1">IF('Nom du personnage'!$AC$59&gt;=Magie!D45,1,)</f>
        <v>#N/A</v>
      </c>
      <c r="Z45">
        <f ca="1">IF(AND(A45='Nom du personnage'!$H$88,_xlfn.AGGREGATE(4,6,'Nom du personnage'!$C$91:$D$109)&gt;=Magie!D42),1,0)</f>
        <v>0</v>
      </c>
      <c r="AA45">
        <f ca="1">IF(AND(A45='Nom du personnage'!$V$88,_xlfn.AGGREGATE(4,6,'Nom du personnage'!$Q$91:$R$109)&gt;=Magie!D42),10,0)</f>
        <v>0</v>
      </c>
      <c r="AB45" t="e">
        <f t="shared" ca="1" si="2"/>
        <v>#N/A</v>
      </c>
      <c r="AC45" t="e">
        <f t="shared" ca="1" si="3"/>
        <v>#N/A</v>
      </c>
      <c r="AD45" t="e">
        <f>IF(VLOOKUP('Nom du personnage'!$U$51,Données!$P$3:$R$30,3,FALSE)=1,VLOOKUP(AC45,B45:C224,2,FALSE)+1,VLOOKUP(AC45,B45:C224,2,FALSE))</f>
        <v>#N/A</v>
      </c>
      <c r="AE45" t="e">
        <f t="shared" ca="1" si="4"/>
        <v>#N/A</v>
      </c>
      <c r="AF45" t="e">
        <f t="shared" ca="1" si="5"/>
        <v>#N/A</v>
      </c>
      <c r="AG45" t="e">
        <f>IF(VLOOKUP('Nom du personnage'!$U$51,Données!$P$3:$R$30,3,FALSE)=1,VLOOKUP(AF45,B45:C224,2,FALSE)+1,VLOOKUP(AF45,B45:C224,2,FALSE))</f>
        <v>#N/A</v>
      </c>
      <c r="AH45" t="e">
        <f t="shared" ca="1" si="6"/>
        <v>#N/A</v>
      </c>
    </row>
    <row r="46" spans="1:34">
      <c r="A46" s="2" t="s">
        <v>41</v>
      </c>
      <c r="B46" s="2" t="s">
        <v>370</v>
      </c>
      <c r="C46">
        <v>3</v>
      </c>
      <c r="D46">
        <v>5</v>
      </c>
      <c r="F46" s="2" t="s">
        <v>124</v>
      </c>
      <c r="G46" s="2" t="s">
        <v>325</v>
      </c>
      <c r="I46" s="3">
        <f t="shared" si="7"/>
        <v>0</v>
      </c>
      <c r="J46" cm="1">
        <f t="array" ref="J46:N46">'Nom du personnage'!$F$54:$J$54</f>
        <v>0</v>
      </c>
      <c r="K46">
        <v>0</v>
      </c>
      <c r="L46">
        <v>0</v>
      </c>
      <c r="M46">
        <v>0</v>
      </c>
      <c r="N46">
        <v>0</v>
      </c>
      <c r="O46" cm="1">
        <f t="array" ref="O46:W46">'Nom du personnage'!$H$88:$P$88</f>
        <v>0</v>
      </c>
      <c r="P46">
        <v>0</v>
      </c>
      <c r="Q46">
        <v>0</v>
      </c>
      <c r="R46">
        <v>0</v>
      </c>
      <c r="S46">
        <v>0</v>
      </c>
      <c r="T46">
        <v>0</v>
      </c>
      <c r="U46">
        <v>0</v>
      </c>
      <c r="V46">
        <v>0</v>
      </c>
      <c r="W46">
        <v>0</v>
      </c>
      <c r="X46" cm="1">
        <f t="array" ref="X46">IF(OR(A46='Nom du personnage'!$H$88:$O$88,'Nom du personnage'!$V$88:$AC$88=Magie!A46),1,)</f>
        <v>0</v>
      </c>
      <c r="Y46" t="e">
        <f ca="1">IF('Nom du personnage'!$AC$59&gt;=Magie!D46,1,)</f>
        <v>#N/A</v>
      </c>
      <c r="Z46">
        <f ca="1">IF(AND(A46='Nom du personnage'!$H$88,_xlfn.AGGREGATE(4,6,'Nom du personnage'!$C$91:$D$109)&gt;=Magie!D43),1,0)</f>
        <v>0</v>
      </c>
      <c r="AA46">
        <f ca="1">IF(AND(A46='Nom du personnage'!$V$88,_xlfn.AGGREGATE(4,6,'Nom du personnage'!$Q$91:$R$109)&gt;=Magie!D43),10,0)</f>
        <v>0</v>
      </c>
      <c r="AB46" t="e">
        <f t="shared" ca="1" si="2"/>
        <v>#N/A</v>
      </c>
      <c r="AC46" t="e">
        <f t="shared" ca="1" si="3"/>
        <v>#N/A</v>
      </c>
      <c r="AD46" t="e">
        <f>IF(VLOOKUP('Nom du personnage'!$U$51,Données!$P$3:$R$30,3,FALSE)=1,VLOOKUP(AC46,B46:C225,2,FALSE)+1,VLOOKUP(AC46,B46:C225,2,FALSE))</f>
        <v>#N/A</v>
      </c>
      <c r="AE46" t="e">
        <f t="shared" ca="1" si="4"/>
        <v>#N/A</v>
      </c>
      <c r="AF46" t="e">
        <f t="shared" ca="1" si="5"/>
        <v>#N/A</v>
      </c>
      <c r="AG46" t="e">
        <f>IF(VLOOKUP('Nom du personnage'!$U$51,Données!$P$3:$R$30,3,FALSE)=1,VLOOKUP(AF46,B46:C225,2,FALSE)+1,VLOOKUP(AF46,B46:C225,2,FALSE))</f>
        <v>#N/A</v>
      </c>
      <c r="AH46" t="e">
        <f t="shared" ca="1" si="6"/>
        <v>#N/A</v>
      </c>
    </row>
    <row r="47" spans="1:34">
      <c r="A47" s="2" t="s">
        <v>41</v>
      </c>
      <c r="B47" s="2" t="s">
        <v>371</v>
      </c>
      <c r="C47">
        <v>3</v>
      </c>
      <c r="D47">
        <v>5</v>
      </c>
      <c r="F47" s="2" t="s">
        <v>124</v>
      </c>
      <c r="G47" s="2" t="s">
        <v>37</v>
      </c>
      <c r="I47" s="3">
        <f t="shared" si="7"/>
        <v>0</v>
      </c>
      <c r="J47" cm="1">
        <f t="array" ref="J47:N47">'Nom du personnage'!$F$54:$J$54</f>
        <v>0</v>
      </c>
      <c r="K47">
        <v>0</v>
      </c>
      <c r="L47">
        <v>0</v>
      </c>
      <c r="M47">
        <v>0</v>
      </c>
      <c r="N47">
        <v>0</v>
      </c>
      <c r="O47" cm="1">
        <f t="array" ref="O47:W47">'Nom du personnage'!$H$88:$P$88</f>
        <v>0</v>
      </c>
      <c r="P47">
        <v>0</v>
      </c>
      <c r="Q47">
        <v>0</v>
      </c>
      <c r="R47">
        <v>0</v>
      </c>
      <c r="S47">
        <v>0</v>
      </c>
      <c r="T47">
        <v>0</v>
      </c>
      <c r="U47">
        <v>0</v>
      </c>
      <c r="V47">
        <v>0</v>
      </c>
      <c r="W47">
        <v>0</v>
      </c>
      <c r="X47" cm="1">
        <f t="array" ref="X47">IF(OR(A47='Nom du personnage'!$H$88:$O$88,'Nom du personnage'!$V$88:$AC$88=Magie!A47),1,)</f>
        <v>0</v>
      </c>
      <c r="Y47" t="e">
        <f ca="1">IF('Nom du personnage'!$AC$59&gt;=Magie!D47,1,)</f>
        <v>#N/A</v>
      </c>
      <c r="Z47">
        <f ca="1">IF(AND(A47='Nom du personnage'!$H$88,_xlfn.AGGREGATE(4,6,'Nom du personnage'!$C$91:$D$109)&gt;=Magie!D44),1,0)</f>
        <v>0</v>
      </c>
      <c r="AA47">
        <f ca="1">IF(AND(A47='Nom du personnage'!$V$88,_xlfn.AGGREGATE(4,6,'Nom du personnage'!$Q$91:$R$109)&gt;=Magie!D44),10,0)</f>
        <v>0</v>
      </c>
      <c r="AB47" t="e">
        <f t="shared" ca="1" si="2"/>
        <v>#N/A</v>
      </c>
      <c r="AC47" t="e">
        <f t="shared" ca="1" si="3"/>
        <v>#N/A</v>
      </c>
      <c r="AD47" t="e">
        <f>IF(VLOOKUP('Nom du personnage'!$U$51,Données!$P$3:$R$30,3,FALSE)=1,VLOOKUP(AC47,B47:C226,2,FALSE)+1,VLOOKUP(AC47,B47:C226,2,FALSE))</f>
        <v>#N/A</v>
      </c>
      <c r="AE47" t="e">
        <f t="shared" ca="1" si="4"/>
        <v>#N/A</v>
      </c>
      <c r="AF47" t="e">
        <f t="shared" ca="1" si="5"/>
        <v>#N/A</v>
      </c>
      <c r="AG47" t="e">
        <f>IF(VLOOKUP('Nom du personnage'!$U$51,Données!$P$3:$R$30,3,FALSE)=1,VLOOKUP(AF47,B47:C226,2,FALSE)+1,VLOOKUP(AF47,B47:C226,2,FALSE))</f>
        <v>#N/A</v>
      </c>
      <c r="AH47" t="e">
        <f t="shared" ca="1" si="6"/>
        <v>#N/A</v>
      </c>
    </row>
    <row r="48" spans="1:34">
      <c r="A48" s="2" t="s">
        <v>41</v>
      </c>
      <c r="B48" s="2" t="s">
        <v>372</v>
      </c>
      <c r="C48">
        <v>3</v>
      </c>
      <c r="D48">
        <v>6</v>
      </c>
      <c r="F48" s="2" t="s">
        <v>124</v>
      </c>
      <c r="G48" s="2" t="s">
        <v>41</v>
      </c>
      <c r="I48" s="3">
        <f t="shared" si="7"/>
        <v>0</v>
      </c>
      <c r="J48" cm="1">
        <f t="array" ref="J48:N48">'Nom du personnage'!$F$54:$J$54</f>
        <v>0</v>
      </c>
      <c r="K48">
        <v>0</v>
      </c>
      <c r="L48">
        <v>0</v>
      </c>
      <c r="M48">
        <v>0</v>
      </c>
      <c r="N48">
        <v>0</v>
      </c>
      <c r="O48" cm="1">
        <f t="array" ref="O48:W48">'Nom du personnage'!$H$88:$P$88</f>
        <v>0</v>
      </c>
      <c r="P48">
        <v>0</v>
      </c>
      <c r="Q48">
        <v>0</v>
      </c>
      <c r="R48">
        <v>0</v>
      </c>
      <c r="S48">
        <v>0</v>
      </c>
      <c r="T48">
        <v>0</v>
      </c>
      <c r="U48">
        <v>0</v>
      </c>
      <c r="V48">
        <v>0</v>
      </c>
      <c r="W48">
        <v>0</v>
      </c>
      <c r="X48" cm="1">
        <f t="array" ref="X48">IF(OR(A48='Nom du personnage'!$H$88:$O$88,'Nom du personnage'!$V$88:$AC$88=Magie!A48),1,)</f>
        <v>0</v>
      </c>
      <c r="Y48" t="e">
        <f ca="1">IF('Nom du personnage'!$AC$59&gt;=Magie!D48,1,)</f>
        <v>#N/A</v>
      </c>
      <c r="Z48">
        <f ca="1">IF(AND(A48='Nom du personnage'!$H$88,_xlfn.AGGREGATE(4,6,'Nom du personnage'!$C$91:$D$109)&gt;=Magie!D45),1,0)</f>
        <v>0</v>
      </c>
      <c r="AA48">
        <f ca="1">IF(AND(A48='Nom du personnage'!$V$88,_xlfn.AGGREGATE(4,6,'Nom du personnage'!$Q$91:$R$109)&gt;=Magie!D45),10,0)</f>
        <v>0</v>
      </c>
      <c r="AB48" t="e">
        <f t="shared" ca="1" si="2"/>
        <v>#N/A</v>
      </c>
      <c r="AC48" t="e">
        <f t="shared" ca="1" si="3"/>
        <v>#N/A</v>
      </c>
      <c r="AD48" t="e">
        <f>IF(VLOOKUP('Nom du personnage'!$U$51,Données!$P$3:$R$30,3,FALSE)=1,VLOOKUP(AC48,B48:C227,2,FALSE)+1,VLOOKUP(AC48,B48:C227,2,FALSE))</f>
        <v>#N/A</v>
      </c>
      <c r="AE48" t="e">
        <f t="shared" ca="1" si="4"/>
        <v>#N/A</v>
      </c>
      <c r="AF48" t="e">
        <f t="shared" ca="1" si="5"/>
        <v>#N/A</v>
      </c>
      <c r="AG48" t="e">
        <f>IF(VLOOKUP('Nom du personnage'!$U$51,Données!$P$3:$R$30,3,FALSE)=1,VLOOKUP(AF48,B48:C227,2,FALSE)+1,VLOOKUP(AF48,B48:C227,2,FALSE))</f>
        <v>#N/A</v>
      </c>
      <c r="AH48" t="e">
        <f t="shared" ca="1" si="6"/>
        <v>#N/A</v>
      </c>
    </row>
    <row r="49" spans="1:34">
      <c r="A49" s="2" t="s">
        <v>41</v>
      </c>
      <c r="B49" s="2" t="s">
        <v>373</v>
      </c>
      <c r="C49">
        <v>3</v>
      </c>
      <c r="D49">
        <v>6</v>
      </c>
      <c r="F49" s="2" t="s">
        <v>124</v>
      </c>
      <c r="G49" s="2" t="s">
        <v>319</v>
      </c>
      <c r="I49" s="3">
        <f t="shared" si="7"/>
        <v>0</v>
      </c>
      <c r="J49" cm="1">
        <f t="array" ref="J49:N49">'Nom du personnage'!$F$54:$J$54</f>
        <v>0</v>
      </c>
      <c r="K49">
        <v>0</v>
      </c>
      <c r="L49">
        <v>0</v>
      </c>
      <c r="M49">
        <v>0</v>
      </c>
      <c r="N49">
        <v>0</v>
      </c>
      <c r="O49" cm="1">
        <f t="array" ref="O49:W49">'Nom du personnage'!$H$88:$P$88</f>
        <v>0</v>
      </c>
      <c r="P49">
        <v>0</v>
      </c>
      <c r="Q49">
        <v>0</v>
      </c>
      <c r="R49">
        <v>0</v>
      </c>
      <c r="S49">
        <v>0</v>
      </c>
      <c r="T49">
        <v>0</v>
      </c>
      <c r="U49">
        <v>0</v>
      </c>
      <c r="V49">
        <v>0</v>
      </c>
      <c r="W49">
        <v>0</v>
      </c>
      <c r="X49" cm="1">
        <f t="array" ref="X49">IF(OR(A49='Nom du personnage'!$H$88:$O$88,'Nom du personnage'!$V$88:$AC$88=Magie!A49),1,)</f>
        <v>0</v>
      </c>
      <c r="Y49" t="e">
        <f ca="1">IF('Nom du personnage'!$AC$59&gt;=Magie!D49,1,)</f>
        <v>#N/A</v>
      </c>
      <c r="Z49">
        <f ca="1">IF(AND(A49='Nom du personnage'!$H$88,_xlfn.AGGREGATE(4,6,'Nom du personnage'!$C$91:$D$109)&gt;=Magie!D46),1,0)</f>
        <v>0</v>
      </c>
      <c r="AA49">
        <f ca="1">IF(AND(A49='Nom du personnage'!$V$88,_xlfn.AGGREGATE(4,6,'Nom du personnage'!$Q$91:$R$109)&gt;=Magie!D46),10,0)</f>
        <v>0</v>
      </c>
      <c r="AB49" t="e">
        <f t="shared" ca="1" si="2"/>
        <v>#N/A</v>
      </c>
      <c r="AC49" t="e">
        <f t="shared" ca="1" si="3"/>
        <v>#N/A</v>
      </c>
      <c r="AD49" t="e">
        <f>IF(VLOOKUP('Nom du personnage'!$U$51,Données!$P$3:$R$30,3,FALSE)=1,VLOOKUP(AC49,B49:C228,2,FALSE)+1,VLOOKUP(AC49,B49:C228,2,FALSE))</f>
        <v>#N/A</v>
      </c>
      <c r="AE49" t="e">
        <f t="shared" ca="1" si="4"/>
        <v>#N/A</v>
      </c>
      <c r="AF49" t="e">
        <f t="shared" ca="1" si="5"/>
        <v>#N/A</v>
      </c>
      <c r="AG49" t="e">
        <f>IF(VLOOKUP('Nom du personnage'!$U$51,Données!$P$3:$R$30,3,FALSE)=1,VLOOKUP(AF49,B49:C228,2,FALSE)+1,VLOOKUP(AF49,B49:C228,2,FALSE))</f>
        <v>#N/A</v>
      </c>
      <c r="AH49" t="e">
        <f t="shared" ca="1" si="6"/>
        <v>#N/A</v>
      </c>
    </row>
    <row r="50" spans="1:34">
      <c r="A50" s="2" t="s">
        <v>41</v>
      </c>
      <c r="B50" s="2" t="s">
        <v>374</v>
      </c>
      <c r="C50">
        <v>3</v>
      </c>
      <c r="D50">
        <v>6</v>
      </c>
      <c r="F50" s="2" t="s">
        <v>124</v>
      </c>
      <c r="G50" s="2" t="s">
        <v>320</v>
      </c>
      <c r="I50" s="3">
        <f t="shared" si="7"/>
        <v>0</v>
      </c>
      <c r="J50" cm="1">
        <f t="array" ref="J50:N50">'Nom du personnage'!$F$54:$J$54</f>
        <v>0</v>
      </c>
      <c r="K50">
        <v>0</v>
      </c>
      <c r="L50">
        <v>0</v>
      </c>
      <c r="M50">
        <v>0</v>
      </c>
      <c r="N50">
        <v>0</v>
      </c>
      <c r="O50" cm="1">
        <f t="array" ref="O50:W50">'Nom du personnage'!$H$88:$P$88</f>
        <v>0</v>
      </c>
      <c r="P50">
        <v>0</v>
      </c>
      <c r="Q50">
        <v>0</v>
      </c>
      <c r="R50">
        <v>0</v>
      </c>
      <c r="S50">
        <v>0</v>
      </c>
      <c r="T50">
        <v>0</v>
      </c>
      <c r="U50">
        <v>0</v>
      </c>
      <c r="V50">
        <v>0</v>
      </c>
      <c r="W50">
        <v>0</v>
      </c>
      <c r="X50" cm="1">
        <f t="array" ref="X50">IF(OR(A50='Nom du personnage'!$H$88:$O$88,'Nom du personnage'!$V$88:$AC$88=Magie!A50),1,)</f>
        <v>0</v>
      </c>
      <c r="Y50" t="e">
        <f ca="1">IF('Nom du personnage'!$AC$59&gt;=Magie!D50,1,)</f>
        <v>#N/A</v>
      </c>
      <c r="Z50">
        <f ca="1">IF(AND(A50='Nom du personnage'!$H$88,_xlfn.AGGREGATE(4,6,'Nom du personnage'!$C$91:$D$109)&gt;=Magie!D47),1,0)</f>
        <v>0</v>
      </c>
      <c r="AA50">
        <f ca="1">IF(AND(A50='Nom du personnage'!$V$88,_xlfn.AGGREGATE(4,6,'Nom du personnage'!$Q$91:$R$109)&gt;=Magie!D47),10,0)</f>
        <v>0</v>
      </c>
      <c r="AB50" t="e">
        <f t="shared" ca="1" si="2"/>
        <v>#N/A</v>
      </c>
      <c r="AC50" t="e">
        <f t="shared" ca="1" si="3"/>
        <v>#N/A</v>
      </c>
      <c r="AD50" t="e">
        <f>IF(VLOOKUP('Nom du personnage'!$U$51,Données!$P$3:$R$30,3,FALSE)=1,VLOOKUP(AC50,B50:C229,2,FALSE)+1,VLOOKUP(AC50,B50:C229,2,FALSE))</f>
        <v>#N/A</v>
      </c>
      <c r="AE50" t="e">
        <f t="shared" ca="1" si="4"/>
        <v>#N/A</v>
      </c>
      <c r="AF50" t="e">
        <f t="shared" ca="1" si="5"/>
        <v>#N/A</v>
      </c>
      <c r="AG50" t="e">
        <f>IF(VLOOKUP('Nom du personnage'!$U$51,Données!$P$3:$R$30,3,FALSE)=1,VLOOKUP(AF50,B50:C229,2,FALSE)+1,VLOOKUP(AF50,B50:C229,2,FALSE))</f>
        <v>#N/A</v>
      </c>
      <c r="AH50" t="e">
        <f t="shared" ca="1" si="6"/>
        <v>#N/A</v>
      </c>
    </row>
    <row r="51" spans="1:34">
      <c r="A51" s="2" t="s">
        <v>41</v>
      </c>
      <c r="B51" s="2" t="s">
        <v>375</v>
      </c>
      <c r="C51">
        <v>4</v>
      </c>
      <c r="D51">
        <v>7</v>
      </c>
      <c r="F51" s="2" t="s">
        <v>124</v>
      </c>
      <c r="G51" s="2" t="s">
        <v>323</v>
      </c>
      <c r="I51" s="3">
        <f t="shared" si="7"/>
        <v>0</v>
      </c>
      <c r="J51" cm="1">
        <f t="array" ref="J51:N51">'Nom du personnage'!$F$54:$J$54</f>
        <v>0</v>
      </c>
      <c r="K51">
        <v>0</v>
      </c>
      <c r="L51">
        <v>0</v>
      </c>
      <c r="M51">
        <v>0</v>
      </c>
      <c r="N51">
        <v>0</v>
      </c>
      <c r="O51" cm="1">
        <f t="array" ref="O51:W51">'Nom du personnage'!$H$88:$P$88</f>
        <v>0</v>
      </c>
      <c r="P51">
        <v>0</v>
      </c>
      <c r="Q51">
        <v>0</v>
      </c>
      <c r="R51">
        <v>0</v>
      </c>
      <c r="S51">
        <v>0</v>
      </c>
      <c r="T51">
        <v>0</v>
      </c>
      <c r="U51">
        <v>0</v>
      </c>
      <c r="V51">
        <v>0</v>
      </c>
      <c r="W51">
        <v>0</v>
      </c>
      <c r="X51" cm="1">
        <f t="array" ref="X51">IF(OR(A51='Nom du personnage'!$H$88:$O$88,'Nom du personnage'!$V$88:$AC$88=Magie!A51),1,)</f>
        <v>0</v>
      </c>
      <c r="Y51" t="e">
        <f ca="1">IF('Nom du personnage'!$AC$59&gt;=Magie!D51,1,)</f>
        <v>#N/A</v>
      </c>
      <c r="Z51">
        <f ca="1">IF(AND(A51='Nom du personnage'!$H$88,_xlfn.AGGREGATE(4,6,'Nom du personnage'!$C$91:$D$109)&gt;=Magie!D48),1,0)</f>
        <v>0</v>
      </c>
      <c r="AA51">
        <f ca="1">IF(AND(A51='Nom du personnage'!$V$88,_xlfn.AGGREGATE(4,6,'Nom du personnage'!$Q$91:$R$109)&gt;=Magie!D48),10,0)</f>
        <v>0</v>
      </c>
      <c r="AB51" t="e">
        <f t="shared" ca="1" si="2"/>
        <v>#N/A</v>
      </c>
      <c r="AC51" t="e">
        <f t="shared" ca="1" si="3"/>
        <v>#N/A</v>
      </c>
      <c r="AD51" t="e">
        <f>IF(VLOOKUP('Nom du personnage'!$U$51,Données!$P$3:$R$30,3,FALSE)=1,VLOOKUP(AC51,B51:C230,2,FALSE)+1,VLOOKUP(AC51,B51:C230,2,FALSE))</f>
        <v>#N/A</v>
      </c>
      <c r="AE51" t="e">
        <f t="shared" ca="1" si="4"/>
        <v>#N/A</v>
      </c>
      <c r="AF51" t="e">
        <f t="shared" ca="1" si="5"/>
        <v>#N/A</v>
      </c>
      <c r="AG51" t="e">
        <f>IF(VLOOKUP('Nom du personnage'!$U$51,Données!$P$3:$R$30,3,FALSE)=1,VLOOKUP(AF51,B51:C230,2,FALSE)+1,VLOOKUP(AF51,B51:C230,2,FALSE))</f>
        <v>#N/A</v>
      </c>
      <c r="AH51" t="e">
        <f t="shared" ca="1" si="6"/>
        <v>#N/A</v>
      </c>
    </row>
    <row r="52" spans="1:34">
      <c r="A52" s="2" t="s">
        <v>41</v>
      </c>
      <c r="B52" s="2" t="s">
        <v>376</v>
      </c>
      <c r="C52">
        <v>4</v>
      </c>
      <c r="D52">
        <v>7</v>
      </c>
      <c r="F52" s="2" t="s">
        <v>124</v>
      </c>
      <c r="G52" s="2" t="s">
        <v>326</v>
      </c>
      <c r="I52" s="3">
        <f t="shared" si="7"/>
        <v>0</v>
      </c>
      <c r="J52" cm="1">
        <f t="array" ref="J52:N52">'Nom du personnage'!$F$54:$J$54</f>
        <v>0</v>
      </c>
      <c r="K52">
        <v>0</v>
      </c>
      <c r="L52">
        <v>0</v>
      </c>
      <c r="M52">
        <v>0</v>
      </c>
      <c r="N52">
        <v>0</v>
      </c>
      <c r="O52" cm="1">
        <f t="array" ref="O52:W52">'Nom du personnage'!$H$88:$P$88</f>
        <v>0</v>
      </c>
      <c r="P52">
        <v>0</v>
      </c>
      <c r="Q52">
        <v>0</v>
      </c>
      <c r="R52">
        <v>0</v>
      </c>
      <c r="S52">
        <v>0</v>
      </c>
      <c r="T52">
        <v>0</v>
      </c>
      <c r="U52">
        <v>0</v>
      </c>
      <c r="V52">
        <v>0</v>
      </c>
      <c r="W52">
        <v>0</v>
      </c>
      <c r="X52" cm="1">
        <f t="array" ref="X52">IF(OR(A52='Nom du personnage'!$H$88:$O$88,'Nom du personnage'!$V$88:$AC$88=Magie!A52),1,)</f>
        <v>0</v>
      </c>
      <c r="Y52" t="e">
        <f ca="1">IF('Nom du personnage'!$AC$59&gt;=Magie!D52,1,)</f>
        <v>#N/A</v>
      </c>
      <c r="Z52">
        <f ca="1">IF(AND(A52='Nom du personnage'!$H$88,_xlfn.AGGREGATE(4,6,'Nom du personnage'!$C$91:$D$109)&gt;=Magie!D49),1,0)</f>
        <v>0</v>
      </c>
      <c r="AA52">
        <f ca="1">IF(AND(A52='Nom du personnage'!$V$88,_xlfn.AGGREGATE(4,6,'Nom du personnage'!$Q$91:$R$109)&gt;=Magie!D49),10,0)</f>
        <v>0</v>
      </c>
      <c r="AB52" t="e">
        <f t="shared" ca="1" si="2"/>
        <v>#N/A</v>
      </c>
      <c r="AC52" t="e">
        <f t="shared" ca="1" si="3"/>
        <v>#N/A</v>
      </c>
      <c r="AD52" t="e">
        <f>IF(VLOOKUP('Nom du personnage'!$U$51,Données!$P$3:$R$30,3,FALSE)=1,VLOOKUP(AC52,B52:C231,2,FALSE)+1,VLOOKUP(AC52,B52:C231,2,FALSE))</f>
        <v>#N/A</v>
      </c>
      <c r="AE52" t="e">
        <f t="shared" ca="1" si="4"/>
        <v>#N/A</v>
      </c>
      <c r="AF52" t="e">
        <f t="shared" ca="1" si="5"/>
        <v>#N/A</v>
      </c>
      <c r="AG52" t="e">
        <f>IF(VLOOKUP('Nom du personnage'!$U$51,Données!$P$3:$R$30,3,FALSE)=1,VLOOKUP(AF52,B52:C231,2,FALSE)+1,VLOOKUP(AF52,B52:C231,2,FALSE))</f>
        <v>#N/A</v>
      </c>
      <c r="AH52" t="e">
        <f t="shared" ca="1" si="6"/>
        <v>#N/A</v>
      </c>
    </row>
    <row r="53" spans="1:34">
      <c r="A53" s="2" t="s">
        <v>41</v>
      </c>
      <c r="B53" s="2" t="s">
        <v>377</v>
      </c>
      <c r="C53">
        <v>4</v>
      </c>
      <c r="D53">
        <v>7</v>
      </c>
      <c r="F53" s="2" t="s">
        <v>219</v>
      </c>
      <c r="G53" s="2" t="s">
        <v>325</v>
      </c>
      <c r="I53" s="3">
        <f t="shared" si="7"/>
        <v>0</v>
      </c>
      <c r="J53" cm="1">
        <f t="array" ref="J53:N53">'Nom du personnage'!$F$54:$J$54</f>
        <v>0</v>
      </c>
      <c r="K53">
        <v>0</v>
      </c>
      <c r="L53">
        <v>0</v>
      </c>
      <c r="M53">
        <v>0</v>
      </c>
      <c r="N53">
        <v>0</v>
      </c>
      <c r="O53" cm="1">
        <f t="array" ref="O53:W53">'Nom du personnage'!$H$88:$P$88</f>
        <v>0</v>
      </c>
      <c r="P53">
        <v>0</v>
      </c>
      <c r="Q53">
        <v>0</v>
      </c>
      <c r="R53">
        <v>0</v>
      </c>
      <c r="S53">
        <v>0</v>
      </c>
      <c r="T53">
        <v>0</v>
      </c>
      <c r="U53">
        <v>0</v>
      </c>
      <c r="V53">
        <v>0</v>
      </c>
      <c r="W53">
        <v>0</v>
      </c>
      <c r="X53" cm="1">
        <f t="array" ref="X53">IF(OR(A53='Nom du personnage'!$H$88:$O$88,'Nom du personnage'!$V$88:$AC$88=Magie!A53),1,)</f>
        <v>0</v>
      </c>
      <c r="Y53" t="e">
        <f ca="1">IF('Nom du personnage'!$AC$59&gt;=Magie!D53,1,)</f>
        <v>#N/A</v>
      </c>
      <c r="Z53">
        <f ca="1">IF(AND(A53='Nom du personnage'!$H$88,_xlfn.AGGREGATE(4,6,'Nom du personnage'!$C$91:$D$109)&gt;=Magie!D50),1,0)</f>
        <v>0</v>
      </c>
      <c r="AA53">
        <f ca="1">IF(AND(A53='Nom du personnage'!$V$88,_xlfn.AGGREGATE(4,6,'Nom du personnage'!$Q$91:$R$109)&gt;=Magie!D50),10,0)</f>
        <v>0</v>
      </c>
      <c r="AB53" t="e">
        <f t="shared" ca="1" si="2"/>
        <v>#N/A</v>
      </c>
      <c r="AC53" t="e">
        <f t="shared" ca="1" si="3"/>
        <v>#N/A</v>
      </c>
      <c r="AD53" t="e">
        <f>IF(VLOOKUP('Nom du personnage'!$U$51,Données!$P$3:$R$30,3,FALSE)=1,VLOOKUP(AC53,B53:C232,2,FALSE)+1,VLOOKUP(AC53,B53:C232,2,FALSE))</f>
        <v>#N/A</v>
      </c>
      <c r="AE53" t="e">
        <f t="shared" ca="1" si="4"/>
        <v>#N/A</v>
      </c>
      <c r="AF53" t="e">
        <f t="shared" ca="1" si="5"/>
        <v>#N/A</v>
      </c>
      <c r="AG53" t="e">
        <f>IF(VLOOKUP('Nom du personnage'!$U$51,Données!$P$3:$R$30,3,FALSE)=1,VLOOKUP(AF53,B53:C232,2,FALSE)+1,VLOOKUP(AF53,B53:C232,2,FALSE))</f>
        <v>#N/A</v>
      </c>
      <c r="AH53" t="e">
        <f t="shared" ca="1" si="6"/>
        <v>#N/A</v>
      </c>
    </row>
    <row r="54" spans="1:34">
      <c r="A54" s="2" t="s">
        <v>41</v>
      </c>
      <c r="B54" s="2" t="s">
        <v>378</v>
      </c>
      <c r="C54">
        <v>4</v>
      </c>
      <c r="D54">
        <v>8</v>
      </c>
      <c r="F54" s="2" t="s">
        <v>219</v>
      </c>
      <c r="G54" s="2" t="s">
        <v>37</v>
      </c>
      <c r="I54" s="3">
        <f t="shared" si="7"/>
        <v>0</v>
      </c>
      <c r="J54" cm="1">
        <f t="array" ref="J54:N54">'Nom du personnage'!$F$54:$J$54</f>
        <v>0</v>
      </c>
      <c r="K54">
        <v>0</v>
      </c>
      <c r="L54">
        <v>0</v>
      </c>
      <c r="M54">
        <v>0</v>
      </c>
      <c r="N54">
        <v>0</v>
      </c>
      <c r="O54" cm="1">
        <f t="array" ref="O54:W54">'Nom du personnage'!$H$88:$P$88</f>
        <v>0</v>
      </c>
      <c r="P54">
        <v>0</v>
      </c>
      <c r="Q54">
        <v>0</v>
      </c>
      <c r="R54">
        <v>0</v>
      </c>
      <c r="S54">
        <v>0</v>
      </c>
      <c r="T54">
        <v>0</v>
      </c>
      <c r="U54">
        <v>0</v>
      </c>
      <c r="V54">
        <v>0</v>
      </c>
      <c r="W54">
        <v>0</v>
      </c>
      <c r="X54" cm="1">
        <f t="array" ref="X54">IF(OR(A54='Nom du personnage'!$H$88:$O$88,'Nom du personnage'!$V$88:$AC$88=Magie!A54),1,)</f>
        <v>0</v>
      </c>
      <c r="Y54" t="e">
        <f ca="1">IF('Nom du personnage'!$AC$59&gt;=Magie!D54,1,)</f>
        <v>#N/A</v>
      </c>
      <c r="Z54">
        <f ca="1">IF(AND(A54='Nom du personnage'!$H$88,_xlfn.AGGREGATE(4,6,'Nom du personnage'!$C$91:$D$109)&gt;=Magie!D51),1,0)</f>
        <v>0</v>
      </c>
      <c r="AA54">
        <f ca="1">IF(AND(A54='Nom du personnage'!$V$88,_xlfn.AGGREGATE(4,6,'Nom du personnage'!$Q$91:$R$109)&gt;=Magie!D51),10,0)</f>
        <v>0</v>
      </c>
      <c r="AB54" t="e">
        <f t="shared" ca="1" si="2"/>
        <v>#N/A</v>
      </c>
      <c r="AC54" t="e">
        <f t="shared" ca="1" si="3"/>
        <v>#N/A</v>
      </c>
      <c r="AD54" t="e">
        <f>IF(VLOOKUP('Nom du personnage'!$U$51,Données!$P$3:$R$30,3,FALSE)=1,VLOOKUP(AC54,B54:C233,2,FALSE)+1,VLOOKUP(AC54,B54:C233,2,FALSE))</f>
        <v>#N/A</v>
      </c>
      <c r="AE54" t="e">
        <f t="shared" ca="1" si="4"/>
        <v>#N/A</v>
      </c>
      <c r="AF54" t="e">
        <f t="shared" ca="1" si="5"/>
        <v>#N/A</v>
      </c>
      <c r="AG54" t="e">
        <f>IF(VLOOKUP('Nom du personnage'!$U$51,Données!$P$3:$R$30,3,FALSE)=1,VLOOKUP(AF54,B54:C233,2,FALSE)+1,VLOOKUP(AF54,B54:C233,2,FALSE))</f>
        <v>#N/A</v>
      </c>
      <c r="AH54" t="e">
        <f t="shared" ca="1" si="6"/>
        <v>#N/A</v>
      </c>
    </row>
    <row r="55" spans="1:34">
      <c r="A55" s="2" t="s">
        <v>41</v>
      </c>
      <c r="B55" s="2" t="s">
        <v>379</v>
      </c>
      <c r="C55">
        <v>4</v>
      </c>
      <c r="D55">
        <v>8</v>
      </c>
      <c r="F55" s="2" t="s">
        <v>219</v>
      </c>
      <c r="G55" s="2" t="s">
        <v>41</v>
      </c>
      <c r="I55" s="3">
        <f t="shared" si="7"/>
        <v>0</v>
      </c>
      <c r="J55" cm="1">
        <f t="array" ref="J55:N55">'Nom du personnage'!$F$54:$J$54</f>
        <v>0</v>
      </c>
      <c r="K55">
        <v>0</v>
      </c>
      <c r="L55">
        <v>0</v>
      </c>
      <c r="M55">
        <v>0</v>
      </c>
      <c r="N55">
        <v>0</v>
      </c>
      <c r="O55" cm="1">
        <f t="array" ref="O55:W55">'Nom du personnage'!$H$88:$P$88</f>
        <v>0</v>
      </c>
      <c r="P55">
        <v>0</v>
      </c>
      <c r="Q55">
        <v>0</v>
      </c>
      <c r="R55">
        <v>0</v>
      </c>
      <c r="S55">
        <v>0</v>
      </c>
      <c r="T55">
        <v>0</v>
      </c>
      <c r="U55">
        <v>0</v>
      </c>
      <c r="V55">
        <v>0</v>
      </c>
      <c r="W55">
        <v>0</v>
      </c>
      <c r="X55" cm="1">
        <f t="array" ref="X55">IF(OR(A55='Nom du personnage'!$H$88:$O$88,'Nom du personnage'!$V$88:$AC$88=Magie!A55),1,)</f>
        <v>0</v>
      </c>
      <c r="Y55" t="e">
        <f ca="1">IF('Nom du personnage'!$AC$59&gt;=Magie!D55,1,)</f>
        <v>#N/A</v>
      </c>
      <c r="Z55">
        <f ca="1">IF(AND(A55='Nom du personnage'!$H$88,_xlfn.AGGREGATE(4,6,'Nom du personnage'!$C$91:$D$109)&gt;=Magie!D52),1,0)</f>
        <v>0</v>
      </c>
      <c r="AA55">
        <f ca="1">IF(AND(A55='Nom du personnage'!$V$88,_xlfn.AGGREGATE(4,6,'Nom du personnage'!$Q$91:$R$109)&gt;=Magie!D52),10,0)</f>
        <v>0</v>
      </c>
      <c r="AB55" t="e">
        <f t="shared" ca="1" si="2"/>
        <v>#N/A</v>
      </c>
      <c r="AC55" t="e">
        <f t="shared" ca="1" si="3"/>
        <v>#N/A</v>
      </c>
      <c r="AD55" t="e">
        <f>IF(VLOOKUP('Nom du personnage'!$U$51,Données!$P$3:$R$30,3,FALSE)=1,VLOOKUP(AC55,B55:C234,2,FALSE)+1,VLOOKUP(AC55,B55:C234,2,FALSE))</f>
        <v>#N/A</v>
      </c>
      <c r="AE55" t="e">
        <f t="shared" ca="1" si="4"/>
        <v>#N/A</v>
      </c>
      <c r="AF55" t="e">
        <f t="shared" ca="1" si="5"/>
        <v>#N/A</v>
      </c>
      <c r="AG55" t="e">
        <f>IF(VLOOKUP('Nom du personnage'!$U$51,Données!$P$3:$R$30,3,FALSE)=1,VLOOKUP(AF55,B55:C234,2,FALSE)+1,VLOOKUP(AF55,B55:C234,2,FALSE))</f>
        <v>#N/A</v>
      </c>
      <c r="AH55" t="e">
        <f t="shared" ca="1" si="6"/>
        <v>#N/A</v>
      </c>
    </row>
    <row r="56" spans="1:34">
      <c r="A56" s="2" t="s">
        <v>41</v>
      </c>
      <c r="B56" s="2" t="s">
        <v>380</v>
      </c>
      <c r="C56">
        <v>4</v>
      </c>
      <c r="D56">
        <v>8</v>
      </c>
      <c r="F56" s="2" t="s">
        <v>219</v>
      </c>
      <c r="G56" s="2" t="s">
        <v>320</v>
      </c>
      <c r="I56" s="3">
        <f t="shared" si="7"/>
        <v>0</v>
      </c>
      <c r="J56" cm="1">
        <f t="array" ref="J56:N56">'Nom du personnage'!$F$54:$J$54</f>
        <v>0</v>
      </c>
      <c r="K56">
        <v>0</v>
      </c>
      <c r="L56">
        <v>0</v>
      </c>
      <c r="M56">
        <v>0</v>
      </c>
      <c r="N56">
        <v>0</v>
      </c>
      <c r="O56" cm="1">
        <f t="array" ref="O56:W56">'Nom du personnage'!$H$88:$P$88</f>
        <v>0</v>
      </c>
      <c r="P56">
        <v>0</v>
      </c>
      <c r="Q56">
        <v>0</v>
      </c>
      <c r="R56">
        <v>0</v>
      </c>
      <c r="S56">
        <v>0</v>
      </c>
      <c r="T56">
        <v>0</v>
      </c>
      <c r="U56">
        <v>0</v>
      </c>
      <c r="V56">
        <v>0</v>
      </c>
      <c r="W56">
        <v>0</v>
      </c>
      <c r="X56" cm="1">
        <f t="array" ref="X56">IF(OR(A56='Nom du personnage'!$H$88:$O$88,'Nom du personnage'!$V$88:$AC$88=Magie!A56),1,)</f>
        <v>0</v>
      </c>
      <c r="Y56" t="e">
        <f ca="1">IF('Nom du personnage'!$AC$59&gt;=Magie!D56,1,)</f>
        <v>#N/A</v>
      </c>
      <c r="Z56">
        <f ca="1">IF(AND(A56='Nom du personnage'!$H$88,_xlfn.AGGREGATE(4,6,'Nom du personnage'!$C$91:$D$109)&gt;=Magie!D53),1,0)</f>
        <v>0</v>
      </c>
      <c r="AA56">
        <f ca="1">IF(AND(A56='Nom du personnage'!$V$88,_xlfn.AGGREGATE(4,6,'Nom du personnage'!$Q$91:$R$109)&gt;=Magie!D53),10,0)</f>
        <v>0</v>
      </c>
      <c r="AB56" t="e">
        <f t="shared" ca="1" si="2"/>
        <v>#N/A</v>
      </c>
      <c r="AC56" t="e">
        <f t="shared" ca="1" si="3"/>
        <v>#N/A</v>
      </c>
      <c r="AD56" t="e">
        <f>IF(VLOOKUP('Nom du personnage'!$U$51,Données!$P$3:$R$30,3,FALSE)=1,VLOOKUP(AC56,B56:C235,2,FALSE)+1,VLOOKUP(AC56,B56:C235,2,FALSE))</f>
        <v>#N/A</v>
      </c>
      <c r="AE56" t="e">
        <f t="shared" ca="1" si="4"/>
        <v>#N/A</v>
      </c>
      <c r="AF56" t="e">
        <f t="shared" ca="1" si="5"/>
        <v>#N/A</v>
      </c>
      <c r="AG56" t="e">
        <f>IF(VLOOKUP('Nom du personnage'!$U$51,Données!$P$3:$R$30,3,FALSE)=1,VLOOKUP(AF56,B56:C235,2,FALSE)+1,VLOOKUP(AF56,B56:C235,2,FALSE))</f>
        <v>#N/A</v>
      </c>
      <c r="AH56" t="e">
        <f t="shared" ca="1" si="6"/>
        <v>#N/A</v>
      </c>
    </row>
    <row r="57" spans="1:34">
      <c r="A57" s="2" t="s">
        <v>41</v>
      </c>
      <c r="B57" s="2" t="s">
        <v>381</v>
      </c>
      <c r="C57">
        <v>4</v>
      </c>
      <c r="D57">
        <v>9</v>
      </c>
      <c r="F57" s="2" t="s">
        <v>220</v>
      </c>
      <c r="G57" s="2" t="s">
        <v>41</v>
      </c>
      <c r="I57" s="3">
        <f t="shared" si="7"/>
        <v>0</v>
      </c>
      <c r="J57" cm="1">
        <f t="array" ref="J57:N57">'Nom du personnage'!$F$54:$J$54</f>
        <v>0</v>
      </c>
      <c r="K57">
        <v>0</v>
      </c>
      <c r="L57">
        <v>0</v>
      </c>
      <c r="M57">
        <v>0</v>
      </c>
      <c r="N57">
        <v>0</v>
      </c>
      <c r="O57" cm="1">
        <f t="array" ref="O57:W57">'Nom du personnage'!$H$88:$P$88</f>
        <v>0</v>
      </c>
      <c r="P57">
        <v>0</v>
      </c>
      <c r="Q57">
        <v>0</v>
      </c>
      <c r="R57">
        <v>0</v>
      </c>
      <c r="S57">
        <v>0</v>
      </c>
      <c r="T57">
        <v>0</v>
      </c>
      <c r="U57">
        <v>0</v>
      </c>
      <c r="V57">
        <v>0</v>
      </c>
      <c r="W57">
        <v>0</v>
      </c>
      <c r="X57" cm="1">
        <f t="array" ref="X57">IF(OR(A57='Nom du personnage'!$H$88:$O$88,'Nom du personnage'!$V$88:$AC$88=Magie!A57),1,)</f>
        <v>0</v>
      </c>
      <c r="Y57" t="e">
        <f ca="1">IF('Nom du personnage'!$AC$59&gt;=Magie!D57,1,)</f>
        <v>#N/A</v>
      </c>
      <c r="Z57">
        <f ca="1">IF(AND(A57='Nom du personnage'!$H$88,_xlfn.AGGREGATE(4,6,'Nom du personnage'!$C$91:$D$109)&gt;=Magie!D54),1,0)</f>
        <v>0</v>
      </c>
      <c r="AA57">
        <f ca="1">IF(AND(A57='Nom du personnage'!$V$88,_xlfn.AGGREGATE(4,6,'Nom du personnage'!$Q$91:$R$109)&gt;=Magie!D54),10,0)</f>
        <v>0</v>
      </c>
      <c r="AB57" t="e">
        <f t="shared" ca="1" si="2"/>
        <v>#N/A</v>
      </c>
      <c r="AC57" t="e">
        <f t="shared" ca="1" si="3"/>
        <v>#N/A</v>
      </c>
      <c r="AD57" t="e">
        <f>IF(VLOOKUP('Nom du personnage'!$U$51,Données!$P$3:$R$30,3,FALSE)=1,VLOOKUP(AC57,B57:C236,2,FALSE)+1,VLOOKUP(AC57,B57:C236,2,FALSE))</f>
        <v>#N/A</v>
      </c>
      <c r="AE57" t="e">
        <f t="shared" ca="1" si="4"/>
        <v>#N/A</v>
      </c>
      <c r="AF57" t="e">
        <f t="shared" ca="1" si="5"/>
        <v>#N/A</v>
      </c>
      <c r="AG57" t="e">
        <f>IF(VLOOKUP('Nom du personnage'!$U$51,Données!$P$3:$R$30,3,FALSE)=1,VLOOKUP(AF57,B57:C236,2,FALSE)+1,VLOOKUP(AF57,B57:C236,2,FALSE))</f>
        <v>#N/A</v>
      </c>
      <c r="AH57" t="e">
        <f t="shared" ca="1" si="6"/>
        <v>#N/A</v>
      </c>
    </row>
    <row r="58" spans="1:34">
      <c r="A58" s="2" t="s">
        <v>41</v>
      </c>
      <c r="B58" s="2" t="s">
        <v>382</v>
      </c>
      <c r="C58">
        <v>4</v>
      </c>
      <c r="D58">
        <v>9</v>
      </c>
      <c r="F58" s="2" t="s">
        <v>220</v>
      </c>
      <c r="G58" s="2" t="s">
        <v>53</v>
      </c>
      <c r="I58" s="3">
        <f t="shared" si="7"/>
        <v>0</v>
      </c>
      <c r="J58" cm="1">
        <f t="array" ref="J58:N58">'Nom du personnage'!$F$54:$J$54</f>
        <v>0</v>
      </c>
      <c r="K58">
        <v>0</v>
      </c>
      <c r="L58">
        <v>0</v>
      </c>
      <c r="M58">
        <v>0</v>
      </c>
      <c r="N58">
        <v>0</v>
      </c>
      <c r="O58" cm="1">
        <f t="array" ref="O58:W58">'Nom du personnage'!$H$88:$P$88</f>
        <v>0</v>
      </c>
      <c r="P58">
        <v>0</v>
      </c>
      <c r="Q58">
        <v>0</v>
      </c>
      <c r="R58">
        <v>0</v>
      </c>
      <c r="S58">
        <v>0</v>
      </c>
      <c r="T58">
        <v>0</v>
      </c>
      <c r="U58">
        <v>0</v>
      </c>
      <c r="V58">
        <v>0</v>
      </c>
      <c r="W58">
        <v>0</v>
      </c>
      <c r="X58" cm="1">
        <f t="array" ref="X58">IF(OR(A58='Nom du personnage'!$H$88:$O$88,'Nom du personnage'!$V$88:$AC$88=Magie!A58),1,)</f>
        <v>0</v>
      </c>
      <c r="Y58" t="e">
        <f ca="1">IF('Nom du personnage'!$AC$59&gt;=Magie!D58,1,)</f>
        <v>#N/A</v>
      </c>
      <c r="Z58">
        <f ca="1">IF(AND(A58='Nom du personnage'!$H$88,_xlfn.AGGREGATE(4,6,'Nom du personnage'!$C$91:$D$109)&gt;=Magie!D55),1,0)</f>
        <v>0</v>
      </c>
      <c r="AA58">
        <f ca="1">IF(AND(A58='Nom du personnage'!$V$88,_xlfn.AGGREGATE(4,6,'Nom du personnage'!$Q$91:$R$109)&gt;=Magie!D55),10,0)</f>
        <v>0</v>
      </c>
      <c r="AB58" t="e">
        <f t="shared" ca="1" si="2"/>
        <v>#N/A</v>
      </c>
      <c r="AC58" t="e">
        <f t="shared" ca="1" si="3"/>
        <v>#N/A</v>
      </c>
      <c r="AD58" t="e">
        <f>IF(VLOOKUP('Nom du personnage'!$U$51,Données!$P$3:$R$30,3,FALSE)=1,VLOOKUP(AC58,B58:C237,2,FALSE)+1,VLOOKUP(AC58,B58:C237,2,FALSE))</f>
        <v>#N/A</v>
      </c>
      <c r="AE58" t="e">
        <f t="shared" ca="1" si="4"/>
        <v>#N/A</v>
      </c>
      <c r="AF58" t="e">
        <f t="shared" ca="1" si="5"/>
        <v>#N/A</v>
      </c>
      <c r="AG58" t="e">
        <f>IF(VLOOKUP('Nom du personnage'!$U$51,Données!$P$3:$R$30,3,FALSE)=1,VLOOKUP(AF58,B58:C237,2,FALSE)+1,VLOOKUP(AF58,B58:C237,2,FALSE))</f>
        <v>#N/A</v>
      </c>
      <c r="AH58" t="e">
        <f t="shared" ca="1" si="6"/>
        <v>#N/A</v>
      </c>
    </row>
    <row r="59" spans="1:34">
      <c r="A59" s="2" t="s">
        <v>41</v>
      </c>
      <c r="B59" s="2" t="s">
        <v>383</v>
      </c>
      <c r="C59">
        <v>4</v>
      </c>
      <c r="D59">
        <v>9</v>
      </c>
      <c r="F59" s="2" t="s">
        <v>224</v>
      </c>
      <c r="G59" s="2" t="s">
        <v>319</v>
      </c>
      <c r="I59" s="3">
        <f t="shared" si="7"/>
        <v>0</v>
      </c>
      <c r="J59" cm="1">
        <f t="array" ref="J59:N59">'Nom du personnage'!$F$54:$J$54</f>
        <v>0</v>
      </c>
      <c r="K59">
        <v>0</v>
      </c>
      <c r="L59">
        <v>0</v>
      </c>
      <c r="M59">
        <v>0</v>
      </c>
      <c r="N59">
        <v>0</v>
      </c>
      <c r="O59" cm="1">
        <f t="array" ref="O59:W59">'Nom du personnage'!$H$88:$P$88</f>
        <v>0</v>
      </c>
      <c r="P59">
        <v>0</v>
      </c>
      <c r="Q59">
        <v>0</v>
      </c>
      <c r="R59">
        <v>0</v>
      </c>
      <c r="S59">
        <v>0</v>
      </c>
      <c r="T59">
        <v>0</v>
      </c>
      <c r="U59">
        <v>0</v>
      </c>
      <c r="V59">
        <v>0</v>
      </c>
      <c r="W59">
        <v>0</v>
      </c>
      <c r="X59" cm="1">
        <f t="array" ref="X59">IF(OR(A59='Nom du personnage'!$H$88:$O$88,'Nom du personnage'!$V$88:$AC$88=Magie!A59),1,)</f>
        <v>0</v>
      </c>
      <c r="Y59" t="e">
        <f ca="1">IF('Nom du personnage'!$AC$59&gt;=Magie!D59,1,)</f>
        <v>#N/A</v>
      </c>
      <c r="Z59">
        <f ca="1">IF(AND(A59='Nom du personnage'!$H$88,_xlfn.AGGREGATE(4,6,'Nom du personnage'!$C$91:$D$109)&gt;=Magie!D56),1,0)</f>
        <v>0</v>
      </c>
      <c r="AA59">
        <f ca="1">IF(AND(A59='Nom du personnage'!$V$88,_xlfn.AGGREGATE(4,6,'Nom du personnage'!$Q$91:$R$109)&gt;=Magie!D56),10,0)</f>
        <v>0</v>
      </c>
      <c r="AB59" t="e">
        <f t="shared" ca="1" si="2"/>
        <v>#N/A</v>
      </c>
      <c r="AC59" t="e">
        <f t="shared" ca="1" si="3"/>
        <v>#N/A</v>
      </c>
      <c r="AD59" t="e">
        <f>IF(VLOOKUP('Nom du personnage'!$U$51,Données!$P$3:$R$30,3,FALSE)=1,VLOOKUP(AC59,B59:C238,2,FALSE)+1,VLOOKUP(AC59,B59:C238,2,FALSE))</f>
        <v>#N/A</v>
      </c>
      <c r="AE59" t="e">
        <f t="shared" ca="1" si="4"/>
        <v>#N/A</v>
      </c>
      <c r="AF59" t="e">
        <f t="shared" ca="1" si="5"/>
        <v>#N/A</v>
      </c>
      <c r="AG59" t="e">
        <f>IF(VLOOKUP('Nom du personnage'!$U$51,Données!$P$3:$R$30,3,FALSE)=1,VLOOKUP(AF59,B59:C238,2,FALSE)+1,VLOOKUP(AF59,B59:C238,2,FALSE))</f>
        <v>#N/A</v>
      </c>
      <c r="AH59" t="e">
        <f t="shared" ca="1" si="6"/>
        <v>#N/A</v>
      </c>
    </row>
    <row r="60" spans="1:34">
      <c r="A60" s="2" t="s">
        <v>41</v>
      </c>
      <c r="B60" s="2" t="s">
        <v>355</v>
      </c>
      <c r="C60">
        <v>5</v>
      </c>
      <c r="D60">
        <v>10</v>
      </c>
      <c r="F60" s="2" t="s">
        <v>224</v>
      </c>
      <c r="G60" s="2" t="s">
        <v>320</v>
      </c>
      <c r="I60" s="3">
        <f t="shared" si="7"/>
        <v>0</v>
      </c>
      <c r="J60" cm="1">
        <f t="array" ref="J60:N60">'Nom du personnage'!$F$54:$J$54</f>
        <v>0</v>
      </c>
      <c r="K60">
        <v>0</v>
      </c>
      <c r="L60">
        <v>0</v>
      </c>
      <c r="M60">
        <v>0</v>
      </c>
      <c r="N60">
        <v>0</v>
      </c>
      <c r="O60" cm="1">
        <f t="array" ref="O60:W60">'Nom du personnage'!$H$88:$P$88</f>
        <v>0</v>
      </c>
      <c r="P60">
        <v>0</v>
      </c>
      <c r="Q60">
        <v>0</v>
      </c>
      <c r="R60">
        <v>0</v>
      </c>
      <c r="S60">
        <v>0</v>
      </c>
      <c r="T60">
        <v>0</v>
      </c>
      <c r="U60">
        <v>0</v>
      </c>
      <c r="V60">
        <v>0</v>
      </c>
      <c r="W60">
        <v>0</v>
      </c>
      <c r="X60" cm="1">
        <f t="array" ref="X60">IF(OR(A60='Nom du personnage'!$H$88:$O$88,'Nom du personnage'!$V$88:$AC$88=Magie!A60),1,)</f>
        <v>0</v>
      </c>
      <c r="Y60" t="e">
        <f ca="1">IF('Nom du personnage'!$AC$59&gt;=Magie!D60,1,)</f>
        <v>#N/A</v>
      </c>
      <c r="Z60">
        <f ca="1">IF(AND(A60='Nom du personnage'!$H$88,_xlfn.AGGREGATE(4,6,'Nom du personnage'!$C$91:$D$109)&gt;=Magie!D57),1,0)</f>
        <v>0</v>
      </c>
      <c r="AA60">
        <f ca="1">IF(AND(A60='Nom du personnage'!$V$88,_xlfn.AGGREGATE(4,6,'Nom du personnage'!$Q$91:$R$109)&gt;=Magie!D57),10,0)</f>
        <v>0</v>
      </c>
      <c r="AB60" t="e">
        <f t="shared" ca="1" si="2"/>
        <v>#N/A</v>
      </c>
      <c r="AC60" t="e">
        <f t="shared" ca="1" si="3"/>
        <v>#N/A</v>
      </c>
      <c r="AD60" t="e">
        <f>IF(VLOOKUP('Nom du personnage'!$U$51,Données!$P$3:$R$30,3,FALSE)=1,VLOOKUP(AC60,B60:C239,2,FALSE)+1,VLOOKUP(AC60,B60:C239,2,FALSE))</f>
        <v>#N/A</v>
      </c>
      <c r="AE60" t="e">
        <f t="shared" ca="1" si="4"/>
        <v>#N/A</v>
      </c>
      <c r="AF60" t="e">
        <f t="shared" ca="1" si="5"/>
        <v>#N/A</v>
      </c>
      <c r="AG60" t="e">
        <f>IF(VLOOKUP('Nom du personnage'!$U$51,Données!$P$3:$R$30,3,FALSE)=1,VLOOKUP(AF60,B60:C239,2,FALSE)+1,VLOOKUP(AF60,B60:C239,2,FALSE))</f>
        <v>#N/A</v>
      </c>
      <c r="AH60" t="e">
        <f t="shared" ca="1" si="6"/>
        <v>#N/A</v>
      </c>
    </row>
    <row r="61" spans="1:34">
      <c r="A61" s="2" t="s">
        <v>41</v>
      </c>
      <c r="B61" s="2" t="s">
        <v>384</v>
      </c>
      <c r="C61">
        <v>5</v>
      </c>
      <c r="D61">
        <v>10</v>
      </c>
      <c r="F61" s="2" t="s">
        <v>224</v>
      </c>
      <c r="G61" s="2" t="s">
        <v>57</v>
      </c>
      <c r="I61" s="3">
        <f t="shared" si="7"/>
        <v>0</v>
      </c>
      <c r="J61" cm="1">
        <f t="array" ref="J61:N61">'Nom du personnage'!$F$54:$J$54</f>
        <v>0</v>
      </c>
      <c r="K61">
        <v>0</v>
      </c>
      <c r="L61">
        <v>0</v>
      </c>
      <c r="M61">
        <v>0</v>
      </c>
      <c r="N61">
        <v>0</v>
      </c>
      <c r="O61" cm="1">
        <f t="array" ref="O61:W61">'Nom du personnage'!$H$88:$P$88</f>
        <v>0</v>
      </c>
      <c r="P61">
        <v>0</v>
      </c>
      <c r="Q61">
        <v>0</v>
      </c>
      <c r="R61">
        <v>0</v>
      </c>
      <c r="S61">
        <v>0</v>
      </c>
      <c r="T61">
        <v>0</v>
      </c>
      <c r="U61">
        <v>0</v>
      </c>
      <c r="V61">
        <v>0</v>
      </c>
      <c r="W61">
        <v>0</v>
      </c>
      <c r="X61" cm="1">
        <f t="array" ref="X61">IF(OR(A61='Nom du personnage'!$H$88:$O$88,'Nom du personnage'!$V$88:$AC$88=Magie!A61),1,)</f>
        <v>0</v>
      </c>
      <c r="Y61" t="e">
        <f ca="1">IF('Nom du personnage'!$AC$59&gt;=Magie!D61,1,)</f>
        <v>#N/A</v>
      </c>
      <c r="Z61">
        <f ca="1">IF(AND(A61='Nom du personnage'!$H$88,_xlfn.AGGREGATE(4,6,'Nom du personnage'!$C$91:$D$109)&gt;=Magie!D58),1,0)</f>
        <v>0</v>
      </c>
      <c r="AA61">
        <f ca="1">IF(AND(A61='Nom du personnage'!$V$88,_xlfn.AGGREGATE(4,6,'Nom du personnage'!$Q$91:$R$109)&gt;=Magie!D58),10,0)</f>
        <v>0</v>
      </c>
      <c r="AB61" t="e">
        <f t="shared" ca="1" si="2"/>
        <v>#N/A</v>
      </c>
      <c r="AC61" t="e">
        <f t="shared" ca="1" si="3"/>
        <v>#N/A</v>
      </c>
      <c r="AD61" t="e">
        <f>IF(VLOOKUP('Nom du personnage'!$U$51,Données!$P$3:$R$30,3,FALSE)=1,VLOOKUP(AC61,B61:C240,2,FALSE)+1,VLOOKUP(AC61,B61:C240,2,FALSE))</f>
        <v>#N/A</v>
      </c>
      <c r="AE61" t="e">
        <f t="shared" ca="1" si="4"/>
        <v>#N/A</v>
      </c>
      <c r="AF61" t="e">
        <f t="shared" ca="1" si="5"/>
        <v>#N/A</v>
      </c>
      <c r="AG61" t="e">
        <f>IF(VLOOKUP('Nom du personnage'!$U$51,Données!$P$3:$R$30,3,FALSE)=1,VLOOKUP(AF61,B61:C240,2,FALSE)+1,VLOOKUP(AF61,B61:C240,2,FALSE))</f>
        <v>#N/A</v>
      </c>
      <c r="AH61" t="e">
        <f t="shared" ca="1" si="6"/>
        <v>#N/A</v>
      </c>
    </row>
    <row r="62" spans="1:34">
      <c r="A62" s="2" t="s">
        <v>41</v>
      </c>
      <c r="B62" s="2" t="s">
        <v>385</v>
      </c>
      <c r="C62">
        <v>5</v>
      </c>
      <c r="D62">
        <v>10</v>
      </c>
      <c r="F62" s="2" t="s">
        <v>224</v>
      </c>
      <c r="G62" s="2" t="s">
        <v>323</v>
      </c>
      <c r="I62" s="3">
        <f t="shared" si="7"/>
        <v>0</v>
      </c>
      <c r="J62" cm="1">
        <f t="array" ref="J62:N62">'Nom du personnage'!$F$54:$J$54</f>
        <v>0</v>
      </c>
      <c r="K62">
        <v>0</v>
      </c>
      <c r="L62">
        <v>0</v>
      </c>
      <c r="M62">
        <v>0</v>
      </c>
      <c r="N62">
        <v>0</v>
      </c>
      <c r="O62" cm="1">
        <f t="array" ref="O62:W62">'Nom du personnage'!$H$88:$P$88</f>
        <v>0</v>
      </c>
      <c r="P62">
        <v>0</v>
      </c>
      <c r="Q62">
        <v>0</v>
      </c>
      <c r="R62">
        <v>0</v>
      </c>
      <c r="S62">
        <v>0</v>
      </c>
      <c r="T62">
        <v>0</v>
      </c>
      <c r="U62">
        <v>0</v>
      </c>
      <c r="V62">
        <v>0</v>
      </c>
      <c r="W62">
        <v>0</v>
      </c>
      <c r="X62" cm="1">
        <f t="array" ref="X62">IF(OR(A62='Nom du personnage'!$H$88:$O$88,'Nom du personnage'!$V$88:$AC$88=Magie!A62),1,)</f>
        <v>0</v>
      </c>
      <c r="Y62" t="e">
        <f ca="1">IF('Nom du personnage'!$AC$59&gt;=Magie!D62,1,)</f>
        <v>#N/A</v>
      </c>
      <c r="Z62">
        <f ca="1">IF(AND(A62='Nom du personnage'!$H$88,_xlfn.AGGREGATE(4,6,'Nom du personnage'!$C$91:$D$109)&gt;=Magie!D59),1,0)</f>
        <v>0</v>
      </c>
      <c r="AA62">
        <f ca="1">IF(AND(A62='Nom du personnage'!$V$88,_xlfn.AGGREGATE(4,6,'Nom du personnage'!$Q$91:$R$109)&gt;=Magie!D59),10,0)</f>
        <v>0</v>
      </c>
      <c r="AB62" t="e">
        <f t="shared" ca="1" si="2"/>
        <v>#N/A</v>
      </c>
      <c r="AC62" t="e">
        <f t="shared" ca="1" si="3"/>
        <v>#N/A</v>
      </c>
      <c r="AD62" t="e">
        <f>IF(VLOOKUP('Nom du personnage'!$U$51,Données!$P$3:$R$30,3,FALSE)=1,VLOOKUP(AC62,B62:C241,2,FALSE)+1,VLOOKUP(AC62,B62:C241,2,FALSE))</f>
        <v>#N/A</v>
      </c>
      <c r="AE62" t="e">
        <f t="shared" ca="1" si="4"/>
        <v>#N/A</v>
      </c>
      <c r="AF62" t="e">
        <f t="shared" ca="1" si="5"/>
        <v>#N/A</v>
      </c>
      <c r="AG62" t="e">
        <f>IF(VLOOKUP('Nom du personnage'!$U$51,Données!$P$3:$R$30,3,FALSE)=1,VLOOKUP(AF62,B62:C241,2,FALSE)+1,VLOOKUP(AF62,B62:C241,2,FALSE))</f>
        <v>#N/A</v>
      </c>
      <c r="AH62" t="e">
        <f t="shared" ca="1" si="6"/>
        <v>#N/A</v>
      </c>
    </row>
    <row r="63" spans="1:34">
      <c r="A63" s="2" t="s">
        <v>319</v>
      </c>
      <c r="B63" s="2" t="s">
        <v>386</v>
      </c>
      <c r="C63">
        <v>2</v>
      </c>
      <c r="D63">
        <v>1</v>
      </c>
      <c r="F63" s="2" t="s">
        <v>102</v>
      </c>
      <c r="G63" s="2" t="s">
        <v>37</v>
      </c>
      <c r="I63" s="3">
        <f t="shared" si="7"/>
        <v>0</v>
      </c>
      <c r="J63" cm="1">
        <f t="array" ref="J63:N63">'Nom du personnage'!$F$54:$J$54</f>
        <v>0</v>
      </c>
      <c r="K63">
        <v>0</v>
      </c>
      <c r="L63">
        <v>0</v>
      </c>
      <c r="M63">
        <v>0</v>
      </c>
      <c r="N63">
        <v>0</v>
      </c>
      <c r="O63" cm="1">
        <f t="array" ref="O63:W63">'Nom du personnage'!$H$88:$P$88</f>
        <v>0</v>
      </c>
      <c r="P63">
        <v>0</v>
      </c>
      <c r="Q63">
        <v>0</v>
      </c>
      <c r="R63">
        <v>0</v>
      </c>
      <c r="S63">
        <v>0</v>
      </c>
      <c r="T63">
        <v>0</v>
      </c>
      <c r="U63">
        <v>0</v>
      </c>
      <c r="V63">
        <v>0</v>
      </c>
      <c r="W63">
        <v>0</v>
      </c>
      <c r="X63" cm="1">
        <f t="array" ref="X63">IF(OR(A63='Nom du personnage'!$H$88:$O$88,'Nom du personnage'!$V$88:$AC$88=Magie!A63),1,)</f>
        <v>0</v>
      </c>
      <c r="Y63" t="e">
        <f ca="1">IF('Nom du personnage'!$AC$59&gt;=Magie!D63,1,)</f>
        <v>#N/A</v>
      </c>
      <c r="Z63">
        <f t="shared" ref="Z63:Z65" si="8">IF(D63=1,1,0)</f>
        <v>1</v>
      </c>
      <c r="AA63">
        <f>IF(A63='Nom du personnage'!$V$88,10,0)</f>
        <v>0</v>
      </c>
      <c r="AB63" t="e">
        <f t="shared" ca="1" si="2"/>
        <v>#N/A</v>
      </c>
      <c r="AC63" t="e">
        <f t="shared" ca="1" si="3"/>
        <v>#N/A</v>
      </c>
      <c r="AD63" t="e">
        <f>IF(VLOOKUP('Nom du personnage'!$U$51,Données!$P$3:$R$30,3,FALSE)=1,VLOOKUP(AC63,B63:C242,2,FALSE)+1,VLOOKUP(AC63,B63:C242,2,FALSE))</f>
        <v>#N/A</v>
      </c>
      <c r="AE63" t="e">
        <f t="shared" ca="1" si="4"/>
        <v>#N/A</v>
      </c>
      <c r="AF63" t="e">
        <f t="shared" ca="1" si="5"/>
        <v>#N/A</v>
      </c>
      <c r="AG63" t="e">
        <f>IF(VLOOKUP('Nom du personnage'!$U$51,Données!$P$3:$R$30,3,FALSE)=1,VLOOKUP(AF63,B63:C242,2,FALSE)+1,VLOOKUP(AF63,B63:C242,2,FALSE))</f>
        <v>#N/A</v>
      </c>
      <c r="AH63" t="e">
        <f t="shared" ca="1" si="6"/>
        <v>#N/A</v>
      </c>
    </row>
    <row r="64" spans="1:34">
      <c r="A64" s="2" t="s">
        <v>319</v>
      </c>
      <c r="B64" s="2" t="s">
        <v>416</v>
      </c>
      <c r="C64">
        <v>2</v>
      </c>
      <c r="D64">
        <v>1</v>
      </c>
      <c r="F64" s="2" t="s">
        <v>102</v>
      </c>
      <c r="G64" s="2" t="s">
        <v>57</v>
      </c>
      <c r="I64" s="3">
        <f t="shared" si="7"/>
        <v>0</v>
      </c>
      <c r="J64" cm="1">
        <f t="array" ref="J64:N64">'Nom du personnage'!$F$54:$J$54</f>
        <v>0</v>
      </c>
      <c r="K64">
        <v>0</v>
      </c>
      <c r="L64">
        <v>0</v>
      </c>
      <c r="M64">
        <v>0</v>
      </c>
      <c r="N64">
        <v>0</v>
      </c>
      <c r="O64" cm="1">
        <f t="array" ref="O64:W64">'Nom du personnage'!$H$88:$P$88</f>
        <v>0</v>
      </c>
      <c r="P64">
        <v>0</v>
      </c>
      <c r="Q64">
        <v>0</v>
      </c>
      <c r="R64">
        <v>0</v>
      </c>
      <c r="S64">
        <v>0</v>
      </c>
      <c r="T64">
        <v>0</v>
      </c>
      <c r="U64">
        <v>0</v>
      </c>
      <c r="V64">
        <v>0</v>
      </c>
      <c r="W64">
        <v>0</v>
      </c>
      <c r="X64" cm="1">
        <f t="array" ref="X64">IF(OR(A64='Nom du personnage'!$H$88:$O$88,'Nom du personnage'!$V$88:$AC$88=Magie!A64),1,)</f>
        <v>0</v>
      </c>
      <c r="Y64" t="e">
        <f ca="1">IF('Nom du personnage'!$AC$59&gt;=Magie!D64,1,)</f>
        <v>#N/A</v>
      </c>
      <c r="Z64">
        <f t="shared" si="8"/>
        <v>1</v>
      </c>
      <c r="AA64">
        <f>IF(A64='Nom du personnage'!$V$88,10,0)</f>
        <v>0</v>
      </c>
      <c r="AB64" t="e">
        <f t="shared" ca="1" si="2"/>
        <v>#N/A</v>
      </c>
      <c r="AC64" t="e">
        <f t="shared" ca="1" si="3"/>
        <v>#N/A</v>
      </c>
      <c r="AD64" t="e">
        <f>IF(VLOOKUP('Nom du personnage'!$U$51,Données!$P$3:$R$30,3,FALSE)=1,VLOOKUP(AC64,B64:C243,2,FALSE)+1,VLOOKUP(AC64,B64:C243,2,FALSE))</f>
        <v>#N/A</v>
      </c>
      <c r="AE64" t="e">
        <f t="shared" ca="1" si="4"/>
        <v>#N/A</v>
      </c>
      <c r="AF64" t="e">
        <f t="shared" ca="1" si="5"/>
        <v>#N/A</v>
      </c>
      <c r="AG64" t="e">
        <f>IF(VLOOKUP('Nom du personnage'!$U$51,Données!$P$3:$R$30,3,FALSE)=1,VLOOKUP(AF64,B64:C243,2,FALSE)+1,VLOOKUP(AF64,B64:C243,2,FALSE))</f>
        <v>#N/A</v>
      </c>
      <c r="AH64" t="e">
        <f t="shared" ca="1" si="6"/>
        <v>#N/A</v>
      </c>
    </row>
    <row r="65" spans="1:34">
      <c r="A65" s="2" t="s">
        <v>319</v>
      </c>
      <c r="B65" s="2" t="s">
        <v>417</v>
      </c>
      <c r="C65">
        <v>2</v>
      </c>
      <c r="D65">
        <v>1</v>
      </c>
      <c r="F65" s="2" t="s">
        <v>89</v>
      </c>
      <c r="G65" s="2" t="s">
        <v>37</v>
      </c>
      <c r="I65" s="3">
        <f t="shared" si="7"/>
        <v>0</v>
      </c>
      <c r="J65" cm="1">
        <f t="array" ref="J65:N65">'Nom du personnage'!$F$54:$J$54</f>
        <v>0</v>
      </c>
      <c r="K65">
        <v>0</v>
      </c>
      <c r="L65">
        <v>0</v>
      </c>
      <c r="M65">
        <v>0</v>
      </c>
      <c r="N65">
        <v>0</v>
      </c>
      <c r="O65" cm="1">
        <f t="array" ref="O65:W65">'Nom du personnage'!$H$88:$P$88</f>
        <v>0</v>
      </c>
      <c r="P65">
        <v>0</v>
      </c>
      <c r="Q65">
        <v>0</v>
      </c>
      <c r="R65">
        <v>0</v>
      </c>
      <c r="S65">
        <v>0</v>
      </c>
      <c r="T65">
        <v>0</v>
      </c>
      <c r="U65">
        <v>0</v>
      </c>
      <c r="V65">
        <v>0</v>
      </c>
      <c r="W65">
        <v>0</v>
      </c>
      <c r="X65" cm="1">
        <f t="array" ref="X65">IF(OR(A65='Nom du personnage'!$H$88:$O$88,'Nom du personnage'!$V$88:$AC$88=Magie!A65),1,)</f>
        <v>0</v>
      </c>
      <c r="Y65" t="e">
        <f ca="1">IF('Nom du personnage'!$AC$59&gt;=Magie!D65,1,)</f>
        <v>#N/A</v>
      </c>
      <c r="Z65">
        <f t="shared" si="8"/>
        <v>1</v>
      </c>
      <c r="AA65">
        <f>IF(A65='Nom du personnage'!$V$88,10,0)</f>
        <v>0</v>
      </c>
      <c r="AB65" t="e">
        <f t="shared" ca="1" si="2"/>
        <v>#N/A</v>
      </c>
      <c r="AC65" t="e">
        <f t="shared" ca="1" si="3"/>
        <v>#N/A</v>
      </c>
      <c r="AD65" t="e">
        <f>IF(VLOOKUP('Nom du personnage'!$U$51,Données!$P$3:$R$30,3,FALSE)=1,VLOOKUP(AC65,B65:C244,2,FALSE)+1,VLOOKUP(AC65,B65:C244,2,FALSE))</f>
        <v>#N/A</v>
      </c>
      <c r="AE65" t="e">
        <f t="shared" ca="1" si="4"/>
        <v>#N/A</v>
      </c>
      <c r="AF65" t="e">
        <f t="shared" ca="1" si="5"/>
        <v>#N/A</v>
      </c>
      <c r="AG65" t="e">
        <f>IF(VLOOKUP('Nom du personnage'!$U$51,Données!$P$3:$R$30,3,FALSE)=1,VLOOKUP(AF65,B65:C244,2,FALSE)+1,VLOOKUP(AF65,B65:C244,2,FALSE))</f>
        <v>#N/A</v>
      </c>
      <c r="AH65" t="e">
        <f t="shared" ca="1" si="6"/>
        <v>#N/A</v>
      </c>
    </row>
    <row r="66" spans="1:34">
      <c r="A66" s="2" t="s">
        <v>319</v>
      </c>
      <c r="B66" s="2" t="s">
        <v>418</v>
      </c>
      <c r="C66">
        <v>2</v>
      </c>
      <c r="D66">
        <v>2</v>
      </c>
      <c r="F66" s="2" t="s">
        <v>89</v>
      </c>
      <c r="G66" s="2" t="s">
        <v>320</v>
      </c>
      <c r="I66" s="3">
        <f t="shared" si="7"/>
        <v>0</v>
      </c>
      <c r="J66" cm="1">
        <f t="array" ref="J66:N66">'Nom du personnage'!$F$54:$J$54</f>
        <v>0</v>
      </c>
      <c r="K66">
        <v>0</v>
      </c>
      <c r="L66">
        <v>0</v>
      </c>
      <c r="M66">
        <v>0</v>
      </c>
      <c r="N66">
        <v>0</v>
      </c>
      <c r="O66" cm="1">
        <f t="array" ref="O66:W66">'Nom du personnage'!$H$88:$P$88</f>
        <v>0</v>
      </c>
      <c r="P66">
        <v>0</v>
      </c>
      <c r="Q66">
        <v>0</v>
      </c>
      <c r="R66">
        <v>0</v>
      </c>
      <c r="S66">
        <v>0</v>
      </c>
      <c r="T66">
        <v>0</v>
      </c>
      <c r="U66">
        <v>0</v>
      </c>
      <c r="V66">
        <v>0</v>
      </c>
      <c r="W66">
        <v>0</v>
      </c>
      <c r="X66" cm="1">
        <f t="array" ref="X66">IF(OR(A66='Nom du personnage'!$H$88:$O$88,'Nom du personnage'!$V$88:$AC$88=Magie!A66),1,)</f>
        <v>0</v>
      </c>
      <c r="Y66" t="e">
        <f ca="1">IF('Nom du personnage'!$AC$59&gt;=Magie!D66,1,)</f>
        <v>#N/A</v>
      </c>
      <c r="Z66">
        <f ca="1">IF(AND(A66='Nom du personnage'!$H$88,_xlfn.AGGREGATE(4,6,'Nom du personnage'!$C$91:$D$109)&gt;=Magie!D63),1,0)</f>
        <v>0</v>
      </c>
      <c r="AA66">
        <f ca="1">IF(AND(A66='Nom du personnage'!$V$88,_xlfn.AGGREGATE(4,6,'Nom du personnage'!$Q$91:$R$109)&gt;=Magie!D63),10,0)</f>
        <v>0</v>
      </c>
      <c r="AB66" t="e">
        <f t="shared" ca="1" si="2"/>
        <v>#N/A</v>
      </c>
      <c r="AC66" t="e">
        <f t="shared" ca="1" si="3"/>
        <v>#N/A</v>
      </c>
      <c r="AD66" t="e">
        <f>IF(VLOOKUP('Nom du personnage'!$U$51,Données!$P$3:$R$30,3,FALSE)=1,VLOOKUP(AC66,B66:C245,2,FALSE)+1,VLOOKUP(AC66,B66:C245,2,FALSE))</f>
        <v>#N/A</v>
      </c>
      <c r="AE66" t="e">
        <f t="shared" ca="1" si="4"/>
        <v>#N/A</v>
      </c>
      <c r="AF66" t="e">
        <f t="shared" ca="1" si="5"/>
        <v>#N/A</v>
      </c>
      <c r="AG66" t="e">
        <f>IF(VLOOKUP('Nom du personnage'!$U$51,Données!$P$3:$R$30,3,FALSE)=1,VLOOKUP(AF66,B66:C245,2,FALSE)+1,VLOOKUP(AF66,B66:C245,2,FALSE))</f>
        <v>#N/A</v>
      </c>
      <c r="AH66" t="e">
        <f t="shared" ca="1" si="6"/>
        <v>#N/A</v>
      </c>
    </row>
    <row r="67" spans="1:34">
      <c r="A67" s="2" t="s">
        <v>319</v>
      </c>
      <c r="B67" s="2" t="s">
        <v>419</v>
      </c>
      <c r="C67">
        <v>2</v>
      </c>
      <c r="D67">
        <v>2</v>
      </c>
      <c r="F67" s="2" t="s">
        <v>89</v>
      </c>
      <c r="G67" s="2" t="s">
        <v>53</v>
      </c>
      <c r="I67" s="3">
        <f t="shared" ref="I67:I98" si="9">IF(J67=F67,G67,)</f>
        <v>0</v>
      </c>
      <c r="J67" cm="1">
        <f t="array" ref="J67:N67">'Nom du personnage'!$F$54:$J$54</f>
        <v>0</v>
      </c>
      <c r="K67">
        <v>0</v>
      </c>
      <c r="L67">
        <v>0</v>
      </c>
      <c r="M67">
        <v>0</v>
      </c>
      <c r="N67">
        <v>0</v>
      </c>
      <c r="O67" cm="1">
        <f t="array" ref="O67:W67">'Nom du personnage'!$H$88:$P$88</f>
        <v>0</v>
      </c>
      <c r="P67">
        <v>0</v>
      </c>
      <c r="Q67">
        <v>0</v>
      </c>
      <c r="R67">
        <v>0</v>
      </c>
      <c r="S67">
        <v>0</v>
      </c>
      <c r="T67">
        <v>0</v>
      </c>
      <c r="U67">
        <v>0</v>
      </c>
      <c r="V67">
        <v>0</v>
      </c>
      <c r="W67">
        <v>0</v>
      </c>
      <c r="X67" cm="1">
        <f t="array" ref="X67">IF(OR(A67='Nom du personnage'!$H$88:$O$88,'Nom du personnage'!$V$88:$AC$88=Magie!A67),1,)</f>
        <v>0</v>
      </c>
      <c r="Y67" t="e">
        <f ca="1">IF('Nom du personnage'!$AC$59&gt;=Magie!D67,1,)</f>
        <v>#N/A</v>
      </c>
      <c r="Z67">
        <f ca="1">IF(AND(A67='Nom du personnage'!$H$88,_xlfn.AGGREGATE(4,6,'Nom du personnage'!$C$91:$D$109)&gt;=Magie!D64),1,0)</f>
        <v>0</v>
      </c>
      <c r="AA67">
        <f ca="1">IF(AND(A67='Nom du personnage'!$V$88,_xlfn.AGGREGATE(4,6,'Nom du personnage'!$Q$91:$R$109)&gt;=Magie!D64),10,0)</f>
        <v>0</v>
      </c>
      <c r="AB67" t="e">
        <f t="shared" ca="1" si="2"/>
        <v>#N/A</v>
      </c>
      <c r="AC67" t="e">
        <f t="shared" ca="1" si="3"/>
        <v>#N/A</v>
      </c>
      <c r="AD67" t="e">
        <f>IF(VLOOKUP('Nom du personnage'!$U$51,Données!$P$3:$R$30,3,FALSE)=1,VLOOKUP(AC67,B67:C246,2,FALSE)+1,VLOOKUP(AC67,B67:C246,2,FALSE))</f>
        <v>#N/A</v>
      </c>
      <c r="AE67" t="e">
        <f t="shared" ca="1" si="4"/>
        <v>#N/A</v>
      </c>
      <c r="AF67" t="e">
        <f t="shared" ca="1" si="5"/>
        <v>#N/A</v>
      </c>
      <c r="AG67" t="e">
        <f>IF(VLOOKUP('Nom du personnage'!$U$51,Données!$P$3:$R$30,3,FALSE)=1,VLOOKUP(AF67,B67:C246,2,FALSE)+1,VLOOKUP(AF67,B67:C246,2,FALSE))</f>
        <v>#N/A</v>
      </c>
      <c r="AH67" t="e">
        <f t="shared" ca="1" si="6"/>
        <v>#N/A</v>
      </c>
    </row>
    <row r="68" spans="1:34">
      <c r="A68" s="2" t="s">
        <v>319</v>
      </c>
      <c r="B68" s="2" t="s">
        <v>420</v>
      </c>
      <c r="C68">
        <v>2</v>
      </c>
      <c r="D68">
        <v>2</v>
      </c>
      <c r="F68" s="2" t="s">
        <v>89</v>
      </c>
      <c r="G68" s="2" t="s">
        <v>321</v>
      </c>
      <c r="I68" s="3">
        <f t="shared" si="9"/>
        <v>0</v>
      </c>
      <c r="J68" cm="1">
        <f t="array" ref="J68:N68">'Nom du personnage'!$F$54:$J$54</f>
        <v>0</v>
      </c>
      <c r="K68">
        <v>0</v>
      </c>
      <c r="L68">
        <v>0</v>
      </c>
      <c r="M68">
        <v>0</v>
      </c>
      <c r="N68">
        <v>0</v>
      </c>
      <c r="O68" cm="1">
        <f t="array" ref="O68:W68">'Nom du personnage'!$H$88:$P$88</f>
        <v>0</v>
      </c>
      <c r="P68">
        <v>0</v>
      </c>
      <c r="Q68">
        <v>0</v>
      </c>
      <c r="R68">
        <v>0</v>
      </c>
      <c r="S68">
        <v>0</v>
      </c>
      <c r="T68">
        <v>0</v>
      </c>
      <c r="U68">
        <v>0</v>
      </c>
      <c r="V68">
        <v>0</v>
      </c>
      <c r="W68">
        <v>0</v>
      </c>
      <c r="X68" cm="1">
        <f t="array" ref="X68">IF(OR(A68='Nom du personnage'!$H$88:$O$88,'Nom du personnage'!$V$88:$AC$88=Magie!A68),1,)</f>
        <v>0</v>
      </c>
      <c r="Y68" t="e">
        <f ca="1">IF('Nom du personnage'!$AC$59&gt;=Magie!D68,1,)</f>
        <v>#N/A</v>
      </c>
      <c r="Z68">
        <f ca="1">IF(AND(A68='Nom du personnage'!$H$88,_xlfn.AGGREGATE(4,6,'Nom du personnage'!$C$91:$D$109)&gt;=Magie!D65),1,0)</f>
        <v>0</v>
      </c>
      <c r="AA68">
        <f ca="1">IF(AND(A68='Nom du personnage'!$V$88,_xlfn.AGGREGATE(4,6,'Nom du personnage'!$Q$91:$R$109)&gt;=Magie!D65),10,0)</f>
        <v>0</v>
      </c>
      <c r="AB68" t="e">
        <f t="shared" ref="AB68:AB131" ca="1" si="10">+X68+Y68+Z68+AA68</f>
        <v>#N/A</v>
      </c>
      <c r="AC68" t="e">
        <f t="shared" ref="AC68:AC99" ca="1" si="11">IF(AB68=3,B68,)</f>
        <v>#N/A</v>
      </c>
      <c r="AD68" t="e">
        <f>IF(VLOOKUP('Nom du personnage'!$U$51,Données!$P$3:$R$30,3,FALSE)=1,VLOOKUP(AC68,B68:C247,2,FALSE)+1,VLOOKUP(AC68,B68:C247,2,FALSE))</f>
        <v>#N/A</v>
      </c>
      <c r="AE68" t="e">
        <f t="shared" ref="AE68:AE131" ca="1" si="12">VLOOKUP(AC68,B68:D307,3,FALSE)</f>
        <v>#N/A</v>
      </c>
      <c r="AF68" t="e">
        <f t="shared" ref="AF68:AF131" ca="1" si="13">IF(OR(AB68=13,AB68=12),B68,)</f>
        <v>#N/A</v>
      </c>
      <c r="AG68" t="e">
        <f>IF(VLOOKUP('Nom du personnage'!$U$51,Données!$P$3:$R$30,3,FALSE)=1,VLOOKUP(AF68,B68:C247,2,FALSE)+1,VLOOKUP(AF68,B68:C247,2,FALSE))</f>
        <v>#N/A</v>
      </c>
      <c r="AH68" t="e">
        <f t="shared" ref="AH68:AH131" ca="1" si="14">VLOOKUP(AF68,B68:D307,3,FALSE)</f>
        <v>#N/A</v>
      </c>
    </row>
    <row r="69" spans="1:34">
      <c r="A69" s="2" t="s">
        <v>319</v>
      </c>
      <c r="B69" s="2" t="s">
        <v>421</v>
      </c>
      <c r="C69">
        <v>2</v>
      </c>
      <c r="D69">
        <v>3</v>
      </c>
      <c r="F69" s="2" t="s">
        <v>89</v>
      </c>
      <c r="G69" s="2" t="s">
        <v>322</v>
      </c>
      <c r="I69" s="3">
        <f t="shared" si="9"/>
        <v>0</v>
      </c>
      <c r="J69" cm="1">
        <f t="array" ref="J69:N69">'Nom du personnage'!$F$54:$J$54</f>
        <v>0</v>
      </c>
      <c r="K69">
        <v>0</v>
      </c>
      <c r="L69">
        <v>0</v>
      </c>
      <c r="M69">
        <v>0</v>
      </c>
      <c r="N69">
        <v>0</v>
      </c>
      <c r="O69" cm="1">
        <f t="array" ref="O69:W69">'Nom du personnage'!$H$88:$P$88</f>
        <v>0</v>
      </c>
      <c r="P69">
        <v>0</v>
      </c>
      <c r="Q69">
        <v>0</v>
      </c>
      <c r="R69">
        <v>0</v>
      </c>
      <c r="S69">
        <v>0</v>
      </c>
      <c r="T69">
        <v>0</v>
      </c>
      <c r="U69">
        <v>0</v>
      </c>
      <c r="V69">
        <v>0</v>
      </c>
      <c r="W69">
        <v>0</v>
      </c>
      <c r="X69" cm="1">
        <f t="array" ref="X69">IF(OR(A69='Nom du personnage'!$H$88:$O$88,'Nom du personnage'!$V$88:$AC$88=Magie!A69),1,)</f>
        <v>0</v>
      </c>
      <c r="Y69" t="e">
        <f ca="1">IF('Nom du personnage'!$AC$59&gt;=Magie!D69,1,)</f>
        <v>#N/A</v>
      </c>
      <c r="Z69">
        <f ca="1">IF(AND(A69='Nom du personnage'!$H$88,_xlfn.AGGREGATE(4,6,'Nom du personnage'!$C$91:$D$109)&gt;=Magie!D66),1,0)</f>
        <v>0</v>
      </c>
      <c r="AA69">
        <f ca="1">IF(AND(A69='Nom du personnage'!$V$88,_xlfn.AGGREGATE(4,6,'Nom du personnage'!$Q$91:$R$109)&gt;=Magie!D66),10,0)</f>
        <v>0</v>
      </c>
      <c r="AB69" t="e">
        <f t="shared" ca="1" si="10"/>
        <v>#N/A</v>
      </c>
      <c r="AC69" t="e">
        <f t="shared" ca="1" si="11"/>
        <v>#N/A</v>
      </c>
      <c r="AD69" t="e">
        <f>IF(VLOOKUP('Nom du personnage'!$U$51,Données!$P$3:$R$30,3,FALSE)=1,VLOOKUP(AC69,B69:C248,2,FALSE)+1,VLOOKUP(AC69,B69:C248,2,FALSE))</f>
        <v>#N/A</v>
      </c>
      <c r="AE69" t="e">
        <f t="shared" ca="1" si="12"/>
        <v>#N/A</v>
      </c>
      <c r="AF69" t="e">
        <f t="shared" ca="1" si="13"/>
        <v>#N/A</v>
      </c>
      <c r="AG69" t="e">
        <f>IF(VLOOKUP('Nom du personnage'!$U$51,Données!$P$3:$R$30,3,FALSE)=1,VLOOKUP(AF69,B69:C248,2,FALSE)+1,VLOOKUP(AF69,B69:C248,2,FALSE))</f>
        <v>#N/A</v>
      </c>
      <c r="AH69" t="e">
        <f t="shared" ca="1" si="14"/>
        <v>#N/A</v>
      </c>
    </row>
    <row r="70" spans="1:34">
      <c r="A70" s="2" t="s">
        <v>319</v>
      </c>
      <c r="B70" s="2" t="s">
        <v>422</v>
      </c>
      <c r="C70">
        <v>2</v>
      </c>
      <c r="D70">
        <v>3</v>
      </c>
      <c r="F70" s="2" t="s">
        <v>52</v>
      </c>
      <c r="G70" s="2" t="s">
        <v>324</v>
      </c>
      <c r="I70" s="3">
        <f t="shared" si="9"/>
        <v>0</v>
      </c>
      <c r="J70" cm="1">
        <f t="array" ref="J70:N70">'Nom du personnage'!$F$54:$J$54</f>
        <v>0</v>
      </c>
      <c r="K70">
        <v>0</v>
      </c>
      <c r="L70">
        <v>0</v>
      </c>
      <c r="M70">
        <v>0</v>
      </c>
      <c r="N70">
        <v>0</v>
      </c>
      <c r="O70" cm="1">
        <f t="array" ref="O70:W70">'Nom du personnage'!$H$88:$P$88</f>
        <v>0</v>
      </c>
      <c r="P70">
        <v>0</v>
      </c>
      <c r="Q70">
        <v>0</v>
      </c>
      <c r="R70">
        <v>0</v>
      </c>
      <c r="S70">
        <v>0</v>
      </c>
      <c r="T70">
        <v>0</v>
      </c>
      <c r="U70">
        <v>0</v>
      </c>
      <c r="V70">
        <v>0</v>
      </c>
      <c r="W70">
        <v>0</v>
      </c>
      <c r="X70" cm="1">
        <f t="array" ref="X70">IF(OR(A70='Nom du personnage'!$H$88:$O$88,'Nom du personnage'!$V$88:$AC$88=Magie!A70),1,)</f>
        <v>0</v>
      </c>
      <c r="Y70" t="e">
        <f ca="1">IF('Nom du personnage'!$AC$59&gt;=Magie!D70,1,)</f>
        <v>#N/A</v>
      </c>
      <c r="Z70">
        <f ca="1">IF(AND(A70='Nom du personnage'!$H$88,_xlfn.AGGREGATE(4,6,'Nom du personnage'!$C$91:$D$109)&gt;=Magie!D67),1,0)</f>
        <v>0</v>
      </c>
      <c r="AA70">
        <f ca="1">IF(AND(A70='Nom du personnage'!$V$88,_xlfn.AGGREGATE(4,6,'Nom du personnage'!$Q$91:$R$109)&gt;=Magie!D67),10,0)</f>
        <v>0</v>
      </c>
      <c r="AB70" t="e">
        <f t="shared" ca="1" si="10"/>
        <v>#N/A</v>
      </c>
      <c r="AC70" t="e">
        <f t="shared" ca="1" si="11"/>
        <v>#N/A</v>
      </c>
      <c r="AD70" t="e">
        <f>IF(VLOOKUP('Nom du personnage'!$U$51,Données!$P$3:$R$30,3,FALSE)=1,VLOOKUP(AC70,B70:C249,2,FALSE)+1,VLOOKUP(AC70,B70:C249,2,FALSE))</f>
        <v>#N/A</v>
      </c>
      <c r="AE70" t="e">
        <f t="shared" ca="1" si="12"/>
        <v>#N/A</v>
      </c>
      <c r="AF70" t="e">
        <f t="shared" ca="1" si="13"/>
        <v>#N/A</v>
      </c>
      <c r="AG70" t="e">
        <f>IF(VLOOKUP('Nom du personnage'!$U$51,Données!$P$3:$R$30,3,FALSE)=1,VLOOKUP(AF70,B70:C249,2,FALSE)+1,VLOOKUP(AF70,B70:C249,2,FALSE))</f>
        <v>#N/A</v>
      </c>
      <c r="AH70" t="e">
        <f t="shared" ca="1" si="14"/>
        <v>#N/A</v>
      </c>
    </row>
    <row r="71" spans="1:34">
      <c r="A71" s="2" t="s">
        <v>319</v>
      </c>
      <c r="B71" s="2" t="s">
        <v>423</v>
      </c>
      <c r="C71">
        <v>2</v>
      </c>
      <c r="D71">
        <v>3</v>
      </c>
      <c r="F71" s="2" t="s">
        <v>52</v>
      </c>
      <c r="G71" s="2" t="s">
        <v>320</v>
      </c>
      <c r="I71" s="3">
        <f t="shared" si="9"/>
        <v>0</v>
      </c>
      <c r="J71" cm="1">
        <f t="array" ref="J71:N71">'Nom du personnage'!$F$54:$J$54</f>
        <v>0</v>
      </c>
      <c r="K71">
        <v>0</v>
      </c>
      <c r="L71">
        <v>0</v>
      </c>
      <c r="M71">
        <v>0</v>
      </c>
      <c r="N71">
        <v>0</v>
      </c>
      <c r="O71" cm="1">
        <f t="array" ref="O71:W71">'Nom du personnage'!$H$88:$P$88</f>
        <v>0</v>
      </c>
      <c r="P71">
        <v>0</v>
      </c>
      <c r="Q71">
        <v>0</v>
      </c>
      <c r="R71">
        <v>0</v>
      </c>
      <c r="S71">
        <v>0</v>
      </c>
      <c r="T71">
        <v>0</v>
      </c>
      <c r="U71">
        <v>0</v>
      </c>
      <c r="V71">
        <v>0</v>
      </c>
      <c r="W71">
        <v>0</v>
      </c>
      <c r="X71" cm="1">
        <f t="array" ref="X71">IF(OR(A71='Nom du personnage'!$H$88:$O$88,'Nom du personnage'!$V$88:$AC$88=Magie!A71),1,)</f>
        <v>0</v>
      </c>
      <c r="Y71" t="e">
        <f ca="1">IF('Nom du personnage'!$AC$59&gt;=Magie!D71,1,)</f>
        <v>#N/A</v>
      </c>
      <c r="Z71">
        <f ca="1">IF(AND(A71='Nom du personnage'!$H$88,_xlfn.AGGREGATE(4,6,'Nom du personnage'!$C$91:$D$109)&gt;=Magie!D68),1,0)</f>
        <v>0</v>
      </c>
      <c r="AA71">
        <f ca="1">IF(AND(A71='Nom du personnage'!$V$88,_xlfn.AGGREGATE(4,6,'Nom du personnage'!$Q$91:$R$109)&gt;=Magie!D68),10,0)</f>
        <v>0</v>
      </c>
      <c r="AB71" t="e">
        <f t="shared" ca="1" si="10"/>
        <v>#N/A</v>
      </c>
      <c r="AC71" t="e">
        <f t="shared" ca="1" si="11"/>
        <v>#N/A</v>
      </c>
      <c r="AD71" t="e">
        <f>IF(VLOOKUP('Nom du personnage'!$U$51,Données!$P$3:$R$30,3,FALSE)=1,VLOOKUP(AC71,B71:C250,2,FALSE)+1,VLOOKUP(AC71,B71:C250,2,FALSE))</f>
        <v>#N/A</v>
      </c>
      <c r="AE71" t="e">
        <f t="shared" ca="1" si="12"/>
        <v>#N/A</v>
      </c>
      <c r="AF71" t="e">
        <f t="shared" ca="1" si="13"/>
        <v>#N/A</v>
      </c>
      <c r="AG71" t="e">
        <f>IF(VLOOKUP('Nom du personnage'!$U$51,Données!$P$3:$R$30,3,FALSE)=1,VLOOKUP(AF71,B71:C250,2,FALSE)+1,VLOOKUP(AF71,B71:C250,2,FALSE))</f>
        <v>#N/A</v>
      </c>
      <c r="AH71" t="e">
        <f t="shared" ca="1" si="14"/>
        <v>#N/A</v>
      </c>
    </row>
    <row r="72" spans="1:34">
      <c r="A72" s="2" t="s">
        <v>319</v>
      </c>
      <c r="B72" s="2" t="s">
        <v>424</v>
      </c>
      <c r="C72">
        <v>3</v>
      </c>
      <c r="D72">
        <v>4</v>
      </c>
      <c r="F72" s="2" t="s">
        <v>52</v>
      </c>
      <c r="G72" s="2" t="s">
        <v>53</v>
      </c>
      <c r="I72" s="3">
        <f t="shared" si="9"/>
        <v>0</v>
      </c>
      <c r="J72" cm="1">
        <f t="array" ref="J72:N72">'Nom du personnage'!$F$54:$J$54</f>
        <v>0</v>
      </c>
      <c r="K72">
        <v>0</v>
      </c>
      <c r="L72">
        <v>0</v>
      </c>
      <c r="M72">
        <v>0</v>
      </c>
      <c r="N72">
        <v>0</v>
      </c>
      <c r="O72" cm="1">
        <f t="array" ref="O72:W72">'Nom du personnage'!$H$88:$P$88</f>
        <v>0</v>
      </c>
      <c r="P72">
        <v>0</v>
      </c>
      <c r="Q72">
        <v>0</v>
      </c>
      <c r="R72">
        <v>0</v>
      </c>
      <c r="S72">
        <v>0</v>
      </c>
      <c r="T72">
        <v>0</v>
      </c>
      <c r="U72">
        <v>0</v>
      </c>
      <c r="V72">
        <v>0</v>
      </c>
      <c r="W72">
        <v>0</v>
      </c>
      <c r="X72" cm="1">
        <f t="array" ref="X72">IF(OR(A72='Nom du personnage'!$H$88:$O$88,'Nom du personnage'!$V$88:$AC$88=Magie!A72),1,)</f>
        <v>0</v>
      </c>
      <c r="Y72" t="e">
        <f ca="1">IF('Nom du personnage'!$AC$59&gt;=Magie!D72,1,)</f>
        <v>#N/A</v>
      </c>
      <c r="Z72">
        <f ca="1">IF(AND(A72='Nom du personnage'!$H$88,_xlfn.AGGREGATE(4,6,'Nom du personnage'!$C$91:$D$109)&gt;=Magie!D69),1,0)</f>
        <v>0</v>
      </c>
      <c r="AA72">
        <f ca="1">IF(AND(A72='Nom du personnage'!$V$88,_xlfn.AGGREGATE(4,6,'Nom du personnage'!$Q$91:$R$109)&gt;=Magie!D69),10,0)</f>
        <v>0</v>
      </c>
      <c r="AB72" t="e">
        <f t="shared" ca="1" si="10"/>
        <v>#N/A</v>
      </c>
      <c r="AC72" t="e">
        <f t="shared" ca="1" si="11"/>
        <v>#N/A</v>
      </c>
      <c r="AD72" t="e">
        <f>IF(VLOOKUP('Nom du personnage'!$U$51,Données!$P$3:$R$30,3,FALSE)=1,VLOOKUP(AC72,B72:C251,2,FALSE)+1,VLOOKUP(AC72,B72:C251,2,FALSE))</f>
        <v>#N/A</v>
      </c>
      <c r="AE72" t="e">
        <f t="shared" ca="1" si="12"/>
        <v>#N/A</v>
      </c>
      <c r="AF72" t="e">
        <f t="shared" ca="1" si="13"/>
        <v>#N/A</v>
      </c>
      <c r="AG72" t="e">
        <f>IF(VLOOKUP('Nom du personnage'!$U$51,Données!$P$3:$R$30,3,FALSE)=1,VLOOKUP(AF72,B72:C251,2,FALSE)+1,VLOOKUP(AF72,B72:C251,2,FALSE))</f>
        <v>#N/A</v>
      </c>
      <c r="AH72" t="e">
        <f t="shared" ca="1" si="14"/>
        <v>#N/A</v>
      </c>
    </row>
    <row r="73" spans="1:34">
      <c r="A73" s="2" t="s">
        <v>319</v>
      </c>
      <c r="B73" s="2" t="s">
        <v>425</v>
      </c>
      <c r="C73">
        <v>3</v>
      </c>
      <c r="D73">
        <v>4</v>
      </c>
      <c r="F73" s="2" t="s">
        <v>52</v>
      </c>
      <c r="G73" s="2" t="s">
        <v>57</v>
      </c>
      <c r="I73" s="3">
        <f t="shared" si="9"/>
        <v>0</v>
      </c>
      <c r="J73" cm="1">
        <f t="array" ref="J73:N73">'Nom du personnage'!$F$54:$J$54</f>
        <v>0</v>
      </c>
      <c r="K73">
        <v>0</v>
      </c>
      <c r="L73">
        <v>0</v>
      </c>
      <c r="M73">
        <v>0</v>
      </c>
      <c r="N73">
        <v>0</v>
      </c>
      <c r="O73" cm="1">
        <f t="array" ref="O73:W73">'Nom du personnage'!$H$88:$P$88</f>
        <v>0</v>
      </c>
      <c r="P73">
        <v>0</v>
      </c>
      <c r="Q73">
        <v>0</v>
      </c>
      <c r="R73">
        <v>0</v>
      </c>
      <c r="S73">
        <v>0</v>
      </c>
      <c r="T73">
        <v>0</v>
      </c>
      <c r="U73">
        <v>0</v>
      </c>
      <c r="V73">
        <v>0</v>
      </c>
      <c r="W73">
        <v>0</v>
      </c>
      <c r="X73" cm="1">
        <f t="array" ref="X73">IF(OR(A73='Nom du personnage'!$H$88:$O$88,'Nom du personnage'!$V$88:$AC$88=Magie!A73),1,)</f>
        <v>0</v>
      </c>
      <c r="Y73" t="e">
        <f ca="1">IF('Nom du personnage'!$AC$59&gt;=Magie!D73,1,)</f>
        <v>#N/A</v>
      </c>
      <c r="Z73">
        <f ca="1">IF(AND(A73='Nom du personnage'!$H$88,_xlfn.AGGREGATE(4,6,'Nom du personnage'!$C$91:$D$109)&gt;=Magie!D70),1,0)</f>
        <v>0</v>
      </c>
      <c r="AA73">
        <f ca="1">IF(AND(A73='Nom du personnage'!$V$88,_xlfn.AGGREGATE(4,6,'Nom du personnage'!$Q$91:$R$109)&gt;=Magie!D70),10,0)</f>
        <v>0</v>
      </c>
      <c r="AB73" t="e">
        <f t="shared" ca="1" si="10"/>
        <v>#N/A</v>
      </c>
      <c r="AC73" t="e">
        <f t="shared" ca="1" si="11"/>
        <v>#N/A</v>
      </c>
      <c r="AD73" t="e">
        <f>IF(VLOOKUP('Nom du personnage'!$U$51,Données!$P$3:$R$30,3,FALSE)=1,VLOOKUP(AC73,B73:C252,2,FALSE)+1,VLOOKUP(AC73,B73:C252,2,FALSE))</f>
        <v>#N/A</v>
      </c>
      <c r="AE73" t="e">
        <f t="shared" ca="1" si="12"/>
        <v>#N/A</v>
      </c>
      <c r="AF73" t="e">
        <f t="shared" ca="1" si="13"/>
        <v>#N/A</v>
      </c>
      <c r="AG73" t="e">
        <f>IF(VLOOKUP('Nom du personnage'!$U$51,Données!$P$3:$R$30,3,FALSE)=1,VLOOKUP(AF73,B73:C252,2,FALSE)+1,VLOOKUP(AF73,B73:C252,2,FALSE))</f>
        <v>#N/A</v>
      </c>
      <c r="AH73" t="e">
        <f t="shared" ca="1" si="14"/>
        <v>#N/A</v>
      </c>
    </row>
    <row r="74" spans="1:34">
      <c r="A74" s="2" t="s">
        <v>319</v>
      </c>
      <c r="B74" s="2" t="s">
        <v>426</v>
      </c>
      <c r="C74">
        <v>3</v>
      </c>
      <c r="D74">
        <v>4</v>
      </c>
      <c r="F74" s="2" t="s">
        <v>52</v>
      </c>
      <c r="G74" s="2" t="s">
        <v>323</v>
      </c>
      <c r="I74" s="3">
        <f t="shared" si="9"/>
        <v>0</v>
      </c>
      <c r="J74" cm="1">
        <f t="array" ref="J74:N74">'Nom du personnage'!$F$54:$J$54</f>
        <v>0</v>
      </c>
      <c r="K74">
        <v>0</v>
      </c>
      <c r="L74">
        <v>0</v>
      </c>
      <c r="M74">
        <v>0</v>
      </c>
      <c r="N74">
        <v>0</v>
      </c>
      <c r="O74" cm="1">
        <f t="array" ref="O74:W74">'Nom du personnage'!$H$88:$P$88</f>
        <v>0</v>
      </c>
      <c r="P74">
        <v>0</v>
      </c>
      <c r="Q74">
        <v>0</v>
      </c>
      <c r="R74">
        <v>0</v>
      </c>
      <c r="S74">
        <v>0</v>
      </c>
      <c r="T74">
        <v>0</v>
      </c>
      <c r="U74">
        <v>0</v>
      </c>
      <c r="V74">
        <v>0</v>
      </c>
      <c r="W74">
        <v>0</v>
      </c>
      <c r="X74" cm="1">
        <f t="array" ref="X74">IF(OR(A74='Nom du personnage'!$H$88:$O$88,'Nom du personnage'!$V$88:$AC$88=Magie!A74),1,)</f>
        <v>0</v>
      </c>
      <c r="Y74" t="e">
        <f ca="1">IF('Nom du personnage'!$AC$59&gt;=Magie!D74,1,)</f>
        <v>#N/A</v>
      </c>
      <c r="Z74">
        <f ca="1">IF(AND(A74='Nom du personnage'!$H$88,_xlfn.AGGREGATE(4,6,'Nom du personnage'!$C$91:$D$109)&gt;=Magie!D71),1,0)</f>
        <v>0</v>
      </c>
      <c r="AA74">
        <f ca="1">IF(AND(A74='Nom du personnage'!$V$88,_xlfn.AGGREGATE(4,6,'Nom du personnage'!$Q$91:$R$109)&gt;=Magie!D71),10,0)</f>
        <v>0</v>
      </c>
      <c r="AB74" t="e">
        <f t="shared" ca="1" si="10"/>
        <v>#N/A</v>
      </c>
      <c r="AC74" t="e">
        <f t="shared" ca="1" si="11"/>
        <v>#N/A</v>
      </c>
      <c r="AD74" t="e">
        <f>IF(VLOOKUP('Nom du personnage'!$U$51,Données!$P$3:$R$30,3,FALSE)=1,VLOOKUP(AC74,B74:C253,2,FALSE)+1,VLOOKUP(AC74,B74:C253,2,FALSE))</f>
        <v>#N/A</v>
      </c>
      <c r="AE74" t="e">
        <f t="shared" ca="1" si="12"/>
        <v>#N/A</v>
      </c>
      <c r="AF74" t="e">
        <f t="shared" ca="1" si="13"/>
        <v>#N/A</v>
      </c>
      <c r="AG74" t="e">
        <f>IF(VLOOKUP('Nom du personnage'!$U$51,Données!$P$3:$R$30,3,FALSE)=1,VLOOKUP(AF74,B74:C253,2,FALSE)+1,VLOOKUP(AF74,B74:C253,2,FALSE))</f>
        <v>#N/A</v>
      </c>
      <c r="AH74" t="e">
        <f t="shared" ca="1" si="14"/>
        <v>#N/A</v>
      </c>
    </row>
    <row r="75" spans="1:34">
      <c r="A75" s="2" t="s">
        <v>319</v>
      </c>
      <c r="B75" s="2" t="s">
        <v>427</v>
      </c>
      <c r="C75">
        <v>3</v>
      </c>
      <c r="D75">
        <v>5</v>
      </c>
      <c r="F75" s="2" t="s">
        <v>56</v>
      </c>
      <c r="G75" s="2" t="s">
        <v>37</v>
      </c>
      <c r="I75" s="3">
        <f t="shared" si="9"/>
        <v>0</v>
      </c>
      <c r="J75" cm="1">
        <f t="array" ref="J75:N75">'Nom du personnage'!$F$54:$J$54</f>
        <v>0</v>
      </c>
      <c r="K75">
        <v>0</v>
      </c>
      <c r="L75">
        <v>0</v>
      </c>
      <c r="M75">
        <v>0</v>
      </c>
      <c r="N75">
        <v>0</v>
      </c>
      <c r="O75" cm="1">
        <f t="array" ref="O75:W75">'Nom du personnage'!$H$88:$P$88</f>
        <v>0</v>
      </c>
      <c r="P75">
        <v>0</v>
      </c>
      <c r="Q75">
        <v>0</v>
      </c>
      <c r="R75">
        <v>0</v>
      </c>
      <c r="S75">
        <v>0</v>
      </c>
      <c r="T75">
        <v>0</v>
      </c>
      <c r="U75">
        <v>0</v>
      </c>
      <c r="V75">
        <v>0</v>
      </c>
      <c r="W75">
        <v>0</v>
      </c>
      <c r="X75" cm="1">
        <f t="array" ref="X75">IF(OR(A75='Nom du personnage'!$H$88:$O$88,'Nom du personnage'!$V$88:$AC$88=Magie!A75),1,)</f>
        <v>0</v>
      </c>
      <c r="Y75" t="e">
        <f ca="1">IF('Nom du personnage'!$AC$59&gt;=Magie!D75,1,)</f>
        <v>#N/A</v>
      </c>
      <c r="Z75">
        <f ca="1">IF(AND(A75='Nom du personnage'!$H$88,_xlfn.AGGREGATE(4,6,'Nom du personnage'!$C$91:$D$109)&gt;=Magie!D72),1,0)</f>
        <v>0</v>
      </c>
      <c r="AA75">
        <f ca="1">IF(AND(A75='Nom du personnage'!$V$88,_xlfn.AGGREGATE(4,6,'Nom du personnage'!$Q$91:$R$109)&gt;=Magie!D72),10,0)</f>
        <v>0</v>
      </c>
      <c r="AB75" t="e">
        <f t="shared" ca="1" si="10"/>
        <v>#N/A</v>
      </c>
      <c r="AC75" t="e">
        <f t="shared" ca="1" si="11"/>
        <v>#N/A</v>
      </c>
      <c r="AD75" t="e">
        <f>IF(VLOOKUP('Nom du personnage'!$U$51,Données!$P$3:$R$30,3,FALSE)=1,VLOOKUP(AC75,B75:C254,2,FALSE)+1,VLOOKUP(AC75,B75:C254,2,FALSE))</f>
        <v>#N/A</v>
      </c>
      <c r="AE75" t="e">
        <f t="shared" ca="1" si="12"/>
        <v>#N/A</v>
      </c>
      <c r="AF75" t="e">
        <f t="shared" ca="1" si="13"/>
        <v>#N/A</v>
      </c>
      <c r="AG75" t="e">
        <f>IF(VLOOKUP('Nom du personnage'!$U$51,Données!$P$3:$R$30,3,FALSE)=1,VLOOKUP(AF75,B75:C254,2,FALSE)+1,VLOOKUP(AF75,B75:C254,2,FALSE))</f>
        <v>#N/A</v>
      </c>
      <c r="AH75" t="e">
        <f t="shared" ca="1" si="14"/>
        <v>#N/A</v>
      </c>
    </row>
    <row r="76" spans="1:34">
      <c r="A76" s="2" t="s">
        <v>319</v>
      </c>
      <c r="B76" s="2" t="s">
        <v>428</v>
      </c>
      <c r="C76">
        <v>3</v>
      </c>
      <c r="D76">
        <v>5</v>
      </c>
      <c r="F76" s="2" t="s">
        <v>56</v>
      </c>
      <c r="G76" s="2" t="s">
        <v>324</v>
      </c>
      <c r="I76" s="3">
        <f t="shared" si="9"/>
        <v>0</v>
      </c>
      <c r="J76" cm="1">
        <f t="array" ref="J76:N76">'Nom du personnage'!$F$54:$J$54</f>
        <v>0</v>
      </c>
      <c r="K76">
        <v>0</v>
      </c>
      <c r="L76">
        <v>0</v>
      </c>
      <c r="M76">
        <v>0</v>
      </c>
      <c r="N76">
        <v>0</v>
      </c>
      <c r="O76" cm="1">
        <f t="array" ref="O76:W76">'Nom du personnage'!$H$88:$P$88</f>
        <v>0</v>
      </c>
      <c r="P76">
        <v>0</v>
      </c>
      <c r="Q76">
        <v>0</v>
      </c>
      <c r="R76">
        <v>0</v>
      </c>
      <c r="S76">
        <v>0</v>
      </c>
      <c r="T76">
        <v>0</v>
      </c>
      <c r="U76">
        <v>0</v>
      </c>
      <c r="V76">
        <v>0</v>
      </c>
      <c r="W76">
        <v>0</v>
      </c>
      <c r="X76" cm="1">
        <f t="array" ref="X76">IF(OR(A76='Nom du personnage'!$H$88:$O$88,'Nom du personnage'!$V$88:$AC$88=Magie!A76),1,)</f>
        <v>0</v>
      </c>
      <c r="Y76" t="e">
        <f ca="1">IF('Nom du personnage'!$AC$59&gt;=Magie!D76,1,)</f>
        <v>#N/A</v>
      </c>
      <c r="Z76">
        <f ca="1">IF(AND(A76='Nom du personnage'!$H$88,_xlfn.AGGREGATE(4,6,'Nom du personnage'!$C$91:$D$109)&gt;=Magie!D73),1,0)</f>
        <v>0</v>
      </c>
      <c r="AA76">
        <f ca="1">IF(AND(A76='Nom du personnage'!$V$88,_xlfn.AGGREGATE(4,6,'Nom du personnage'!$Q$91:$R$109)&gt;=Magie!D73),10,0)</f>
        <v>0</v>
      </c>
      <c r="AB76" t="e">
        <f t="shared" ca="1" si="10"/>
        <v>#N/A</v>
      </c>
      <c r="AC76" t="e">
        <f t="shared" ca="1" si="11"/>
        <v>#N/A</v>
      </c>
      <c r="AD76" t="e">
        <f>IF(VLOOKUP('Nom du personnage'!$U$51,Données!$P$3:$R$30,3,FALSE)=1,VLOOKUP(AC76,B76:C255,2,FALSE)+1,VLOOKUP(AC76,B76:C255,2,FALSE))</f>
        <v>#N/A</v>
      </c>
      <c r="AE76" t="e">
        <f t="shared" ca="1" si="12"/>
        <v>#N/A</v>
      </c>
      <c r="AF76" t="e">
        <f t="shared" ca="1" si="13"/>
        <v>#N/A</v>
      </c>
      <c r="AG76" t="e">
        <f>IF(VLOOKUP('Nom du personnage'!$U$51,Données!$P$3:$R$30,3,FALSE)=1,VLOOKUP(AF76,B76:C255,2,FALSE)+1,VLOOKUP(AF76,B76:C255,2,FALSE))</f>
        <v>#N/A</v>
      </c>
      <c r="AH76" t="e">
        <f t="shared" ca="1" si="14"/>
        <v>#N/A</v>
      </c>
    </row>
    <row r="77" spans="1:34">
      <c r="A77" s="2" t="s">
        <v>319</v>
      </c>
      <c r="B77" s="2" t="s">
        <v>429</v>
      </c>
      <c r="C77">
        <v>3</v>
      </c>
      <c r="D77">
        <v>5</v>
      </c>
      <c r="F77" s="2" t="s">
        <v>56</v>
      </c>
      <c r="G77" s="2" t="s">
        <v>326</v>
      </c>
      <c r="I77" s="3">
        <f t="shared" si="9"/>
        <v>0</v>
      </c>
      <c r="J77" cm="1">
        <f t="array" ref="J77:N77">'Nom du personnage'!$F$54:$J$54</f>
        <v>0</v>
      </c>
      <c r="K77">
        <v>0</v>
      </c>
      <c r="L77">
        <v>0</v>
      </c>
      <c r="M77">
        <v>0</v>
      </c>
      <c r="N77">
        <v>0</v>
      </c>
      <c r="O77" cm="1">
        <f t="array" ref="O77:W77">'Nom du personnage'!$H$88:$P$88</f>
        <v>0</v>
      </c>
      <c r="P77">
        <v>0</v>
      </c>
      <c r="Q77">
        <v>0</v>
      </c>
      <c r="R77">
        <v>0</v>
      </c>
      <c r="S77">
        <v>0</v>
      </c>
      <c r="T77">
        <v>0</v>
      </c>
      <c r="U77">
        <v>0</v>
      </c>
      <c r="V77">
        <v>0</v>
      </c>
      <c r="W77">
        <v>0</v>
      </c>
      <c r="X77" cm="1">
        <f t="array" ref="X77">IF(OR(A77='Nom du personnage'!$H$88:$O$88,'Nom du personnage'!$V$88:$AC$88=Magie!A77),1,)</f>
        <v>0</v>
      </c>
      <c r="Y77" t="e">
        <f ca="1">IF('Nom du personnage'!$AC$59&gt;=Magie!D77,1,)</f>
        <v>#N/A</v>
      </c>
      <c r="Z77">
        <f ca="1">IF(AND(A77='Nom du personnage'!$H$88,_xlfn.AGGREGATE(4,6,'Nom du personnage'!$C$91:$D$109)&gt;=Magie!D74),1,0)</f>
        <v>0</v>
      </c>
      <c r="AA77">
        <f ca="1">IF(AND(A77='Nom du personnage'!$V$88,_xlfn.AGGREGATE(4,6,'Nom du personnage'!$Q$91:$R$109)&gt;=Magie!D74),10,0)</f>
        <v>0</v>
      </c>
      <c r="AB77" t="e">
        <f t="shared" ca="1" si="10"/>
        <v>#N/A</v>
      </c>
      <c r="AC77" t="e">
        <f t="shared" ca="1" si="11"/>
        <v>#N/A</v>
      </c>
      <c r="AD77" t="e">
        <f>IF(VLOOKUP('Nom du personnage'!$U$51,Données!$P$3:$R$30,3,FALSE)=1,VLOOKUP(AC77,B77:C256,2,FALSE)+1,VLOOKUP(AC77,B77:C256,2,FALSE))</f>
        <v>#N/A</v>
      </c>
      <c r="AE77" t="e">
        <f t="shared" ca="1" si="12"/>
        <v>#N/A</v>
      </c>
      <c r="AF77" t="e">
        <f t="shared" ca="1" si="13"/>
        <v>#N/A</v>
      </c>
      <c r="AG77" t="e">
        <f>IF(VLOOKUP('Nom du personnage'!$U$51,Données!$P$3:$R$30,3,FALSE)=1,VLOOKUP(AF77,B77:C256,2,FALSE)+1,VLOOKUP(AF77,B77:C256,2,FALSE))</f>
        <v>#N/A</v>
      </c>
      <c r="AH77" t="e">
        <f t="shared" ca="1" si="14"/>
        <v>#N/A</v>
      </c>
    </row>
    <row r="78" spans="1:34">
      <c r="A78" s="2" t="s">
        <v>319</v>
      </c>
      <c r="B78" s="2" t="s">
        <v>430</v>
      </c>
      <c r="C78">
        <v>3</v>
      </c>
      <c r="D78">
        <v>6</v>
      </c>
      <c r="F78" s="2" t="s">
        <v>105</v>
      </c>
      <c r="G78" s="2" t="s">
        <v>325</v>
      </c>
      <c r="I78" s="3">
        <f t="shared" si="9"/>
        <v>0</v>
      </c>
      <c r="J78" cm="1">
        <f t="array" ref="J78:N78">'Nom du personnage'!$F$54:$J$54</f>
        <v>0</v>
      </c>
      <c r="K78">
        <v>0</v>
      </c>
      <c r="L78">
        <v>0</v>
      </c>
      <c r="M78">
        <v>0</v>
      </c>
      <c r="N78">
        <v>0</v>
      </c>
      <c r="O78" cm="1">
        <f t="array" ref="O78:W78">'Nom du personnage'!$H$88:$P$88</f>
        <v>0</v>
      </c>
      <c r="P78">
        <v>0</v>
      </c>
      <c r="Q78">
        <v>0</v>
      </c>
      <c r="R78">
        <v>0</v>
      </c>
      <c r="S78">
        <v>0</v>
      </c>
      <c r="T78">
        <v>0</v>
      </c>
      <c r="U78">
        <v>0</v>
      </c>
      <c r="V78">
        <v>0</v>
      </c>
      <c r="W78">
        <v>0</v>
      </c>
      <c r="X78" cm="1">
        <f t="array" ref="X78">IF(OR(A78='Nom du personnage'!$H$88:$O$88,'Nom du personnage'!$V$88:$AC$88=Magie!A78),1,)</f>
        <v>0</v>
      </c>
      <c r="Y78" t="e">
        <f ca="1">IF('Nom du personnage'!$AC$59&gt;=Magie!D78,1,)</f>
        <v>#N/A</v>
      </c>
      <c r="Z78">
        <f ca="1">IF(AND(A78='Nom du personnage'!$H$88,_xlfn.AGGREGATE(4,6,'Nom du personnage'!$C$91:$D$109)&gt;=Magie!D75),1,0)</f>
        <v>0</v>
      </c>
      <c r="AA78">
        <f ca="1">IF(AND(A78='Nom du personnage'!$V$88,_xlfn.AGGREGATE(4,6,'Nom du personnage'!$Q$91:$R$109)&gt;=Magie!D75),10,0)</f>
        <v>0</v>
      </c>
      <c r="AB78" t="e">
        <f t="shared" ca="1" si="10"/>
        <v>#N/A</v>
      </c>
      <c r="AC78" t="e">
        <f t="shared" ca="1" si="11"/>
        <v>#N/A</v>
      </c>
      <c r="AD78" t="e">
        <f>IF(VLOOKUP('Nom du personnage'!$U$51,Données!$P$3:$R$30,3,FALSE)=1,VLOOKUP(AC78,B78:C257,2,FALSE)+1,VLOOKUP(AC78,B78:C257,2,FALSE))</f>
        <v>#N/A</v>
      </c>
      <c r="AE78" t="e">
        <f t="shared" ca="1" si="12"/>
        <v>#N/A</v>
      </c>
      <c r="AF78" t="e">
        <f t="shared" ca="1" si="13"/>
        <v>#N/A</v>
      </c>
      <c r="AG78" t="e">
        <f>IF(VLOOKUP('Nom du personnage'!$U$51,Données!$P$3:$R$30,3,FALSE)=1,VLOOKUP(AF78,B78:C257,2,FALSE)+1,VLOOKUP(AF78,B78:C257,2,FALSE))</f>
        <v>#N/A</v>
      </c>
      <c r="AH78" t="e">
        <f t="shared" ca="1" si="14"/>
        <v>#N/A</v>
      </c>
    </row>
    <row r="79" spans="1:34">
      <c r="A79" s="2" t="s">
        <v>319</v>
      </c>
      <c r="B79" s="2" t="s">
        <v>431</v>
      </c>
      <c r="C79">
        <v>3</v>
      </c>
      <c r="D79">
        <v>6</v>
      </c>
      <c r="F79" s="2" t="s">
        <v>105</v>
      </c>
      <c r="G79" s="2" t="s">
        <v>37</v>
      </c>
      <c r="I79" s="3">
        <f t="shared" si="9"/>
        <v>0</v>
      </c>
      <c r="J79" cm="1">
        <f t="array" ref="J79:N79">'Nom du personnage'!$F$54:$J$54</f>
        <v>0</v>
      </c>
      <c r="K79">
        <v>0</v>
      </c>
      <c r="L79">
        <v>0</v>
      </c>
      <c r="M79">
        <v>0</v>
      </c>
      <c r="N79">
        <v>0</v>
      </c>
      <c r="O79" cm="1">
        <f t="array" ref="O79:W79">'Nom du personnage'!$H$88:$P$88</f>
        <v>0</v>
      </c>
      <c r="P79">
        <v>0</v>
      </c>
      <c r="Q79">
        <v>0</v>
      </c>
      <c r="R79">
        <v>0</v>
      </c>
      <c r="S79">
        <v>0</v>
      </c>
      <c r="T79">
        <v>0</v>
      </c>
      <c r="U79">
        <v>0</v>
      </c>
      <c r="V79">
        <v>0</v>
      </c>
      <c r="W79">
        <v>0</v>
      </c>
      <c r="X79" cm="1">
        <f t="array" ref="X79">IF(OR(A79='Nom du personnage'!$H$88:$O$88,'Nom du personnage'!$V$88:$AC$88=Magie!A79),1,)</f>
        <v>0</v>
      </c>
      <c r="Y79" t="e">
        <f ca="1">IF('Nom du personnage'!$AC$59&gt;=Magie!D79,1,)</f>
        <v>#N/A</v>
      </c>
      <c r="Z79">
        <f ca="1">IF(AND(A79='Nom du personnage'!$H$88,_xlfn.AGGREGATE(4,6,'Nom du personnage'!$C$91:$D$109)&gt;=Magie!D76),1,0)</f>
        <v>0</v>
      </c>
      <c r="AA79">
        <f ca="1">IF(AND(A79='Nom du personnage'!$V$88,_xlfn.AGGREGATE(4,6,'Nom du personnage'!$Q$91:$R$109)&gt;=Magie!D76),10,0)</f>
        <v>0</v>
      </c>
      <c r="AB79" t="e">
        <f t="shared" ca="1" si="10"/>
        <v>#N/A</v>
      </c>
      <c r="AC79" t="e">
        <f t="shared" ca="1" si="11"/>
        <v>#N/A</v>
      </c>
      <c r="AD79" t="e">
        <f>IF(VLOOKUP('Nom du personnage'!$U$51,Données!$P$3:$R$30,3,FALSE)=1,VLOOKUP(AC79,B79:C258,2,FALSE)+1,VLOOKUP(AC79,B79:C258,2,FALSE))</f>
        <v>#N/A</v>
      </c>
      <c r="AE79" t="e">
        <f t="shared" ca="1" si="12"/>
        <v>#N/A</v>
      </c>
      <c r="AF79" t="e">
        <f t="shared" ca="1" si="13"/>
        <v>#N/A</v>
      </c>
      <c r="AG79" t="e">
        <f>IF(VLOOKUP('Nom du personnage'!$U$51,Données!$P$3:$R$30,3,FALSE)=1,VLOOKUP(AF79,B79:C258,2,FALSE)+1,VLOOKUP(AF79,B79:C258,2,FALSE))</f>
        <v>#N/A</v>
      </c>
      <c r="AH79" t="e">
        <f t="shared" ca="1" si="14"/>
        <v>#N/A</v>
      </c>
    </row>
    <row r="80" spans="1:34">
      <c r="A80" s="2" t="s">
        <v>319</v>
      </c>
      <c r="B80" s="2" t="s">
        <v>432</v>
      </c>
      <c r="C80">
        <v>3</v>
      </c>
      <c r="D80">
        <v>6</v>
      </c>
      <c r="F80" s="2" t="s">
        <v>105</v>
      </c>
      <c r="G80" s="2" t="s">
        <v>319</v>
      </c>
      <c r="I80" s="3">
        <f t="shared" si="9"/>
        <v>0</v>
      </c>
      <c r="J80" cm="1">
        <f t="array" ref="J80:N80">'Nom du personnage'!$F$54:$J$54</f>
        <v>0</v>
      </c>
      <c r="K80">
        <v>0</v>
      </c>
      <c r="L80">
        <v>0</v>
      </c>
      <c r="M80">
        <v>0</v>
      </c>
      <c r="N80">
        <v>0</v>
      </c>
      <c r="O80" cm="1">
        <f t="array" ref="O80:W80">'Nom du personnage'!$H$88:$P$88</f>
        <v>0</v>
      </c>
      <c r="P80">
        <v>0</v>
      </c>
      <c r="Q80">
        <v>0</v>
      </c>
      <c r="R80">
        <v>0</v>
      </c>
      <c r="S80">
        <v>0</v>
      </c>
      <c r="T80">
        <v>0</v>
      </c>
      <c r="U80">
        <v>0</v>
      </c>
      <c r="V80">
        <v>0</v>
      </c>
      <c r="W80">
        <v>0</v>
      </c>
      <c r="X80" cm="1">
        <f t="array" ref="X80">IF(OR(A80='Nom du personnage'!$H$88:$O$88,'Nom du personnage'!$V$88:$AC$88=Magie!A80),1,)</f>
        <v>0</v>
      </c>
      <c r="Y80" t="e">
        <f ca="1">IF('Nom du personnage'!$AC$59&gt;=Magie!D80,1,)</f>
        <v>#N/A</v>
      </c>
      <c r="Z80">
        <f ca="1">IF(AND(A80='Nom du personnage'!$H$88,_xlfn.AGGREGATE(4,6,'Nom du personnage'!$C$91:$D$109)&gt;=Magie!D77),1,0)</f>
        <v>0</v>
      </c>
      <c r="AA80">
        <f ca="1">IF(AND(A80='Nom du personnage'!$V$88,_xlfn.AGGREGATE(4,6,'Nom du personnage'!$Q$91:$R$109)&gt;=Magie!D77),10,0)</f>
        <v>0</v>
      </c>
      <c r="AB80" t="e">
        <f t="shared" ca="1" si="10"/>
        <v>#N/A</v>
      </c>
      <c r="AC80" t="e">
        <f t="shared" ca="1" si="11"/>
        <v>#N/A</v>
      </c>
      <c r="AD80" t="e">
        <f>IF(VLOOKUP('Nom du personnage'!$U$51,Données!$P$3:$R$30,3,FALSE)=1,VLOOKUP(AC80,B80:C259,2,FALSE)+1,VLOOKUP(AC80,B80:C259,2,FALSE))</f>
        <v>#N/A</v>
      </c>
      <c r="AE80" t="e">
        <f t="shared" ca="1" si="12"/>
        <v>#N/A</v>
      </c>
      <c r="AF80" t="e">
        <f t="shared" ca="1" si="13"/>
        <v>#N/A</v>
      </c>
      <c r="AG80" t="e">
        <f>IF(VLOOKUP('Nom du personnage'!$U$51,Données!$P$3:$R$30,3,FALSE)=1,VLOOKUP(AF80,B80:C259,2,FALSE)+1,VLOOKUP(AF80,B80:C259,2,FALSE))</f>
        <v>#N/A</v>
      </c>
      <c r="AH80" t="e">
        <f t="shared" ca="1" si="14"/>
        <v>#N/A</v>
      </c>
    </row>
    <row r="81" spans="1:34">
      <c r="A81" s="2" t="s">
        <v>319</v>
      </c>
      <c r="B81" s="2" t="s">
        <v>433</v>
      </c>
      <c r="C81">
        <v>4</v>
      </c>
      <c r="D81">
        <v>7</v>
      </c>
      <c r="F81" s="2" t="s">
        <v>60</v>
      </c>
      <c r="G81" s="2" t="s">
        <v>324</v>
      </c>
      <c r="I81" s="3">
        <f t="shared" si="9"/>
        <v>0</v>
      </c>
      <c r="J81" cm="1">
        <f t="array" ref="J81:N81">'Nom du personnage'!$F$54:$J$54</f>
        <v>0</v>
      </c>
      <c r="K81">
        <v>0</v>
      </c>
      <c r="L81">
        <v>0</v>
      </c>
      <c r="M81">
        <v>0</v>
      </c>
      <c r="N81">
        <v>0</v>
      </c>
      <c r="O81" cm="1">
        <f t="array" ref="O81:W81">'Nom du personnage'!$H$88:$P$88</f>
        <v>0</v>
      </c>
      <c r="P81">
        <v>0</v>
      </c>
      <c r="Q81">
        <v>0</v>
      </c>
      <c r="R81">
        <v>0</v>
      </c>
      <c r="S81">
        <v>0</v>
      </c>
      <c r="T81">
        <v>0</v>
      </c>
      <c r="U81">
        <v>0</v>
      </c>
      <c r="V81">
        <v>0</v>
      </c>
      <c r="W81">
        <v>0</v>
      </c>
      <c r="X81" cm="1">
        <f t="array" ref="X81">IF(OR(A81='Nom du personnage'!$H$88:$O$88,'Nom du personnage'!$V$88:$AC$88=Magie!A81),1,)</f>
        <v>0</v>
      </c>
      <c r="Y81" t="e">
        <f ca="1">IF('Nom du personnage'!$AC$59&gt;=Magie!D81,1,)</f>
        <v>#N/A</v>
      </c>
      <c r="Z81">
        <f ca="1">IF(AND(A81='Nom du personnage'!$H$88,_xlfn.AGGREGATE(4,6,'Nom du personnage'!$C$91:$D$109)&gt;=Magie!D78),1,0)</f>
        <v>0</v>
      </c>
      <c r="AA81">
        <f ca="1">IF(AND(A81='Nom du personnage'!$V$88,_xlfn.AGGREGATE(4,6,'Nom du personnage'!$Q$91:$R$109)&gt;=Magie!D78),10,0)</f>
        <v>0</v>
      </c>
      <c r="AB81" t="e">
        <f t="shared" ca="1" si="10"/>
        <v>#N/A</v>
      </c>
      <c r="AC81" t="e">
        <f t="shared" ca="1" si="11"/>
        <v>#N/A</v>
      </c>
      <c r="AD81" t="e">
        <f>IF(VLOOKUP('Nom du personnage'!$U$51,Données!$P$3:$R$30,3,FALSE)=1,VLOOKUP(AC81,B81:C260,2,FALSE)+1,VLOOKUP(AC81,B81:C260,2,FALSE))</f>
        <v>#N/A</v>
      </c>
      <c r="AE81" t="e">
        <f t="shared" ca="1" si="12"/>
        <v>#N/A</v>
      </c>
      <c r="AF81" t="e">
        <f t="shared" ca="1" si="13"/>
        <v>#N/A</v>
      </c>
      <c r="AG81" t="e">
        <f>IF(VLOOKUP('Nom du personnage'!$U$51,Données!$P$3:$R$30,3,FALSE)=1,VLOOKUP(AF81,B81:C260,2,FALSE)+1,VLOOKUP(AF81,B81:C260,2,FALSE))</f>
        <v>#N/A</v>
      </c>
      <c r="AH81" t="e">
        <f t="shared" ca="1" si="14"/>
        <v>#N/A</v>
      </c>
    </row>
    <row r="82" spans="1:34">
      <c r="A82" s="2" t="s">
        <v>319</v>
      </c>
      <c r="B82" s="2" t="s">
        <v>434</v>
      </c>
      <c r="C82">
        <v>4</v>
      </c>
      <c r="D82">
        <v>7</v>
      </c>
      <c r="F82" s="2" t="s">
        <v>60</v>
      </c>
      <c r="G82" s="2" t="s">
        <v>53</v>
      </c>
      <c r="I82" s="3">
        <f t="shared" si="9"/>
        <v>0</v>
      </c>
      <c r="J82" cm="1">
        <f t="array" ref="J82:N82">'Nom du personnage'!$F$54:$J$54</f>
        <v>0</v>
      </c>
      <c r="K82">
        <v>0</v>
      </c>
      <c r="L82">
        <v>0</v>
      </c>
      <c r="M82">
        <v>0</v>
      </c>
      <c r="N82">
        <v>0</v>
      </c>
      <c r="O82" cm="1">
        <f t="array" ref="O82:W82">'Nom du personnage'!$H$88:$P$88</f>
        <v>0</v>
      </c>
      <c r="P82">
        <v>0</v>
      </c>
      <c r="Q82">
        <v>0</v>
      </c>
      <c r="R82">
        <v>0</v>
      </c>
      <c r="S82">
        <v>0</v>
      </c>
      <c r="T82">
        <v>0</v>
      </c>
      <c r="U82">
        <v>0</v>
      </c>
      <c r="V82">
        <v>0</v>
      </c>
      <c r="W82">
        <v>0</v>
      </c>
      <c r="X82" cm="1">
        <f t="array" ref="X82">IF(OR(A82='Nom du personnage'!$H$88:$O$88,'Nom du personnage'!$V$88:$AC$88=Magie!A82),1,)</f>
        <v>0</v>
      </c>
      <c r="Y82" t="e">
        <f ca="1">IF('Nom du personnage'!$AC$59&gt;=Magie!D82,1,)</f>
        <v>#N/A</v>
      </c>
      <c r="Z82">
        <f ca="1">IF(AND(A82='Nom du personnage'!$H$88,_xlfn.AGGREGATE(4,6,'Nom du personnage'!$C$91:$D$109)&gt;=Magie!D79),1,0)</f>
        <v>0</v>
      </c>
      <c r="AA82">
        <f ca="1">IF(AND(A82='Nom du personnage'!$V$88,_xlfn.AGGREGATE(4,6,'Nom du personnage'!$Q$91:$R$109)&gt;=Magie!D79),10,0)</f>
        <v>0</v>
      </c>
      <c r="AB82" t="e">
        <f t="shared" ca="1" si="10"/>
        <v>#N/A</v>
      </c>
      <c r="AC82" t="e">
        <f t="shared" ca="1" si="11"/>
        <v>#N/A</v>
      </c>
      <c r="AD82" t="e">
        <f>IF(VLOOKUP('Nom du personnage'!$U$51,Données!$P$3:$R$30,3,FALSE)=1,VLOOKUP(AC82,B82:C261,2,FALSE)+1,VLOOKUP(AC82,B82:C261,2,FALSE))</f>
        <v>#N/A</v>
      </c>
      <c r="AE82" t="e">
        <f t="shared" ca="1" si="12"/>
        <v>#N/A</v>
      </c>
      <c r="AF82" t="e">
        <f t="shared" ca="1" si="13"/>
        <v>#N/A</v>
      </c>
      <c r="AG82" t="e">
        <f>IF(VLOOKUP('Nom du personnage'!$U$51,Données!$P$3:$R$30,3,FALSE)=1,VLOOKUP(AF82,B82:C261,2,FALSE)+1,VLOOKUP(AF82,B82:C261,2,FALSE))</f>
        <v>#N/A</v>
      </c>
      <c r="AH82" t="e">
        <f t="shared" ca="1" si="14"/>
        <v>#N/A</v>
      </c>
    </row>
    <row r="83" spans="1:34">
      <c r="A83" s="2" t="s">
        <v>319</v>
      </c>
      <c r="B83" s="2" t="s">
        <v>435</v>
      </c>
      <c r="C83">
        <v>4</v>
      </c>
      <c r="D83">
        <v>7</v>
      </c>
      <c r="F83" s="2" t="s">
        <v>60</v>
      </c>
      <c r="G83" s="2" t="s">
        <v>57</v>
      </c>
      <c r="I83" s="3">
        <f t="shared" si="9"/>
        <v>0</v>
      </c>
      <c r="J83" cm="1">
        <f t="array" ref="J83:N83">'Nom du personnage'!$F$54:$J$54</f>
        <v>0</v>
      </c>
      <c r="K83">
        <v>0</v>
      </c>
      <c r="L83">
        <v>0</v>
      </c>
      <c r="M83">
        <v>0</v>
      </c>
      <c r="N83">
        <v>0</v>
      </c>
      <c r="O83" cm="1">
        <f t="array" ref="O83:W83">'Nom du personnage'!$H$88:$P$88</f>
        <v>0</v>
      </c>
      <c r="P83">
        <v>0</v>
      </c>
      <c r="Q83">
        <v>0</v>
      </c>
      <c r="R83">
        <v>0</v>
      </c>
      <c r="S83">
        <v>0</v>
      </c>
      <c r="T83">
        <v>0</v>
      </c>
      <c r="U83">
        <v>0</v>
      </c>
      <c r="V83">
        <v>0</v>
      </c>
      <c r="W83">
        <v>0</v>
      </c>
      <c r="X83" cm="1">
        <f t="array" ref="X83">IF(OR(A83='Nom du personnage'!$H$88:$O$88,'Nom du personnage'!$V$88:$AC$88=Magie!A83),1,)</f>
        <v>0</v>
      </c>
      <c r="Y83" t="e">
        <f ca="1">IF('Nom du personnage'!$AC$59&gt;=Magie!D83,1,)</f>
        <v>#N/A</v>
      </c>
      <c r="Z83">
        <f ca="1">IF(AND(A83='Nom du personnage'!$H$88,_xlfn.AGGREGATE(4,6,'Nom du personnage'!$C$91:$D$109)&gt;=Magie!D80),1,0)</f>
        <v>0</v>
      </c>
      <c r="AA83">
        <f ca="1">IF(AND(A83='Nom du personnage'!$V$88,_xlfn.AGGREGATE(4,6,'Nom du personnage'!$Q$91:$R$109)&gt;=Magie!D80),10,0)</f>
        <v>0</v>
      </c>
      <c r="AB83" t="e">
        <f t="shared" ca="1" si="10"/>
        <v>#N/A</v>
      </c>
      <c r="AC83" t="e">
        <f t="shared" ca="1" si="11"/>
        <v>#N/A</v>
      </c>
      <c r="AD83" t="e">
        <f>IF(VLOOKUP('Nom du personnage'!$U$51,Données!$P$3:$R$30,3,FALSE)=1,VLOOKUP(AC83,B83:C262,2,FALSE)+1,VLOOKUP(AC83,B83:C262,2,FALSE))</f>
        <v>#N/A</v>
      </c>
      <c r="AE83" t="e">
        <f t="shared" ca="1" si="12"/>
        <v>#N/A</v>
      </c>
      <c r="AF83" t="e">
        <f t="shared" ca="1" si="13"/>
        <v>#N/A</v>
      </c>
      <c r="AG83" t="e">
        <f>IF(VLOOKUP('Nom du personnage'!$U$51,Données!$P$3:$R$30,3,FALSE)=1,VLOOKUP(AF83,B83:C262,2,FALSE)+1,VLOOKUP(AF83,B83:C262,2,FALSE))</f>
        <v>#N/A</v>
      </c>
      <c r="AH83" t="e">
        <f t="shared" ca="1" si="14"/>
        <v>#N/A</v>
      </c>
    </row>
    <row r="84" spans="1:34">
      <c r="A84" s="2" t="s">
        <v>319</v>
      </c>
      <c r="B84" s="2" t="s">
        <v>436</v>
      </c>
      <c r="C84">
        <v>4</v>
      </c>
      <c r="D84">
        <v>8</v>
      </c>
      <c r="F84" s="2" t="s">
        <v>120</v>
      </c>
      <c r="G84" s="2" t="s">
        <v>41</v>
      </c>
      <c r="I84" s="3">
        <f t="shared" si="9"/>
        <v>0</v>
      </c>
      <c r="J84" cm="1">
        <f t="array" ref="J84:N84">'Nom du personnage'!$F$54:$J$54</f>
        <v>0</v>
      </c>
      <c r="K84">
        <v>0</v>
      </c>
      <c r="L84">
        <v>0</v>
      </c>
      <c r="M84">
        <v>0</v>
      </c>
      <c r="N84">
        <v>0</v>
      </c>
      <c r="O84" cm="1">
        <f t="array" ref="O84:W84">'Nom du personnage'!$H$88:$P$88</f>
        <v>0</v>
      </c>
      <c r="P84">
        <v>0</v>
      </c>
      <c r="Q84">
        <v>0</v>
      </c>
      <c r="R84">
        <v>0</v>
      </c>
      <c r="S84">
        <v>0</v>
      </c>
      <c r="T84">
        <v>0</v>
      </c>
      <c r="U84">
        <v>0</v>
      </c>
      <c r="V84">
        <v>0</v>
      </c>
      <c r="W84">
        <v>0</v>
      </c>
      <c r="X84" cm="1">
        <f t="array" ref="X84">IF(OR(A84='Nom du personnage'!$H$88:$O$88,'Nom du personnage'!$V$88:$AC$88=Magie!A84),1,)</f>
        <v>0</v>
      </c>
      <c r="Y84" t="e">
        <f ca="1">IF('Nom du personnage'!$AC$59&gt;=Magie!D84,1,)</f>
        <v>#N/A</v>
      </c>
      <c r="Z84">
        <f ca="1">IF(AND(A84='Nom du personnage'!$H$88,_xlfn.AGGREGATE(4,6,'Nom du personnage'!$C$91:$D$109)&gt;=Magie!D81),1,0)</f>
        <v>0</v>
      </c>
      <c r="AA84">
        <f ca="1">IF(AND(A84='Nom du personnage'!$V$88,_xlfn.AGGREGATE(4,6,'Nom du personnage'!$Q$91:$R$109)&gt;=Magie!D81),10,0)</f>
        <v>0</v>
      </c>
      <c r="AB84" t="e">
        <f t="shared" ca="1" si="10"/>
        <v>#N/A</v>
      </c>
      <c r="AC84" t="e">
        <f t="shared" ca="1" si="11"/>
        <v>#N/A</v>
      </c>
      <c r="AD84" t="e">
        <f>IF(VLOOKUP('Nom du personnage'!$U$51,Données!$P$3:$R$30,3,FALSE)=1,VLOOKUP(AC84,B84:C263,2,FALSE)+1,VLOOKUP(AC84,B84:C263,2,FALSE))</f>
        <v>#N/A</v>
      </c>
      <c r="AE84" t="e">
        <f t="shared" ca="1" si="12"/>
        <v>#N/A</v>
      </c>
      <c r="AF84" t="e">
        <f t="shared" ca="1" si="13"/>
        <v>#N/A</v>
      </c>
      <c r="AG84" t="e">
        <f>IF(VLOOKUP('Nom du personnage'!$U$51,Données!$P$3:$R$30,3,FALSE)=1,VLOOKUP(AF84,B84:C263,2,FALSE)+1,VLOOKUP(AF84,B84:C263,2,FALSE))</f>
        <v>#N/A</v>
      </c>
      <c r="AH84" t="e">
        <f t="shared" ca="1" si="14"/>
        <v>#N/A</v>
      </c>
    </row>
    <row r="85" spans="1:34">
      <c r="A85" s="2" t="s">
        <v>319</v>
      </c>
      <c r="B85" s="2" t="s">
        <v>437</v>
      </c>
      <c r="C85">
        <v>4</v>
      </c>
      <c r="D85">
        <v>8</v>
      </c>
      <c r="F85" s="2" t="s">
        <v>120</v>
      </c>
      <c r="G85" s="2" t="s">
        <v>320</v>
      </c>
      <c r="I85" s="3">
        <f t="shared" si="9"/>
        <v>0</v>
      </c>
      <c r="J85" cm="1">
        <f t="array" ref="J85:N85">'Nom du personnage'!$F$54:$J$54</f>
        <v>0</v>
      </c>
      <c r="K85">
        <v>0</v>
      </c>
      <c r="L85">
        <v>0</v>
      </c>
      <c r="M85">
        <v>0</v>
      </c>
      <c r="N85">
        <v>0</v>
      </c>
      <c r="O85" cm="1">
        <f t="array" ref="O85:W85">'Nom du personnage'!$H$88:$P$88</f>
        <v>0</v>
      </c>
      <c r="P85">
        <v>0</v>
      </c>
      <c r="Q85">
        <v>0</v>
      </c>
      <c r="R85">
        <v>0</v>
      </c>
      <c r="S85">
        <v>0</v>
      </c>
      <c r="T85">
        <v>0</v>
      </c>
      <c r="U85">
        <v>0</v>
      </c>
      <c r="V85">
        <v>0</v>
      </c>
      <c r="W85">
        <v>0</v>
      </c>
      <c r="X85" cm="1">
        <f t="array" ref="X85">IF(OR(A85='Nom du personnage'!$H$88:$O$88,'Nom du personnage'!$V$88:$AC$88=Magie!A85),1,)</f>
        <v>0</v>
      </c>
      <c r="Y85" t="e">
        <f ca="1">IF('Nom du personnage'!$AC$59&gt;=Magie!D85,1,)</f>
        <v>#N/A</v>
      </c>
      <c r="Z85">
        <f ca="1">IF(AND(A85='Nom du personnage'!$H$88,_xlfn.AGGREGATE(4,6,'Nom du personnage'!$C$91:$D$109)&gt;=Magie!D82),1,0)</f>
        <v>0</v>
      </c>
      <c r="AA85">
        <f ca="1">IF(AND(A85='Nom du personnage'!$V$88,_xlfn.AGGREGATE(4,6,'Nom du personnage'!$Q$91:$R$109)&gt;=Magie!D82),10,0)</f>
        <v>0</v>
      </c>
      <c r="AB85" t="e">
        <f t="shared" ca="1" si="10"/>
        <v>#N/A</v>
      </c>
      <c r="AC85" t="e">
        <f t="shared" ca="1" si="11"/>
        <v>#N/A</v>
      </c>
      <c r="AD85" t="e">
        <f>IF(VLOOKUP('Nom du personnage'!$U$51,Données!$P$3:$R$30,3,FALSE)=1,VLOOKUP(AC85,B85:C264,2,FALSE)+1,VLOOKUP(AC85,B85:C264,2,FALSE))</f>
        <v>#N/A</v>
      </c>
      <c r="AE85" t="e">
        <f t="shared" ca="1" si="12"/>
        <v>#N/A</v>
      </c>
      <c r="AF85" t="e">
        <f t="shared" ca="1" si="13"/>
        <v>#N/A</v>
      </c>
      <c r="AG85" t="e">
        <f>IF(VLOOKUP('Nom du personnage'!$U$51,Données!$P$3:$R$30,3,FALSE)=1,VLOOKUP(AF85,B85:C264,2,FALSE)+1,VLOOKUP(AF85,B85:C264,2,FALSE))</f>
        <v>#N/A</v>
      </c>
      <c r="AH85" t="e">
        <f t="shared" ca="1" si="14"/>
        <v>#N/A</v>
      </c>
    </row>
    <row r="86" spans="1:34">
      <c r="A86" s="2" t="s">
        <v>319</v>
      </c>
      <c r="B86" s="2" t="s">
        <v>438</v>
      </c>
      <c r="C86">
        <v>4</v>
      </c>
      <c r="D86">
        <v>8</v>
      </c>
      <c r="F86" s="2" t="s">
        <v>120</v>
      </c>
      <c r="G86" s="2" t="s">
        <v>53</v>
      </c>
      <c r="I86" s="3">
        <f t="shared" si="9"/>
        <v>0</v>
      </c>
      <c r="J86" cm="1">
        <f t="array" ref="J86:N86">'Nom du personnage'!$F$54:$J$54</f>
        <v>0</v>
      </c>
      <c r="K86">
        <v>0</v>
      </c>
      <c r="L86">
        <v>0</v>
      </c>
      <c r="M86">
        <v>0</v>
      </c>
      <c r="N86">
        <v>0</v>
      </c>
      <c r="O86" cm="1">
        <f t="array" ref="O86:W86">'Nom du personnage'!$H$88:$P$88</f>
        <v>0</v>
      </c>
      <c r="P86">
        <v>0</v>
      </c>
      <c r="Q86">
        <v>0</v>
      </c>
      <c r="R86">
        <v>0</v>
      </c>
      <c r="S86">
        <v>0</v>
      </c>
      <c r="T86">
        <v>0</v>
      </c>
      <c r="U86">
        <v>0</v>
      </c>
      <c r="V86">
        <v>0</v>
      </c>
      <c r="W86">
        <v>0</v>
      </c>
      <c r="X86" cm="1">
        <f t="array" ref="X86">IF(OR(A86='Nom du personnage'!$H$88:$O$88,'Nom du personnage'!$V$88:$AC$88=Magie!A86),1,)</f>
        <v>0</v>
      </c>
      <c r="Y86" t="e">
        <f ca="1">IF('Nom du personnage'!$AC$59&gt;=Magie!D86,1,)</f>
        <v>#N/A</v>
      </c>
      <c r="Z86">
        <f ca="1">IF(AND(A86='Nom du personnage'!$H$88,_xlfn.AGGREGATE(4,6,'Nom du personnage'!$C$91:$D$109)&gt;=Magie!D83),1,0)</f>
        <v>0</v>
      </c>
      <c r="AA86">
        <f ca="1">IF(AND(A86='Nom du personnage'!$V$88,_xlfn.AGGREGATE(4,6,'Nom du personnage'!$Q$91:$R$109)&gt;=Magie!D83),10,0)</f>
        <v>0</v>
      </c>
      <c r="AB86" t="e">
        <f t="shared" ca="1" si="10"/>
        <v>#N/A</v>
      </c>
      <c r="AC86" t="e">
        <f t="shared" ca="1" si="11"/>
        <v>#N/A</v>
      </c>
      <c r="AD86" t="e">
        <f>IF(VLOOKUP('Nom du personnage'!$U$51,Données!$P$3:$R$30,3,FALSE)=1,VLOOKUP(AC86,B86:C265,2,FALSE)+1,VLOOKUP(AC86,B86:C265,2,FALSE))</f>
        <v>#N/A</v>
      </c>
      <c r="AE86" t="e">
        <f t="shared" ca="1" si="12"/>
        <v>#N/A</v>
      </c>
      <c r="AF86" t="e">
        <f t="shared" ca="1" si="13"/>
        <v>#N/A</v>
      </c>
      <c r="AG86" t="e">
        <f>IF(VLOOKUP('Nom du personnage'!$U$51,Données!$P$3:$R$30,3,FALSE)=1,VLOOKUP(AF86,B86:C265,2,FALSE)+1,VLOOKUP(AF86,B86:C265,2,FALSE))</f>
        <v>#N/A</v>
      </c>
      <c r="AH86" t="e">
        <f t="shared" ca="1" si="14"/>
        <v>#N/A</v>
      </c>
    </row>
    <row r="87" spans="1:34">
      <c r="A87" s="2" t="s">
        <v>319</v>
      </c>
      <c r="B87" s="2" t="s">
        <v>439</v>
      </c>
      <c r="C87">
        <v>4</v>
      </c>
      <c r="D87">
        <v>9</v>
      </c>
      <c r="F87" s="2" t="s">
        <v>120</v>
      </c>
      <c r="G87" s="2" t="s">
        <v>323</v>
      </c>
      <c r="I87" s="3">
        <f t="shared" si="9"/>
        <v>0</v>
      </c>
      <c r="J87" cm="1">
        <f t="array" ref="J87:N87">'Nom du personnage'!$F$54:$J$54</f>
        <v>0</v>
      </c>
      <c r="K87">
        <v>0</v>
      </c>
      <c r="L87">
        <v>0</v>
      </c>
      <c r="M87">
        <v>0</v>
      </c>
      <c r="N87">
        <v>0</v>
      </c>
      <c r="O87" cm="1">
        <f t="array" ref="O87:W87">'Nom du personnage'!$H$88:$P$88</f>
        <v>0</v>
      </c>
      <c r="P87">
        <v>0</v>
      </c>
      <c r="Q87">
        <v>0</v>
      </c>
      <c r="R87">
        <v>0</v>
      </c>
      <c r="S87">
        <v>0</v>
      </c>
      <c r="T87">
        <v>0</v>
      </c>
      <c r="U87">
        <v>0</v>
      </c>
      <c r="V87">
        <v>0</v>
      </c>
      <c r="W87">
        <v>0</v>
      </c>
      <c r="X87" cm="1">
        <f t="array" ref="X87">IF(OR(A87='Nom du personnage'!$H$88:$O$88,'Nom du personnage'!$V$88:$AC$88=Magie!A87),1,)</f>
        <v>0</v>
      </c>
      <c r="Y87" t="e">
        <f ca="1">IF('Nom du personnage'!$AC$59&gt;=Magie!D87,1,)</f>
        <v>#N/A</v>
      </c>
      <c r="Z87">
        <f ca="1">IF(AND(A87='Nom du personnage'!$H$88,_xlfn.AGGREGATE(4,6,'Nom du personnage'!$C$91:$D$109)&gt;=Magie!D84),1,0)</f>
        <v>0</v>
      </c>
      <c r="AA87">
        <f ca="1">IF(AND(A87='Nom du personnage'!$V$88,_xlfn.AGGREGATE(4,6,'Nom du personnage'!$Q$91:$R$109)&gt;=Magie!D84),10,0)</f>
        <v>0</v>
      </c>
      <c r="AB87" t="e">
        <f t="shared" ca="1" si="10"/>
        <v>#N/A</v>
      </c>
      <c r="AC87" t="e">
        <f t="shared" ca="1" si="11"/>
        <v>#N/A</v>
      </c>
      <c r="AD87" t="e">
        <f>IF(VLOOKUP('Nom du personnage'!$U$51,Données!$P$3:$R$30,3,FALSE)=1,VLOOKUP(AC87,B87:C266,2,FALSE)+1,VLOOKUP(AC87,B87:C266,2,FALSE))</f>
        <v>#N/A</v>
      </c>
      <c r="AE87" t="e">
        <f t="shared" ca="1" si="12"/>
        <v>#N/A</v>
      </c>
      <c r="AF87" t="e">
        <f t="shared" ca="1" si="13"/>
        <v>#N/A</v>
      </c>
      <c r="AG87" t="e">
        <f>IF(VLOOKUP('Nom du personnage'!$U$51,Données!$P$3:$R$30,3,FALSE)=1,VLOOKUP(AF87,B87:C266,2,FALSE)+1,VLOOKUP(AF87,B87:C266,2,FALSE))</f>
        <v>#N/A</v>
      </c>
      <c r="AH87" t="e">
        <f t="shared" ca="1" si="14"/>
        <v>#N/A</v>
      </c>
    </row>
    <row r="88" spans="1:34">
      <c r="A88" s="2" t="s">
        <v>319</v>
      </c>
      <c r="B88" s="2" t="s">
        <v>440</v>
      </c>
      <c r="C88">
        <v>4</v>
      </c>
      <c r="D88">
        <v>9</v>
      </c>
      <c r="F88" s="2" t="s">
        <v>64</v>
      </c>
      <c r="G88" s="2" t="s">
        <v>37</v>
      </c>
      <c r="I88" s="3">
        <f t="shared" si="9"/>
        <v>0</v>
      </c>
      <c r="J88" cm="1">
        <f t="array" ref="J88:N88">'Nom du personnage'!$F$54:$J$54</f>
        <v>0</v>
      </c>
      <c r="K88">
        <v>0</v>
      </c>
      <c r="L88">
        <v>0</v>
      </c>
      <c r="M88">
        <v>0</v>
      </c>
      <c r="N88">
        <v>0</v>
      </c>
      <c r="O88" cm="1">
        <f t="array" ref="O88:W88">'Nom du personnage'!$H$88:$P$88</f>
        <v>0</v>
      </c>
      <c r="P88">
        <v>0</v>
      </c>
      <c r="Q88">
        <v>0</v>
      </c>
      <c r="R88">
        <v>0</v>
      </c>
      <c r="S88">
        <v>0</v>
      </c>
      <c r="T88">
        <v>0</v>
      </c>
      <c r="U88">
        <v>0</v>
      </c>
      <c r="V88">
        <v>0</v>
      </c>
      <c r="W88">
        <v>0</v>
      </c>
      <c r="X88" cm="1">
        <f t="array" ref="X88">IF(OR(A88='Nom du personnage'!$H$88:$O$88,'Nom du personnage'!$V$88:$AC$88=Magie!A88),1,)</f>
        <v>0</v>
      </c>
      <c r="Y88" t="e">
        <f ca="1">IF('Nom du personnage'!$AC$59&gt;=Magie!D88,1,)</f>
        <v>#N/A</v>
      </c>
      <c r="Z88">
        <f ca="1">IF(AND(A88='Nom du personnage'!$H$88,_xlfn.AGGREGATE(4,6,'Nom du personnage'!$C$91:$D$109)&gt;=Magie!D85),1,0)</f>
        <v>0</v>
      </c>
      <c r="AA88">
        <f ca="1">IF(AND(A88='Nom du personnage'!$V$88,_xlfn.AGGREGATE(4,6,'Nom du personnage'!$Q$91:$R$109)&gt;=Magie!D85),10,0)</f>
        <v>0</v>
      </c>
      <c r="AB88" t="e">
        <f t="shared" ca="1" si="10"/>
        <v>#N/A</v>
      </c>
      <c r="AC88" t="e">
        <f t="shared" ca="1" si="11"/>
        <v>#N/A</v>
      </c>
      <c r="AD88" t="e">
        <f>IF(VLOOKUP('Nom du personnage'!$U$51,Données!$P$3:$R$30,3,FALSE)=1,VLOOKUP(AC88,B88:C267,2,FALSE)+1,VLOOKUP(AC88,B88:C267,2,FALSE))</f>
        <v>#N/A</v>
      </c>
      <c r="AE88" t="e">
        <f t="shared" ca="1" si="12"/>
        <v>#N/A</v>
      </c>
      <c r="AF88" t="e">
        <f t="shared" ca="1" si="13"/>
        <v>#N/A</v>
      </c>
      <c r="AG88" t="e">
        <f>IF(VLOOKUP('Nom du personnage'!$U$51,Données!$P$3:$R$30,3,FALSE)=1,VLOOKUP(AF88,B88:C267,2,FALSE)+1,VLOOKUP(AF88,B88:C267,2,FALSE))</f>
        <v>#N/A</v>
      </c>
      <c r="AH88" t="e">
        <f t="shared" ca="1" si="14"/>
        <v>#N/A</v>
      </c>
    </row>
    <row r="89" spans="1:34">
      <c r="A89" s="2" t="s">
        <v>319</v>
      </c>
      <c r="B89" s="2" t="s">
        <v>441</v>
      </c>
      <c r="C89">
        <v>4</v>
      </c>
      <c r="D89">
        <v>9</v>
      </c>
      <c r="F89" s="2" t="s">
        <v>64</v>
      </c>
      <c r="G89" s="2" t="s">
        <v>320</v>
      </c>
      <c r="I89" s="3">
        <f t="shared" si="9"/>
        <v>0</v>
      </c>
      <c r="J89" cm="1">
        <f t="array" ref="J89:N89">'Nom du personnage'!$F$54:$J$54</f>
        <v>0</v>
      </c>
      <c r="K89">
        <v>0</v>
      </c>
      <c r="L89">
        <v>0</v>
      </c>
      <c r="M89">
        <v>0</v>
      </c>
      <c r="N89">
        <v>0</v>
      </c>
      <c r="O89" cm="1">
        <f t="array" ref="O89:W89">'Nom du personnage'!$H$88:$P$88</f>
        <v>0</v>
      </c>
      <c r="P89">
        <v>0</v>
      </c>
      <c r="Q89">
        <v>0</v>
      </c>
      <c r="R89">
        <v>0</v>
      </c>
      <c r="S89">
        <v>0</v>
      </c>
      <c r="T89">
        <v>0</v>
      </c>
      <c r="U89">
        <v>0</v>
      </c>
      <c r="V89">
        <v>0</v>
      </c>
      <c r="W89">
        <v>0</v>
      </c>
      <c r="X89" cm="1">
        <f t="array" ref="X89">IF(OR(A89='Nom du personnage'!$H$88:$O$88,'Nom du personnage'!$V$88:$AC$88=Magie!A89),1,)</f>
        <v>0</v>
      </c>
      <c r="Y89" t="e">
        <f ca="1">IF('Nom du personnage'!$AC$59&gt;=Magie!D89,1,)</f>
        <v>#N/A</v>
      </c>
      <c r="Z89">
        <f ca="1">IF(AND(A89='Nom du personnage'!$H$88,_xlfn.AGGREGATE(4,6,'Nom du personnage'!$C$91:$D$109)&gt;=Magie!D86),1,0)</f>
        <v>0</v>
      </c>
      <c r="AA89">
        <f ca="1">IF(AND(A89='Nom du personnage'!$V$88,_xlfn.AGGREGATE(4,6,'Nom du personnage'!$Q$91:$R$109)&gt;=Magie!D86),10,0)</f>
        <v>0</v>
      </c>
      <c r="AB89" t="e">
        <f t="shared" ca="1" si="10"/>
        <v>#N/A</v>
      </c>
      <c r="AC89" t="e">
        <f t="shared" ca="1" si="11"/>
        <v>#N/A</v>
      </c>
      <c r="AD89" t="e">
        <f>IF(VLOOKUP('Nom du personnage'!$U$51,Données!$P$3:$R$30,3,FALSE)=1,VLOOKUP(AC89,B89:C268,2,FALSE)+1,VLOOKUP(AC89,B89:C268,2,FALSE))</f>
        <v>#N/A</v>
      </c>
      <c r="AE89" t="e">
        <f t="shared" ca="1" si="12"/>
        <v>#N/A</v>
      </c>
      <c r="AF89" t="e">
        <f t="shared" ca="1" si="13"/>
        <v>#N/A</v>
      </c>
      <c r="AG89" t="e">
        <f>IF(VLOOKUP('Nom du personnage'!$U$51,Données!$P$3:$R$30,3,FALSE)=1,VLOOKUP(AF89,B89:C268,2,FALSE)+1,VLOOKUP(AF89,B89:C268,2,FALSE))</f>
        <v>#N/A</v>
      </c>
      <c r="AH89" t="e">
        <f t="shared" ca="1" si="14"/>
        <v>#N/A</v>
      </c>
    </row>
    <row r="90" spans="1:34">
      <c r="A90" s="2" t="s">
        <v>319</v>
      </c>
      <c r="B90" s="2" t="s">
        <v>442</v>
      </c>
      <c r="C90">
        <v>5</v>
      </c>
      <c r="D90">
        <v>10</v>
      </c>
      <c r="F90" s="2" t="s">
        <v>64</v>
      </c>
      <c r="G90" s="2" t="s">
        <v>57</v>
      </c>
      <c r="I90" s="3">
        <f t="shared" si="9"/>
        <v>0</v>
      </c>
      <c r="J90" cm="1">
        <f t="array" ref="J90:N90">'Nom du personnage'!$F$54:$J$54</f>
        <v>0</v>
      </c>
      <c r="K90">
        <v>0</v>
      </c>
      <c r="L90">
        <v>0</v>
      </c>
      <c r="M90">
        <v>0</v>
      </c>
      <c r="N90">
        <v>0</v>
      </c>
      <c r="O90" cm="1">
        <f t="array" ref="O90:W90">'Nom du personnage'!$H$88:$P$88</f>
        <v>0</v>
      </c>
      <c r="P90">
        <v>0</v>
      </c>
      <c r="Q90">
        <v>0</v>
      </c>
      <c r="R90">
        <v>0</v>
      </c>
      <c r="S90">
        <v>0</v>
      </c>
      <c r="T90">
        <v>0</v>
      </c>
      <c r="U90">
        <v>0</v>
      </c>
      <c r="V90">
        <v>0</v>
      </c>
      <c r="W90">
        <v>0</v>
      </c>
      <c r="X90" cm="1">
        <f t="array" ref="X90">IF(OR(A90='Nom du personnage'!$H$88:$O$88,'Nom du personnage'!$V$88:$AC$88=Magie!A90),1,)</f>
        <v>0</v>
      </c>
      <c r="Y90" t="e">
        <f ca="1">IF('Nom du personnage'!$AC$59&gt;=Magie!D90,1,)</f>
        <v>#N/A</v>
      </c>
      <c r="Z90">
        <f ca="1">IF(AND(A90='Nom du personnage'!$H$88,_xlfn.AGGREGATE(4,6,'Nom du personnage'!$C$91:$D$109)&gt;=Magie!D87),1,0)</f>
        <v>0</v>
      </c>
      <c r="AA90">
        <f ca="1">IF(AND(A90='Nom du personnage'!$V$88,_xlfn.AGGREGATE(4,6,'Nom du personnage'!$Q$91:$R$109)&gt;=Magie!D87),10,0)</f>
        <v>0</v>
      </c>
      <c r="AB90" t="e">
        <f t="shared" ca="1" si="10"/>
        <v>#N/A</v>
      </c>
      <c r="AC90" t="e">
        <f t="shared" ca="1" si="11"/>
        <v>#N/A</v>
      </c>
      <c r="AD90" t="e">
        <f>IF(VLOOKUP('Nom du personnage'!$U$51,Données!$P$3:$R$30,3,FALSE)=1,VLOOKUP(AC90,B90:C269,2,FALSE)+1,VLOOKUP(AC90,B90:C269,2,FALSE))</f>
        <v>#N/A</v>
      </c>
      <c r="AE90" t="e">
        <f t="shared" ca="1" si="12"/>
        <v>#N/A</v>
      </c>
      <c r="AF90" t="e">
        <f t="shared" ca="1" si="13"/>
        <v>#N/A</v>
      </c>
      <c r="AG90" t="e">
        <f>IF(VLOOKUP('Nom du personnage'!$U$51,Données!$P$3:$R$30,3,FALSE)=1,VLOOKUP(AF90,B90:C269,2,FALSE)+1,VLOOKUP(AF90,B90:C269,2,FALSE))</f>
        <v>#N/A</v>
      </c>
      <c r="AH90" t="e">
        <f t="shared" ca="1" si="14"/>
        <v>#N/A</v>
      </c>
    </row>
    <row r="91" spans="1:34">
      <c r="A91" s="2" t="s">
        <v>319</v>
      </c>
      <c r="B91" s="2" t="s">
        <v>443</v>
      </c>
      <c r="C91">
        <v>5</v>
      </c>
      <c r="D91">
        <v>10</v>
      </c>
      <c r="F91" s="2" t="s">
        <v>108</v>
      </c>
      <c r="G91" s="2" t="s">
        <v>325</v>
      </c>
      <c r="I91" s="3">
        <f t="shared" si="9"/>
        <v>0</v>
      </c>
      <c r="J91" cm="1">
        <f t="array" ref="J91:N91">'Nom du personnage'!$F$54:$J$54</f>
        <v>0</v>
      </c>
      <c r="K91">
        <v>0</v>
      </c>
      <c r="L91">
        <v>0</v>
      </c>
      <c r="M91">
        <v>0</v>
      </c>
      <c r="N91">
        <v>0</v>
      </c>
      <c r="O91" cm="1">
        <f t="array" ref="O91:W91">'Nom du personnage'!$H$88:$P$88</f>
        <v>0</v>
      </c>
      <c r="P91">
        <v>0</v>
      </c>
      <c r="Q91">
        <v>0</v>
      </c>
      <c r="R91">
        <v>0</v>
      </c>
      <c r="S91">
        <v>0</v>
      </c>
      <c r="T91">
        <v>0</v>
      </c>
      <c r="U91">
        <v>0</v>
      </c>
      <c r="V91">
        <v>0</v>
      </c>
      <c r="W91">
        <v>0</v>
      </c>
      <c r="X91" cm="1">
        <f t="array" ref="X91">IF(OR(A91='Nom du personnage'!$H$88:$O$88,'Nom du personnage'!$V$88:$AC$88=Magie!A91),1,)</f>
        <v>0</v>
      </c>
      <c r="Y91" t="e">
        <f ca="1">IF('Nom du personnage'!$AC$59&gt;=Magie!D91,1,)</f>
        <v>#N/A</v>
      </c>
      <c r="Z91">
        <f ca="1">IF(AND(A91='Nom du personnage'!$H$88,_xlfn.AGGREGATE(4,6,'Nom du personnage'!$C$91:$D$109)&gt;=Magie!D88),1,0)</f>
        <v>0</v>
      </c>
      <c r="AA91">
        <f ca="1">IF(AND(A91='Nom du personnage'!$V$88,_xlfn.AGGREGATE(4,6,'Nom du personnage'!$Q$91:$R$109)&gt;=Magie!D88),10,0)</f>
        <v>0</v>
      </c>
      <c r="AB91" t="e">
        <f t="shared" ca="1" si="10"/>
        <v>#N/A</v>
      </c>
      <c r="AC91" t="e">
        <f t="shared" ca="1" si="11"/>
        <v>#N/A</v>
      </c>
      <c r="AD91" t="e">
        <f>IF(VLOOKUP('Nom du personnage'!$U$51,Données!$P$3:$R$30,3,FALSE)=1,VLOOKUP(AC91,B91:C270,2,FALSE)+1,VLOOKUP(AC91,B91:C270,2,FALSE))</f>
        <v>#N/A</v>
      </c>
      <c r="AE91" t="e">
        <f t="shared" ca="1" si="12"/>
        <v>#N/A</v>
      </c>
      <c r="AF91" t="e">
        <f t="shared" ca="1" si="13"/>
        <v>#N/A</v>
      </c>
      <c r="AG91" t="e">
        <f>IF(VLOOKUP('Nom du personnage'!$U$51,Données!$P$3:$R$30,3,FALSE)=1,VLOOKUP(AF91,B91:C270,2,FALSE)+1,VLOOKUP(AF91,B91:C270,2,FALSE))</f>
        <v>#N/A</v>
      </c>
      <c r="AH91" t="e">
        <f t="shared" ca="1" si="14"/>
        <v>#N/A</v>
      </c>
    </row>
    <row r="92" spans="1:34">
      <c r="A92" s="2" t="s">
        <v>319</v>
      </c>
      <c r="B92" s="2" t="s">
        <v>444</v>
      </c>
      <c r="C92">
        <v>5</v>
      </c>
      <c r="D92">
        <v>10</v>
      </c>
      <c r="F92" s="2" t="s">
        <v>108</v>
      </c>
      <c r="G92" s="2" t="s">
        <v>37</v>
      </c>
      <c r="I92" s="3">
        <f t="shared" si="9"/>
        <v>0</v>
      </c>
      <c r="J92" cm="1">
        <f t="array" ref="J92:N92">'Nom du personnage'!$F$54:$J$54</f>
        <v>0</v>
      </c>
      <c r="K92">
        <v>0</v>
      </c>
      <c r="L92">
        <v>0</v>
      </c>
      <c r="M92">
        <v>0</v>
      </c>
      <c r="N92">
        <v>0</v>
      </c>
      <c r="O92" cm="1">
        <f t="array" ref="O92:W92">'Nom du personnage'!$H$88:$P$88</f>
        <v>0</v>
      </c>
      <c r="P92">
        <v>0</v>
      </c>
      <c r="Q92">
        <v>0</v>
      </c>
      <c r="R92">
        <v>0</v>
      </c>
      <c r="S92">
        <v>0</v>
      </c>
      <c r="T92">
        <v>0</v>
      </c>
      <c r="U92">
        <v>0</v>
      </c>
      <c r="V92">
        <v>0</v>
      </c>
      <c r="W92">
        <v>0</v>
      </c>
      <c r="X92" cm="1">
        <f t="array" ref="X92">IF(OR(A92='Nom du personnage'!$H$88:$O$88,'Nom du personnage'!$V$88:$AC$88=Magie!A92),1,)</f>
        <v>0</v>
      </c>
      <c r="Y92" t="e">
        <f ca="1">IF('Nom du personnage'!$AC$59&gt;=Magie!D92,1,)</f>
        <v>#N/A</v>
      </c>
      <c r="Z92">
        <f ca="1">IF(AND(A92='Nom du personnage'!$H$88,_xlfn.AGGREGATE(4,6,'Nom du personnage'!$C$91:$D$109)&gt;=Magie!D89),1,0)</f>
        <v>0</v>
      </c>
      <c r="AA92">
        <f ca="1">IF(AND(A92='Nom du personnage'!$V$88,_xlfn.AGGREGATE(4,6,'Nom du personnage'!$Q$91:$R$109)&gt;=Magie!D89),10,0)</f>
        <v>0</v>
      </c>
      <c r="AB92" t="e">
        <f t="shared" ca="1" si="10"/>
        <v>#N/A</v>
      </c>
      <c r="AC92" t="e">
        <f t="shared" ca="1" si="11"/>
        <v>#N/A</v>
      </c>
      <c r="AD92" t="e">
        <f>IF(VLOOKUP('Nom du personnage'!$U$51,Données!$P$3:$R$30,3,FALSE)=1,VLOOKUP(AC92,B92:C271,2,FALSE)+1,VLOOKUP(AC92,B92:C271,2,FALSE))</f>
        <v>#N/A</v>
      </c>
      <c r="AE92" t="e">
        <f t="shared" ca="1" si="12"/>
        <v>#N/A</v>
      </c>
      <c r="AF92" t="e">
        <f t="shared" ca="1" si="13"/>
        <v>#N/A</v>
      </c>
      <c r="AG92" t="e">
        <f>IF(VLOOKUP('Nom du personnage'!$U$51,Données!$P$3:$R$30,3,FALSE)=1,VLOOKUP(AF92,B92:C271,2,FALSE)+1,VLOOKUP(AF92,B92:C271,2,FALSE))</f>
        <v>#N/A</v>
      </c>
      <c r="AH92" t="e">
        <f t="shared" ca="1" si="14"/>
        <v>#N/A</v>
      </c>
    </row>
    <row r="93" spans="1:34">
      <c r="A93" s="2" t="s">
        <v>320</v>
      </c>
      <c r="B93" s="2" t="s">
        <v>458</v>
      </c>
      <c r="C93">
        <v>2</v>
      </c>
      <c r="D93">
        <v>1</v>
      </c>
      <c r="F93" s="2" t="s">
        <v>68</v>
      </c>
      <c r="G93" s="2" t="s">
        <v>37</v>
      </c>
      <c r="I93" s="3">
        <f t="shared" si="9"/>
        <v>0</v>
      </c>
      <c r="J93" cm="1">
        <f t="array" ref="J93:N93">'Nom du personnage'!$F$54:$J$54</f>
        <v>0</v>
      </c>
      <c r="K93">
        <v>0</v>
      </c>
      <c r="L93">
        <v>0</v>
      </c>
      <c r="M93">
        <v>0</v>
      </c>
      <c r="N93">
        <v>0</v>
      </c>
      <c r="O93" cm="1">
        <f t="array" ref="O93:W93">'Nom du personnage'!$H$88:$P$88</f>
        <v>0</v>
      </c>
      <c r="P93">
        <v>0</v>
      </c>
      <c r="Q93">
        <v>0</v>
      </c>
      <c r="R93">
        <v>0</v>
      </c>
      <c r="S93">
        <v>0</v>
      </c>
      <c r="T93">
        <v>0</v>
      </c>
      <c r="U93">
        <v>0</v>
      </c>
      <c r="V93">
        <v>0</v>
      </c>
      <c r="W93">
        <v>0</v>
      </c>
      <c r="X93" cm="1">
        <f t="array" ref="X93">IF(OR(A93='Nom du personnage'!$H$88:$O$88,'Nom du personnage'!$V$88:$AC$88=Magie!A93),1,)</f>
        <v>0</v>
      </c>
      <c r="Y93" t="e">
        <f ca="1">IF('Nom du personnage'!$AC$59&gt;=Magie!D93,1,)</f>
        <v>#N/A</v>
      </c>
      <c r="Z93">
        <f>IF(D93=1,1,0)</f>
        <v>1</v>
      </c>
      <c r="AA93">
        <f>IF(A93='Nom du personnage'!$V$88,10,0)</f>
        <v>0</v>
      </c>
      <c r="AB93" t="e">
        <f t="shared" ca="1" si="10"/>
        <v>#N/A</v>
      </c>
      <c r="AC93" t="e">
        <f t="shared" ca="1" si="11"/>
        <v>#N/A</v>
      </c>
      <c r="AD93" t="e">
        <f>IF(VLOOKUP('Nom du personnage'!$U$51,Données!$P$3:$R$30,3,FALSE)=1,VLOOKUP(AC93,B93:C272,2,FALSE)+1,VLOOKUP(AC93,B93:C272,2,FALSE))</f>
        <v>#N/A</v>
      </c>
      <c r="AE93" t="e">
        <f t="shared" ca="1" si="12"/>
        <v>#N/A</v>
      </c>
      <c r="AF93" t="e">
        <f t="shared" ca="1" si="13"/>
        <v>#N/A</v>
      </c>
      <c r="AG93" t="e">
        <f>IF(VLOOKUP('Nom du personnage'!$U$51,Données!$P$3:$R$30,3,FALSE)=1,VLOOKUP(AF93,B93:C272,2,FALSE)+1,VLOOKUP(AF93,B93:C272,2,FALSE))</f>
        <v>#N/A</v>
      </c>
      <c r="AH93" t="e">
        <f t="shared" ca="1" si="14"/>
        <v>#N/A</v>
      </c>
    </row>
    <row r="94" spans="1:34">
      <c r="A94" s="2" t="s">
        <v>320</v>
      </c>
      <c r="B94" s="2" t="s">
        <v>459</v>
      </c>
      <c r="C94">
        <v>2</v>
      </c>
      <c r="D94">
        <v>1</v>
      </c>
      <c r="F94" s="2" t="s">
        <v>68</v>
      </c>
      <c r="G94" s="2" t="s">
        <v>324</v>
      </c>
      <c r="I94" s="3">
        <f t="shared" si="9"/>
        <v>0</v>
      </c>
      <c r="J94" cm="1">
        <f t="array" ref="J94:N94">'Nom du personnage'!$F$54:$J$54</f>
        <v>0</v>
      </c>
      <c r="K94">
        <v>0</v>
      </c>
      <c r="L94">
        <v>0</v>
      </c>
      <c r="M94">
        <v>0</v>
      </c>
      <c r="N94">
        <v>0</v>
      </c>
      <c r="O94" cm="1">
        <f t="array" ref="O94:W94">'Nom du personnage'!$H$88:$P$88</f>
        <v>0</v>
      </c>
      <c r="P94">
        <v>0</v>
      </c>
      <c r="Q94">
        <v>0</v>
      </c>
      <c r="R94">
        <v>0</v>
      </c>
      <c r="S94">
        <v>0</v>
      </c>
      <c r="T94">
        <v>0</v>
      </c>
      <c r="U94">
        <v>0</v>
      </c>
      <c r="V94">
        <v>0</v>
      </c>
      <c r="W94">
        <v>0</v>
      </c>
      <c r="X94" cm="1">
        <f t="array" ref="X94">IF(OR(A94='Nom du personnage'!$H$88:$O$88,'Nom du personnage'!$V$88:$AC$88=Magie!A94),1,)</f>
        <v>0</v>
      </c>
      <c r="Y94" t="e">
        <f ca="1">IF('Nom du personnage'!$AC$59&gt;=Magie!D94,1,)</f>
        <v>#N/A</v>
      </c>
      <c r="Z94">
        <f t="shared" ref="Z94:Z95" si="15">IF(D94=1,1,0)</f>
        <v>1</v>
      </c>
      <c r="AA94">
        <f>IF(A94='Nom du personnage'!$V$88,10,0)</f>
        <v>0</v>
      </c>
      <c r="AB94" t="e">
        <f t="shared" ca="1" si="10"/>
        <v>#N/A</v>
      </c>
      <c r="AC94" t="e">
        <f t="shared" ca="1" si="11"/>
        <v>#N/A</v>
      </c>
      <c r="AD94" t="e">
        <f>IF(VLOOKUP('Nom du personnage'!$U$51,Données!$P$3:$R$30,3,FALSE)=1,VLOOKUP(AC94,B94:C273,2,FALSE)+1,VLOOKUP(AC94,B94:C273,2,FALSE))</f>
        <v>#N/A</v>
      </c>
      <c r="AE94" t="e">
        <f t="shared" ca="1" si="12"/>
        <v>#N/A</v>
      </c>
      <c r="AF94" t="e">
        <f t="shared" ca="1" si="13"/>
        <v>#N/A</v>
      </c>
      <c r="AG94" t="e">
        <f>IF(VLOOKUP('Nom du personnage'!$U$51,Données!$P$3:$R$30,3,FALSE)=1,VLOOKUP(AF94,B94:C273,2,FALSE)+1,VLOOKUP(AF94,B94:C273,2,FALSE))</f>
        <v>#N/A</v>
      </c>
      <c r="AH94" t="e">
        <f t="shared" ca="1" si="14"/>
        <v>#N/A</v>
      </c>
    </row>
    <row r="95" spans="1:34">
      <c r="A95" s="2" t="s">
        <v>320</v>
      </c>
      <c r="B95" s="2" t="s">
        <v>460</v>
      </c>
      <c r="C95">
        <v>2</v>
      </c>
      <c r="D95">
        <v>1</v>
      </c>
      <c r="F95" s="2" t="s">
        <v>68</v>
      </c>
      <c r="G95" s="2" t="s">
        <v>57</v>
      </c>
      <c r="I95" s="3">
        <f t="shared" si="9"/>
        <v>0</v>
      </c>
      <c r="J95" cm="1">
        <f t="array" ref="J95:N95">'Nom du personnage'!$F$54:$J$54</f>
        <v>0</v>
      </c>
      <c r="K95">
        <v>0</v>
      </c>
      <c r="L95">
        <v>0</v>
      </c>
      <c r="M95">
        <v>0</v>
      </c>
      <c r="N95">
        <v>0</v>
      </c>
      <c r="O95" cm="1">
        <f t="array" ref="O95:W95">'Nom du personnage'!$H$88:$P$88</f>
        <v>0</v>
      </c>
      <c r="P95">
        <v>0</v>
      </c>
      <c r="Q95">
        <v>0</v>
      </c>
      <c r="R95">
        <v>0</v>
      </c>
      <c r="S95">
        <v>0</v>
      </c>
      <c r="T95">
        <v>0</v>
      </c>
      <c r="U95">
        <v>0</v>
      </c>
      <c r="V95">
        <v>0</v>
      </c>
      <c r="W95">
        <v>0</v>
      </c>
      <c r="X95" cm="1">
        <f t="array" ref="X95">IF(OR(A95='Nom du personnage'!$H$88:$O$88,'Nom du personnage'!$V$88:$AC$88=Magie!A95),1,)</f>
        <v>0</v>
      </c>
      <c r="Y95" t="e">
        <f ca="1">IF('Nom du personnage'!$AC$59&gt;=Magie!D95,1,)</f>
        <v>#N/A</v>
      </c>
      <c r="Z95">
        <f t="shared" si="15"/>
        <v>1</v>
      </c>
      <c r="AA95">
        <f>IF(A95='Nom du personnage'!$V$88,10,0)</f>
        <v>0</v>
      </c>
      <c r="AB95" t="e">
        <f t="shared" ca="1" si="10"/>
        <v>#N/A</v>
      </c>
      <c r="AC95" t="e">
        <f t="shared" ca="1" si="11"/>
        <v>#N/A</v>
      </c>
      <c r="AD95" t="e">
        <f>IF(VLOOKUP('Nom du personnage'!$U$51,Données!$P$3:$R$30,3,FALSE)=1,VLOOKUP(AC95,B95:C274,2,FALSE)+1,VLOOKUP(AC95,B95:C274,2,FALSE))</f>
        <v>#N/A</v>
      </c>
      <c r="AE95" t="e">
        <f t="shared" ca="1" si="12"/>
        <v>#N/A</v>
      </c>
      <c r="AF95" t="e">
        <f t="shared" ca="1" si="13"/>
        <v>#N/A</v>
      </c>
      <c r="AG95" t="e">
        <f>IF(VLOOKUP('Nom du personnage'!$U$51,Données!$P$3:$R$30,3,FALSE)=1,VLOOKUP(AF95,B95:C274,2,FALSE)+1,VLOOKUP(AF95,B95:C274,2,FALSE))</f>
        <v>#N/A</v>
      </c>
      <c r="AH95" t="e">
        <f t="shared" ca="1" si="14"/>
        <v>#N/A</v>
      </c>
    </row>
    <row r="96" spans="1:34">
      <c r="A96" s="2" t="s">
        <v>320</v>
      </c>
      <c r="B96" s="2" t="s">
        <v>461</v>
      </c>
      <c r="C96">
        <v>2</v>
      </c>
      <c r="D96">
        <v>2</v>
      </c>
      <c r="F96" s="2" t="s">
        <v>92</v>
      </c>
      <c r="G96" s="2" t="s">
        <v>37</v>
      </c>
      <c r="I96" s="3">
        <f t="shared" si="9"/>
        <v>0</v>
      </c>
      <c r="J96" cm="1">
        <f t="array" ref="J96:N96">'Nom du personnage'!$F$54:$J$54</f>
        <v>0</v>
      </c>
      <c r="K96">
        <v>0</v>
      </c>
      <c r="L96">
        <v>0</v>
      </c>
      <c r="M96">
        <v>0</v>
      </c>
      <c r="N96">
        <v>0</v>
      </c>
      <c r="O96" cm="1">
        <f t="array" ref="O96:W96">'Nom du personnage'!$H$88:$P$88</f>
        <v>0</v>
      </c>
      <c r="P96">
        <v>0</v>
      </c>
      <c r="Q96">
        <v>0</v>
      </c>
      <c r="R96">
        <v>0</v>
      </c>
      <c r="S96">
        <v>0</v>
      </c>
      <c r="T96">
        <v>0</v>
      </c>
      <c r="U96">
        <v>0</v>
      </c>
      <c r="V96">
        <v>0</v>
      </c>
      <c r="W96">
        <v>0</v>
      </c>
      <c r="X96" cm="1">
        <f t="array" ref="X96">IF(OR(A96='Nom du personnage'!$H$88:$O$88,'Nom du personnage'!$V$88:$AC$88=Magie!A96),1,)</f>
        <v>0</v>
      </c>
      <c r="Y96" t="e">
        <f ca="1">IF('Nom du personnage'!$AC$59&gt;=Magie!D96,1,)</f>
        <v>#N/A</v>
      </c>
      <c r="Z96">
        <f ca="1">IF(AND(A96='Nom du personnage'!$H$88,_xlfn.AGGREGATE(4,6,'Nom du personnage'!$C$91:$D$109)&gt;=Magie!D93),1,0)</f>
        <v>0</v>
      </c>
      <c r="AA96">
        <f ca="1">IF(AND(A96='Nom du personnage'!$V$88,_xlfn.AGGREGATE(4,6,'Nom du personnage'!$Q$91:$R$109)&gt;=Magie!D93),10,0)</f>
        <v>0</v>
      </c>
      <c r="AB96" t="e">
        <f t="shared" ca="1" si="10"/>
        <v>#N/A</v>
      </c>
      <c r="AC96" t="e">
        <f t="shared" ca="1" si="11"/>
        <v>#N/A</v>
      </c>
      <c r="AD96" t="e">
        <f>IF(VLOOKUP('Nom du personnage'!$U$51,Données!$P$3:$R$30,3,FALSE)=1,VLOOKUP(AC96,B96:C275,2,FALSE)+1,VLOOKUP(AC96,B96:C275,2,FALSE))</f>
        <v>#N/A</v>
      </c>
      <c r="AE96" t="e">
        <f t="shared" ca="1" si="12"/>
        <v>#N/A</v>
      </c>
      <c r="AF96" t="e">
        <f t="shared" ca="1" si="13"/>
        <v>#N/A</v>
      </c>
      <c r="AG96" t="e">
        <f>IF(VLOOKUP('Nom du personnage'!$U$51,Données!$P$3:$R$30,3,FALSE)=1,VLOOKUP(AF96,B96:C275,2,FALSE)+1,VLOOKUP(AF96,B96:C275,2,FALSE))</f>
        <v>#N/A</v>
      </c>
      <c r="AH96" t="e">
        <f t="shared" ca="1" si="14"/>
        <v>#N/A</v>
      </c>
    </row>
    <row r="97" spans="1:34">
      <c r="A97" s="2" t="s">
        <v>320</v>
      </c>
      <c r="B97" s="2" t="s">
        <v>462</v>
      </c>
      <c r="C97">
        <v>2</v>
      </c>
      <c r="D97">
        <v>2</v>
      </c>
      <c r="F97" s="2" t="s">
        <v>92</v>
      </c>
      <c r="G97" s="2" t="s">
        <v>41</v>
      </c>
      <c r="I97" s="3">
        <f t="shared" si="9"/>
        <v>0</v>
      </c>
      <c r="J97" cm="1">
        <f t="array" ref="J97:N97">'Nom du personnage'!$F$54:$J$54</f>
        <v>0</v>
      </c>
      <c r="K97">
        <v>0</v>
      </c>
      <c r="L97">
        <v>0</v>
      </c>
      <c r="M97">
        <v>0</v>
      </c>
      <c r="N97">
        <v>0</v>
      </c>
      <c r="O97" cm="1">
        <f t="array" ref="O97:W97">'Nom du personnage'!$H$88:$P$88</f>
        <v>0</v>
      </c>
      <c r="P97">
        <v>0</v>
      </c>
      <c r="Q97">
        <v>0</v>
      </c>
      <c r="R97">
        <v>0</v>
      </c>
      <c r="S97">
        <v>0</v>
      </c>
      <c r="T97">
        <v>0</v>
      </c>
      <c r="U97">
        <v>0</v>
      </c>
      <c r="V97">
        <v>0</v>
      </c>
      <c r="W97">
        <v>0</v>
      </c>
      <c r="X97" cm="1">
        <f t="array" ref="X97">IF(OR(A97='Nom du personnage'!$H$88:$O$88,'Nom du personnage'!$V$88:$AC$88=Magie!A97),1,)</f>
        <v>0</v>
      </c>
      <c r="Y97" t="e">
        <f ca="1">IF('Nom du personnage'!$AC$59&gt;=Magie!D97,1,)</f>
        <v>#N/A</v>
      </c>
      <c r="Z97">
        <f ca="1">IF(AND(A97='Nom du personnage'!$H$88,_xlfn.AGGREGATE(4,6,'Nom du personnage'!$C$91:$D$109)&gt;=Magie!D94),1,0)</f>
        <v>0</v>
      </c>
      <c r="AA97">
        <f ca="1">IF(AND(A97='Nom du personnage'!$V$88,_xlfn.AGGREGATE(4,6,'Nom du personnage'!$Q$91:$R$109)&gt;=Magie!D94),10,0)</f>
        <v>0</v>
      </c>
      <c r="AB97" t="e">
        <f t="shared" ca="1" si="10"/>
        <v>#N/A</v>
      </c>
      <c r="AC97" t="e">
        <f t="shared" ca="1" si="11"/>
        <v>#N/A</v>
      </c>
      <c r="AD97" t="e">
        <f>IF(VLOOKUP('Nom du personnage'!$U$51,Données!$P$3:$R$30,3,FALSE)=1,VLOOKUP(AC97,B97:C276,2,FALSE)+1,VLOOKUP(AC97,B97:C276,2,FALSE))</f>
        <v>#N/A</v>
      </c>
      <c r="AE97" t="e">
        <f t="shared" ca="1" si="12"/>
        <v>#N/A</v>
      </c>
      <c r="AF97" t="e">
        <f t="shared" ca="1" si="13"/>
        <v>#N/A</v>
      </c>
      <c r="AG97" t="e">
        <f>IF(VLOOKUP('Nom du personnage'!$U$51,Données!$P$3:$R$30,3,FALSE)=1,VLOOKUP(AF97,B97:C276,2,FALSE)+1,VLOOKUP(AF97,B97:C276,2,FALSE))</f>
        <v>#N/A</v>
      </c>
      <c r="AH97" t="e">
        <f t="shared" ca="1" si="14"/>
        <v>#N/A</v>
      </c>
    </row>
    <row r="98" spans="1:34">
      <c r="A98" s="2" t="s">
        <v>320</v>
      </c>
      <c r="B98" s="2" t="s">
        <v>463</v>
      </c>
      <c r="C98">
        <v>2</v>
      </c>
      <c r="D98">
        <v>2</v>
      </c>
      <c r="F98" s="2" t="s">
        <v>92</v>
      </c>
      <c r="G98" s="2" t="s">
        <v>324</v>
      </c>
      <c r="I98" s="3">
        <f t="shared" si="9"/>
        <v>0</v>
      </c>
      <c r="J98" cm="1">
        <f t="array" ref="J98:N98">'Nom du personnage'!$F$54:$J$54</f>
        <v>0</v>
      </c>
      <c r="K98">
        <v>0</v>
      </c>
      <c r="L98">
        <v>0</v>
      </c>
      <c r="M98">
        <v>0</v>
      </c>
      <c r="N98">
        <v>0</v>
      </c>
      <c r="O98" cm="1">
        <f t="array" ref="O98:W98">'Nom du personnage'!$H$88:$P$88</f>
        <v>0</v>
      </c>
      <c r="P98">
        <v>0</v>
      </c>
      <c r="Q98">
        <v>0</v>
      </c>
      <c r="R98">
        <v>0</v>
      </c>
      <c r="S98">
        <v>0</v>
      </c>
      <c r="T98">
        <v>0</v>
      </c>
      <c r="U98">
        <v>0</v>
      </c>
      <c r="V98">
        <v>0</v>
      </c>
      <c r="W98">
        <v>0</v>
      </c>
      <c r="X98" cm="1">
        <f t="array" ref="X98">IF(OR(A98='Nom du personnage'!$H$88:$O$88,'Nom du personnage'!$V$88:$AC$88=Magie!A98),1,)</f>
        <v>0</v>
      </c>
      <c r="Y98" t="e">
        <f ca="1">IF('Nom du personnage'!$AC$59&gt;=Magie!D98,1,)</f>
        <v>#N/A</v>
      </c>
      <c r="Z98">
        <f ca="1">IF(AND(A98='Nom du personnage'!$H$88,_xlfn.AGGREGATE(4,6,'Nom du personnage'!$C$91:$D$109)&gt;=Magie!D95),1,0)</f>
        <v>0</v>
      </c>
      <c r="AA98">
        <f ca="1">IF(AND(A98='Nom du personnage'!$V$88,_xlfn.AGGREGATE(4,6,'Nom du personnage'!$Q$91:$R$109)&gt;=Magie!D95),10,0)</f>
        <v>0</v>
      </c>
      <c r="AB98" t="e">
        <f t="shared" ca="1" si="10"/>
        <v>#N/A</v>
      </c>
      <c r="AC98" t="e">
        <f t="shared" ca="1" si="11"/>
        <v>#N/A</v>
      </c>
      <c r="AD98" t="e">
        <f>IF(VLOOKUP('Nom du personnage'!$U$51,Données!$P$3:$R$30,3,FALSE)=1,VLOOKUP(AC98,B98:C277,2,FALSE)+1,VLOOKUP(AC98,B98:C277,2,FALSE))</f>
        <v>#N/A</v>
      </c>
      <c r="AE98" t="e">
        <f t="shared" ca="1" si="12"/>
        <v>#N/A</v>
      </c>
      <c r="AF98" t="e">
        <f t="shared" ca="1" si="13"/>
        <v>#N/A</v>
      </c>
      <c r="AG98" t="e">
        <f>IF(VLOOKUP('Nom du personnage'!$U$51,Données!$P$3:$R$30,3,FALSE)=1,VLOOKUP(AF98,B98:C277,2,FALSE)+1,VLOOKUP(AF98,B98:C277,2,FALSE))</f>
        <v>#N/A</v>
      </c>
      <c r="AH98" t="e">
        <f t="shared" ca="1" si="14"/>
        <v>#N/A</v>
      </c>
    </row>
    <row r="99" spans="1:34">
      <c r="A99" s="2" t="s">
        <v>320</v>
      </c>
      <c r="B99" s="2" t="s">
        <v>332</v>
      </c>
      <c r="C99">
        <v>2</v>
      </c>
      <c r="D99">
        <v>3</v>
      </c>
      <c r="F99" s="2" t="s">
        <v>92</v>
      </c>
      <c r="G99" s="2" t="s">
        <v>53</v>
      </c>
      <c r="I99" s="3">
        <f t="shared" ref="I99:I130" si="16">IF(J99=F99,G99,)</f>
        <v>0</v>
      </c>
      <c r="J99" cm="1">
        <f t="array" ref="J99:N99">'Nom du personnage'!$F$54:$J$54</f>
        <v>0</v>
      </c>
      <c r="K99">
        <v>0</v>
      </c>
      <c r="L99">
        <v>0</v>
      </c>
      <c r="M99">
        <v>0</v>
      </c>
      <c r="N99">
        <v>0</v>
      </c>
      <c r="O99" cm="1">
        <f t="array" ref="O99:W99">'Nom du personnage'!$H$88:$P$88</f>
        <v>0</v>
      </c>
      <c r="P99">
        <v>0</v>
      </c>
      <c r="Q99">
        <v>0</v>
      </c>
      <c r="R99">
        <v>0</v>
      </c>
      <c r="S99">
        <v>0</v>
      </c>
      <c r="T99">
        <v>0</v>
      </c>
      <c r="U99">
        <v>0</v>
      </c>
      <c r="V99">
        <v>0</v>
      </c>
      <c r="W99">
        <v>0</v>
      </c>
      <c r="X99" cm="1">
        <f t="array" ref="X99">IF(OR(A99='Nom du personnage'!$H$88:$O$88,'Nom du personnage'!$V$88:$AC$88=Magie!A99),1,)</f>
        <v>0</v>
      </c>
      <c r="Y99" t="e">
        <f ca="1">IF('Nom du personnage'!$AC$59&gt;=Magie!D99,1,)</f>
        <v>#N/A</v>
      </c>
      <c r="Z99">
        <f ca="1">IF(AND(A99='Nom du personnage'!$H$88,_xlfn.AGGREGATE(4,6,'Nom du personnage'!$C$91:$D$109)&gt;=Magie!D96),1,0)</f>
        <v>0</v>
      </c>
      <c r="AA99">
        <f ca="1">IF(AND(A99='Nom du personnage'!$V$88,_xlfn.AGGREGATE(4,6,'Nom du personnage'!$Q$91:$R$109)&gt;=Magie!D96),10,0)</f>
        <v>0</v>
      </c>
      <c r="AB99" t="e">
        <f t="shared" ca="1" si="10"/>
        <v>#N/A</v>
      </c>
      <c r="AC99" t="e">
        <f t="shared" ca="1" si="11"/>
        <v>#N/A</v>
      </c>
      <c r="AD99" t="e">
        <f>IF(VLOOKUP('Nom du personnage'!$U$51,Données!$P$3:$R$30,3,FALSE)=1,VLOOKUP(AC99,B99:C278,2,FALSE)+1,VLOOKUP(AC99,B99:C278,2,FALSE))</f>
        <v>#N/A</v>
      </c>
      <c r="AE99" t="e">
        <f t="shared" ca="1" si="12"/>
        <v>#N/A</v>
      </c>
      <c r="AF99" t="e">
        <f t="shared" ca="1" si="13"/>
        <v>#N/A</v>
      </c>
      <c r="AG99" t="e">
        <f>IF(VLOOKUP('Nom du personnage'!$U$51,Données!$P$3:$R$30,3,FALSE)=1,VLOOKUP(AF99,B99:C278,2,FALSE)+1,VLOOKUP(AF99,B99:C278,2,FALSE))</f>
        <v>#N/A</v>
      </c>
      <c r="AH99" t="e">
        <f t="shared" ca="1" si="14"/>
        <v>#N/A</v>
      </c>
    </row>
    <row r="100" spans="1:34">
      <c r="A100" s="2" t="s">
        <v>320</v>
      </c>
      <c r="B100" s="2" t="s">
        <v>464</v>
      </c>
      <c r="C100">
        <v>2</v>
      </c>
      <c r="D100">
        <v>3</v>
      </c>
      <c r="F100" s="2" t="s">
        <v>92</v>
      </c>
      <c r="G100" s="2" t="s">
        <v>57</v>
      </c>
      <c r="I100" s="3">
        <f t="shared" si="16"/>
        <v>0</v>
      </c>
      <c r="J100" cm="1">
        <f t="array" ref="J100:N100">'Nom du personnage'!$F$54:$J$54</f>
        <v>0</v>
      </c>
      <c r="K100">
        <v>0</v>
      </c>
      <c r="L100">
        <v>0</v>
      </c>
      <c r="M100">
        <v>0</v>
      </c>
      <c r="N100">
        <v>0</v>
      </c>
      <c r="O100" cm="1">
        <f t="array" ref="O100:W100">'Nom du personnage'!$H$88:$P$88</f>
        <v>0</v>
      </c>
      <c r="P100">
        <v>0</v>
      </c>
      <c r="Q100">
        <v>0</v>
      </c>
      <c r="R100">
        <v>0</v>
      </c>
      <c r="S100">
        <v>0</v>
      </c>
      <c r="T100">
        <v>0</v>
      </c>
      <c r="U100">
        <v>0</v>
      </c>
      <c r="V100">
        <v>0</v>
      </c>
      <c r="W100">
        <v>0</v>
      </c>
      <c r="X100" cm="1">
        <f t="array" ref="X100">IF(OR(A100='Nom du personnage'!$H$88:$O$88,'Nom du personnage'!$V$88:$AC$88=Magie!A100),1,)</f>
        <v>0</v>
      </c>
      <c r="Y100" t="e">
        <f ca="1">IF('Nom du personnage'!$AC$59&gt;=Magie!D100,1,)</f>
        <v>#N/A</v>
      </c>
      <c r="Z100">
        <f ca="1">IF(AND(A100='Nom du personnage'!$H$88,_xlfn.AGGREGATE(4,6,'Nom du personnage'!$C$91:$D$109)&gt;=Magie!D97),1,0)</f>
        <v>0</v>
      </c>
      <c r="AA100">
        <f ca="1">IF(AND(A100='Nom du personnage'!$V$88,_xlfn.AGGREGATE(4,6,'Nom du personnage'!$Q$91:$R$109)&gt;=Magie!D97),10,0)</f>
        <v>0</v>
      </c>
      <c r="AB100" t="e">
        <f t="shared" ca="1" si="10"/>
        <v>#N/A</v>
      </c>
      <c r="AC100" t="e">
        <f t="shared" ref="AC100:AC131" ca="1" si="17">IF(AB100=3,B100,)</f>
        <v>#N/A</v>
      </c>
      <c r="AD100" t="e">
        <f>IF(VLOOKUP('Nom du personnage'!$U$51,Données!$P$3:$R$30,3,FALSE)=1,VLOOKUP(AC100,B100:C279,2,FALSE)+1,VLOOKUP(AC100,B100:C279,2,FALSE))</f>
        <v>#N/A</v>
      </c>
      <c r="AE100" t="e">
        <f t="shared" ca="1" si="12"/>
        <v>#N/A</v>
      </c>
      <c r="AF100" t="e">
        <f t="shared" ca="1" si="13"/>
        <v>#N/A</v>
      </c>
      <c r="AG100" t="e">
        <f>IF(VLOOKUP('Nom du personnage'!$U$51,Données!$P$3:$R$30,3,FALSE)=1,VLOOKUP(AF100,B100:C279,2,FALSE)+1,VLOOKUP(AF100,B100:C279,2,FALSE))</f>
        <v>#N/A</v>
      </c>
      <c r="AH100" t="e">
        <f t="shared" ca="1" si="14"/>
        <v>#N/A</v>
      </c>
    </row>
    <row r="101" spans="1:34">
      <c r="A101" s="2" t="s">
        <v>320</v>
      </c>
      <c r="B101" s="2" t="s">
        <v>465</v>
      </c>
      <c r="C101">
        <v>2</v>
      </c>
      <c r="D101">
        <v>3</v>
      </c>
      <c r="F101" s="2" t="s">
        <v>121</v>
      </c>
      <c r="G101" s="2" t="s">
        <v>325</v>
      </c>
      <c r="I101" s="3">
        <f t="shared" si="16"/>
        <v>0</v>
      </c>
      <c r="J101" cm="1">
        <f t="array" ref="J101:N101">'Nom du personnage'!$F$54:$J$54</f>
        <v>0</v>
      </c>
      <c r="K101">
        <v>0</v>
      </c>
      <c r="L101">
        <v>0</v>
      </c>
      <c r="M101">
        <v>0</v>
      </c>
      <c r="N101">
        <v>0</v>
      </c>
      <c r="O101" cm="1">
        <f t="array" ref="O101:W101">'Nom du personnage'!$H$88:$P$88</f>
        <v>0</v>
      </c>
      <c r="P101">
        <v>0</v>
      </c>
      <c r="Q101">
        <v>0</v>
      </c>
      <c r="R101">
        <v>0</v>
      </c>
      <c r="S101">
        <v>0</v>
      </c>
      <c r="T101">
        <v>0</v>
      </c>
      <c r="U101">
        <v>0</v>
      </c>
      <c r="V101">
        <v>0</v>
      </c>
      <c r="W101">
        <v>0</v>
      </c>
      <c r="X101" cm="1">
        <f t="array" ref="X101">IF(OR(A101='Nom du personnage'!$H$88:$O$88,'Nom du personnage'!$V$88:$AC$88=Magie!A101),1,)</f>
        <v>0</v>
      </c>
      <c r="Y101" t="e">
        <f ca="1">IF('Nom du personnage'!$AC$59&gt;=Magie!D101,1,)</f>
        <v>#N/A</v>
      </c>
      <c r="Z101">
        <f ca="1">IF(AND(A101='Nom du personnage'!$H$88,_xlfn.AGGREGATE(4,6,'Nom du personnage'!$C$91:$D$109)&gt;=Magie!D98),1,0)</f>
        <v>0</v>
      </c>
      <c r="AA101">
        <f ca="1">IF(AND(A101='Nom du personnage'!$V$88,_xlfn.AGGREGATE(4,6,'Nom du personnage'!$Q$91:$R$109)&gt;=Magie!D98),10,0)</f>
        <v>0</v>
      </c>
      <c r="AB101" t="e">
        <f t="shared" ca="1" si="10"/>
        <v>#N/A</v>
      </c>
      <c r="AC101" t="e">
        <f t="shared" ca="1" si="17"/>
        <v>#N/A</v>
      </c>
      <c r="AD101" t="e">
        <f>IF(VLOOKUP('Nom du personnage'!$U$51,Données!$P$3:$R$30,3,FALSE)=1,VLOOKUP(AC101,B101:C280,2,FALSE)+1,VLOOKUP(AC101,B101:C280,2,FALSE))</f>
        <v>#N/A</v>
      </c>
      <c r="AE101" t="e">
        <f t="shared" ca="1" si="12"/>
        <v>#N/A</v>
      </c>
      <c r="AF101" t="e">
        <f t="shared" ca="1" si="13"/>
        <v>#N/A</v>
      </c>
      <c r="AG101" t="e">
        <f>IF(VLOOKUP('Nom du personnage'!$U$51,Données!$P$3:$R$30,3,FALSE)=1,VLOOKUP(AF101,B101:C280,2,FALSE)+1,VLOOKUP(AF101,B101:C280,2,FALSE))</f>
        <v>#N/A</v>
      </c>
      <c r="AH101" t="e">
        <f t="shared" ca="1" si="14"/>
        <v>#N/A</v>
      </c>
    </row>
    <row r="102" spans="1:34">
      <c r="A102" s="2" t="s">
        <v>320</v>
      </c>
      <c r="B102" s="2" t="s">
        <v>466</v>
      </c>
      <c r="C102">
        <v>3</v>
      </c>
      <c r="D102">
        <v>4</v>
      </c>
      <c r="F102" s="2" t="s">
        <v>121</v>
      </c>
      <c r="G102" s="2" t="s">
        <v>319</v>
      </c>
      <c r="I102" s="3">
        <f t="shared" si="16"/>
        <v>0</v>
      </c>
      <c r="J102" cm="1">
        <f t="array" ref="J102:N102">'Nom du personnage'!$F$54:$J$54</f>
        <v>0</v>
      </c>
      <c r="K102">
        <v>0</v>
      </c>
      <c r="L102">
        <v>0</v>
      </c>
      <c r="M102">
        <v>0</v>
      </c>
      <c r="N102">
        <v>0</v>
      </c>
      <c r="O102" cm="1">
        <f t="array" ref="O102:W102">'Nom du personnage'!$H$88:$P$88</f>
        <v>0</v>
      </c>
      <c r="P102">
        <v>0</v>
      </c>
      <c r="Q102">
        <v>0</v>
      </c>
      <c r="R102">
        <v>0</v>
      </c>
      <c r="S102">
        <v>0</v>
      </c>
      <c r="T102">
        <v>0</v>
      </c>
      <c r="U102">
        <v>0</v>
      </c>
      <c r="V102">
        <v>0</v>
      </c>
      <c r="W102">
        <v>0</v>
      </c>
      <c r="X102" cm="1">
        <f t="array" ref="X102">IF(OR(A102='Nom du personnage'!$H$88:$O$88,'Nom du personnage'!$V$88:$AC$88=Magie!A102),1,)</f>
        <v>0</v>
      </c>
      <c r="Y102" t="e">
        <f ca="1">IF('Nom du personnage'!$AC$59&gt;=Magie!D102,1,)</f>
        <v>#N/A</v>
      </c>
      <c r="Z102">
        <f ca="1">IF(AND(A102='Nom du personnage'!$H$88,_xlfn.AGGREGATE(4,6,'Nom du personnage'!$C$91:$D$109)&gt;=Magie!D99),1,0)</f>
        <v>0</v>
      </c>
      <c r="AA102">
        <f ca="1">IF(AND(A102='Nom du personnage'!$V$88,_xlfn.AGGREGATE(4,6,'Nom du personnage'!$Q$91:$R$109)&gt;=Magie!D99),10,0)</f>
        <v>0</v>
      </c>
      <c r="AB102" t="e">
        <f t="shared" ca="1" si="10"/>
        <v>#N/A</v>
      </c>
      <c r="AC102" t="e">
        <f t="shared" ca="1" si="17"/>
        <v>#N/A</v>
      </c>
      <c r="AD102" t="e">
        <f>IF(VLOOKUP('Nom du personnage'!$U$51,Données!$P$3:$R$30,3,FALSE)=1,VLOOKUP(AC102,B102:C281,2,FALSE)+1,VLOOKUP(AC102,B102:C281,2,FALSE))</f>
        <v>#N/A</v>
      </c>
      <c r="AE102" t="e">
        <f t="shared" ca="1" si="12"/>
        <v>#N/A</v>
      </c>
      <c r="AF102" t="e">
        <f t="shared" ca="1" si="13"/>
        <v>#N/A</v>
      </c>
      <c r="AG102" t="e">
        <f>IF(VLOOKUP('Nom du personnage'!$U$51,Données!$P$3:$R$30,3,FALSE)=1,VLOOKUP(AF102,B102:C281,2,FALSE)+1,VLOOKUP(AF102,B102:C281,2,FALSE))</f>
        <v>#N/A</v>
      </c>
      <c r="AH102" t="e">
        <f t="shared" ca="1" si="14"/>
        <v>#N/A</v>
      </c>
    </row>
    <row r="103" spans="1:34">
      <c r="A103" s="2" t="s">
        <v>320</v>
      </c>
      <c r="B103" s="2" t="s">
        <v>339</v>
      </c>
      <c r="C103">
        <v>3</v>
      </c>
      <c r="D103">
        <v>4</v>
      </c>
      <c r="F103" s="2" t="s">
        <v>121</v>
      </c>
      <c r="G103" s="2" t="s">
        <v>320</v>
      </c>
      <c r="I103" s="3">
        <f t="shared" si="16"/>
        <v>0</v>
      </c>
      <c r="J103" cm="1">
        <f t="array" ref="J103:N103">'Nom du personnage'!$F$54:$J$54</f>
        <v>0</v>
      </c>
      <c r="K103">
        <v>0</v>
      </c>
      <c r="L103">
        <v>0</v>
      </c>
      <c r="M103">
        <v>0</v>
      </c>
      <c r="N103">
        <v>0</v>
      </c>
      <c r="O103" cm="1">
        <f t="array" ref="O103:W103">'Nom du personnage'!$H$88:$P$88</f>
        <v>0</v>
      </c>
      <c r="P103">
        <v>0</v>
      </c>
      <c r="Q103">
        <v>0</v>
      </c>
      <c r="R103">
        <v>0</v>
      </c>
      <c r="S103">
        <v>0</v>
      </c>
      <c r="T103">
        <v>0</v>
      </c>
      <c r="U103">
        <v>0</v>
      </c>
      <c r="V103">
        <v>0</v>
      </c>
      <c r="W103">
        <v>0</v>
      </c>
      <c r="X103" cm="1">
        <f t="array" ref="X103">IF(OR(A103='Nom du personnage'!$H$88:$O$88,'Nom du personnage'!$V$88:$AC$88=Magie!A103),1,)</f>
        <v>0</v>
      </c>
      <c r="Y103" t="e">
        <f ca="1">IF('Nom du personnage'!$AC$59&gt;=Magie!D103,1,)</f>
        <v>#N/A</v>
      </c>
      <c r="Z103">
        <f ca="1">IF(AND(A103='Nom du personnage'!$H$88,_xlfn.AGGREGATE(4,6,'Nom du personnage'!$C$91:$D$109)&gt;=Magie!D100),1,0)</f>
        <v>0</v>
      </c>
      <c r="AA103">
        <f ca="1">IF(AND(A103='Nom du personnage'!$V$88,_xlfn.AGGREGATE(4,6,'Nom du personnage'!$Q$91:$R$109)&gt;=Magie!D100),10,0)</f>
        <v>0</v>
      </c>
      <c r="AB103" t="e">
        <f t="shared" ca="1" si="10"/>
        <v>#N/A</v>
      </c>
      <c r="AC103" t="e">
        <f t="shared" ca="1" si="17"/>
        <v>#N/A</v>
      </c>
      <c r="AD103" t="e">
        <f>IF(VLOOKUP('Nom du personnage'!$U$51,Données!$P$3:$R$30,3,FALSE)=1,VLOOKUP(AC103,B103:C282,2,FALSE)+1,VLOOKUP(AC103,B103:C282,2,FALSE))</f>
        <v>#N/A</v>
      </c>
      <c r="AE103" t="e">
        <f t="shared" ca="1" si="12"/>
        <v>#N/A</v>
      </c>
      <c r="AF103" t="e">
        <f t="shared" ca="1" si="13"/>
        <v>#N/A</v>
      </c>
      <c r="AG103" t="e">
        <f>IF(VLOOKUP('Nom du personnage'!$U$51,Données!$P$3:$R$30,3,FALSE)=1,VLOOKUP(AF103,B103:C282,2,FALSE)+1,VLOOKUP(AF103,B103:C282,2,FALSE))</f>
        <v>#N/A</v>
      </c>
      <c r="AH103" t="e">
        <f t="shared" ca="1" si="14"/>
        <v>#N/A</v>
      </c>
    </row>
    <row r="104" spans="1:34">
      <c r="A104" s="2" t="s">
        <v>320</v>
      </c>
      <c r="B104" s="2" t="s">
        <v>467</v>
      </c>
      <c r="C104">
        <v>3</v>
      </c>
      <c r="D104">
        <v>4</v>
      </c>
      <c r="F104" s="2" t="s">
        <v>122</v>
      </c>
      <c r="G104" s="2" t="s">
        <v>320</v>
      </c>
      <c r="I104" s="3">
        <f t="shared" si="16"/>
        <v>0</v>
      </c>
      <c r="J104" cm="1">
        <f t="array" ref="J104:N104">'Nom du personnage'!$F$54:$J$54</f>
        <v>0</v>
      </c>
      <c r="K104">
        <v>0</v>
      </c>
      <c r="L104">
        <v>0</v>
      </c>
      <c r="M104">
        <v>0</v>
      </c>
      <c r="N104">
        <v>0</v>
      </c>
      <c r="O104" cm="1">
        <f t="array" ref="O104:W104">'Nom du personnage'!$H$88:$P$88</f>
        <v>0</v>
      </c>
      <c r="P104">
        <v>0</v>
      </c>
      <c r="Q104">
        <v>0</v>
      </c>
      <c r="R104">
        <v>0</v>
      </c>
      <c r="S104">
        <v>0</v>
      </c>
      <c r="T104">
        <v>0</v>
      </c>
      <c r="U104">
        <v>0</v>
      </c>
      <c r="V104">
        <v>0</v>
      </c>
      <c r="W104">
        <v>0</v>
      </c>
      <c r="X104" cm="1">
        <f t="array" ref="X104">IF(OR(A104='Nom du personnage'!$H$88:$O$88,'Nom du personnage'!$V$88:$AC$88=Magie!A104),1,)</f>
        <v>0</v>
      </c>
      <c r="Y104" t="e">
        <f ca="1">IF('Nom du personnage'!$AC$59&gt;=Magie!D104,1,)</f>
        <v>#N/A</v>
      </c>
      <c r="Z104">
        <f ca="1">IF(AND(A104='Nom du personnage'!$H$88,_xlfn.AGGREGATE(4,6,'Nom du personnage'!$C$91:$D$109)&gt;=Magie!D101),1,0)</f>
        <v>0</v>
      </c>
      <c r="AA104">
        <f ca="1">IF(AND(A104='Nom du personnage'!$V$88,_xlfn.AGGREGATE(4,6,'Nom du personnage'!$Q$91:$R$109)&gt;=Magie!D101),10,0)</f>
        <v>0</v>
      </c>
      <c r="AB104" t="e">
        <f t="shared" ca="1" si="10"/>
        <v>#N/A</v>
      </c>
      <c r="AC104" t="e">
        <f t="shared" ca="1" si="17"/>
        <v>#N/A</v>
      </c>
      <c r="AD104" t="e">
        <f>IF(VLOOKUP('Nom du personnage'!$U$51,Données!$P$3:$R$30,3,FALSE)=1,VLOOKUP(AC104,B104:C283,2,FALSE)+1,VLOOKUP(AC104,B104:C283,2,FALSE))</f>
        <v>#N/A</v>
      </c>
      <c r="AE104" t="e">
        <f t="shared" ca="1" si="12"/>
        <v>#N/A</v>
      </c>
      <c r="AF104" t="e">
        <f t="shared" ca="1" si="13"/>
        <v>#N/A</v>
      </c>
      <c r="AG104" t="e">
        <f>IF(VLOOKUP('Nom du personnage'!$U$51,Données!$P$3:$R$30,3,FALSE)=1,VLOOKUP(AF104,B104:C283,2,FALSE)+1,VLOOKUP(AF104,B104:C283,2,FALSE))</f>
        <v>#N/A</v>
      </c>
      <c r="AH104" t="e">
        <f t="shared" ca="1" si="14"/>
        <v>#N/A</v>
      </c>
    </row>
    <row r="105" spans="1:34">
      <c r="A105" s="2" t="s">
        <v>320</v>
      </c>
      <c r="B105" s="2" t="s">
        <v>468</v>
      </c>
      <c r="C105">
        <v>3</v>
      </c>
      <c r="D105">
        <v>5</v>
      </c>
      <c r="F105" s="2" t="s">
        <v>122</v>
      </c>
      <c r="G105" s="2" t="s">
        <v>53</v>
      </c>
      <c r="I105" s="3">
        <f t="shared" si="16"/>
        <v>0</v>
      </c>
      <c r="J105" cm="1">
        <f t="array" ref="J105:N105">'Nom du personnage'!$F$54:$J$54</f>
        <v>0</v>
      </c>
      <c r="K105">
        <v>0</v>
      </c>
      <c r="L105">
        <v>0</v>
      </c>
      <c r="M105">
        <v>0</v>
      </c>
      <c r="N105">
        <v>0</v>
      </c>
      <c r="O105" cm="1">
        <f t="array" ref="O105:W105">'Nom du personnage'!$H$88:$P$88</f>
        <v>0</v>
      </c>
      <c r="P105">
        <v>0</v>
      </c>
      <c r="Q105">
        <v>0</v>
      </c>
      <c r="R105">
        <v>0</v>
      </c>
      <c r="S105">
        <v>0</v>
      </c>
      <c r="T105">
        <v>0</v>
      </c>
      <c r="U105">
        <v>0</v>
      </c>
      <c r="V105">
        <v>0</v>
      </c>
      <c r="W105">
        <v>0</v>
      </c>
      <c r="X105" cm="1">
        <f t="array" ref="X105">IF(OR(A105='Nom du personnage'!$H$88:$O$88,'Nom du personnage'!$V$88:$AC$88=Magie!A105),1,)</f>
        <v>0</v>
      </c>
      <c r="Y105" t="e">
        <f ca="1">IF('Nom du personnage'!$AC$59&gt;=Magie!D105,1,)</f>
        <v>#N/A</v>
      </c>
      <c r="Z105">
        <f ca="1">IF(AND(A105='Nom du personnage'!$H$88,_xlfn.AGGREGATE(4,6,'Nom du personnage'!$C$91:$D$109)&gt;=Magie!D102),1,0)</f>
        <v>0</v>
      </c>
      <c r="AA105">
        <f ca="1">IF(AND(A105='Nom du personnage'!$V$88,_xlfn.AGGREGATE(4,6,'Nom du personnage'!$Q$91:$R$109)&gt;=Magie!D102),10,0)</f>
        <v>0</v>
      </c>
      <c r="AB105" t="e">
        <f t="shared" ca="1" si="10"/>
        <v>#N/A</v>
      </c>
      <c r="AC105" t="e">
        <f t="shared" ca="1" si="17"/>
        <v>#N/A</v>
      </c>
      <c r="AD105" t="e">
        <f>IF(VLOOKUP('Nom du personnage'!$U$51,Données!$P$3:$R$30,3,FALSE)=1,VLOOKUP(AC105,B105:C284,2,FALSE)+1,VLOOKUP(AC105,B105:C284,2,FALSE))</f>
        <v>#N/A</v>
      </c>
      <c r="AE105" t="e">
        <f t="shared" ca="1" si="12"/>
        <v>#N/A</v>
      </c>
      <c r="AF105" t="e">
        <f t="shared" ca="1" si="13"/>
        <v>#N/A</v>
      </c>
      <c r="AG105" t="e">
        <f>IF(VLOOKUP('Nom du personnage'!$U$51,Données!$P$3:$R$30,3,FALSE)=1,VLOOKUP(AF105,B105:C284,2,FALSE)+1,VLOOKUP(AF105,B105:C284,2,FALSE))</f>
        <v>#N/A</v>
      </c>
      <c r="AH105" t="e">
        <f t="shared" ca="1" si="14"/>
        <v>#N/A</v>
      </c>
    </row>
    <row r="106" spans="1:34">
      <c r="A106" s="2" t="s">
        <v>320</v>
      </c>
      <c r="B106" s="2" t="s">
        <v>469</v>
      </c>
      <c r="C106">
        <v>3</v>
      </c>
      <c r="D106">
        <v>5</v>
      </c>
      <c r="F106" s="2" t="s">
        <v>122</v>
      </c>
      <c r="G106" s="2" t="s">
        <v>57</v>
      </c>
      <c r="I106" s="3">
        <f t="shared" si="16"/>
        <v>0</v>
      </c>
      <c r="J106" cm="1">
        <f t="array" ref="J106:N106">'Nom du personnage'!$F$54:$J$54</f>
        <v>0</v>
      </c>
      <c r="K106">
        <v>0</v>
      </c>
      <c r="L106">
        <v>0</v>
      </c>
      <c r="M106">
        <v>0</v>
      </c>
      <c r="N106">
        <v>0</v>
      </c>
      <c r="O106" cm="1">
        <f t="array" ref="O106:W106">'Nom du personnage'!$H$88:$P$88</f>
        <v>0</v>
      </c>
      <c r="P106">
        <v>0</v>
      </c>
      <c r="Q106">
        <v>0</v>
      </c>
      <c r="R106">
        <v>0</v>
      </c>
      <c r="S106">
        <v>0</v>
      </c>
      <c r="T106">
        <v>0</v>
      </c>
      <c r="U106">
        <v>0</v>
      </c>
      <c r="V106">
        <v>0</v>
      </c>
      <c r="W106">
        <v>0</v>
      </c>
      <c r="X106" cm="1">
        <f t="array" ref="X106">IF(OR(A106='Nom du personnage'!$H$88:$O$88,'Nom du personnage'!$V$88:$AC$88=Magie!A106),1,)</f>
        <v>0</v>
      </c>
      <c r="Y106" t="e">
        <f ca="1">IF('Nom du personnage'!$AC$59&gt;=Magie!D106,1,)</f>
        <v>#N/A</v>
      </c>
      <c r="Z106">
        <f ca="1">IF(AND(A106='Nom du personnage'!$H$88,_xlfn.AGGREGATE(4,6,'Nom du personnage'!$C$91:$D$109)&gt;=Magie!D103),1,0)</f>
        <v>0</v>
      </c>
      <c r="AA106">
        <f ca="1">IF(AND(A106='Nom du personnage'!$V$88,_xlfn.AGGREGATE(4,6,'Nom du personnage'!$Q$91:$R$109)&gt;=Magie!D103),10,0)</f>
        <v>0</v>
      </c>
      <c r="AB106" t="e">
        <f t="shared" ca="1" si="10"/>
        <v>#N/A</v>
      </c>
      <c r="AC106" t="e">
        <f t="shared" ca="1" si="17"/>
        <v>#N/A</v>
      </c>
      <c r="AD106" t="e">
        <f>IF(VLOOKUP('Nom du personnage'!$U$51,Données!$P$3:$R$30,3,FALSE)=1,VLOOKUP(AC106,B106:C285,2,FALSE)+1,VLOOKUP(AC106,B106:C285,2,FALSE))</f>
        <v>#N/A</v>
      </c>
      <c r="AE106" t="e">
        <f t="shared" ca="1" si="12"/>
        <v>#N/A</v>
      </c>
      <c r="AF106" t="e">
        <f t="shared" ca="1" si="13"/>
        <v>#N/A</v>
      </c>
      <c r="AG106" t="e">
        <f>IF(VLOOKUP('Nom du personnage'!$U$51,Données!$P$3:$R$30,3,FALSE)=1,VLOOKUP(AF106,B106:C285,2,FALSE)+1,VLOOKUP(AF106,B106:C285,2,FALSE))</f>
        <v>#N/A</v>
      </c>
      <c r="AH106" t="e">
        <f t="shared" ca="1" si="14"/>
        <v>#N/A</v>
      </c>
    </row>
    <row r="107" spans="1:34">
      <c r="A107" s="2" t="s">
        <v>320</v>
      </c>
      <c r="B107" s="2" t="s">
        <v>470</v>
      </c>
      <c r="C107">
        <v>3</v>
      </c>
      <c r="D107">
        <v>5</v>
      </c>
      <c r="F107" s="2" t="s">
        <v>122</v>
      </c>
      <c r="G107" s="2" t="s">
        <v>323</v>
      </c>
      <c r="I107" s="3">
        <f t="shared" si="16"/>
        <v>0</v>
      </c>
      <c r="J107" cm="1">
        <f t="array" ref="J107:N107">'Nom du personnage'!$F$54:$J$54</f>
        <v>0</v>
      </c>
      <c r="K107">
        <v>0</v>
      </c>
      <c r="L107">
        <v>0</v>
      </c>
      <c r="M107">
        <v>0</v>
      </c>
      <c r="N107">
        <v>0</v>
      </c>
      <c r="O107" cm="1">
        <f t="array" ref="O107:W107">'Nom du personnage'!$H$88:$P$88</f>
        <v>0</v>
      </c>
      <c r="P107">
        <v>0</v>
      </c>
      <c r="Q107">
        <v>0</v>
      </c>
      <c r="R107">
        <v>0</v>
      </c>
      <c r="S107">
        <v>0</v>
      </c>
      <c r="T107">
        <v>0</v>
      </c>
      <c r="U107">
        <v>0</v>
      </c>
      <c r="V107">
        <v>0</v>
      </c>
      <c r="W107">
        <v>0</v>
      </c>
      <c r="X107" cm="1">
        <f t="array" ref="X107">IF(OR(A107='Nom du personnage'!$H$88:$O$88,'Nom du personnage'!$V$88:$AC$88=Magie!A107),1,)</f>
        <v>0</v>
      </c>
      <c r="Y107" t="e">
        <f ca="1">IF('Nom du personnage'!$AC$59&gt;=Magie!D107,1,)</f>
        <v>#N/A</v>
      </c>
      <c r="Z107">
        <f ca="1">IF(AND(A107='Nom du personnage'!$H$88,_xlfn.AGGREGATE(4,6,'Nom du personnage'!$C$91:$D$109)&gt;=Magie!D104),1,0)</f>
        <v>0</v>
      </c>
      <c r="AA107">
        <f ca="1">IF(AND(A107='Nom du personnage'!$V$88,_xlfn.AGGREGATE(4,6,'Nom du personnage'!$Q$91:$R$109)&gt;=Magie!D104),10,0)</f>
        <v>0</v>
      </c>
      <c r="AB107" t="e">
        <f t="shared" ca="1" si="10"/>
        <v>#N/A</v>
      </c>
      <c r="AC107" t="e">
        <f t="shared" ca="1" si="17"/>
        <v>#N/A</v>
      </c>
      <c r="AD107" t="e">
        <f>IF(VLOOKUP('Nom du personnage'!$U$51,Données!$P$3:$R$30,3,FALSE)=1,VLOOKUP(AC107,B107:C286,2,FALSE)+1,VLOOKUP(AC107,B107:C286,2,FALSE))</f>
        <v>#N/A</v>
      </c>
      <c r="AE107" t="e">
        <f t="shared" ca="1" si="12"/>
        <v>#N/A</v>
      </c>
      <c r="AF107" t="e">
        <f t="shared" ca="1" si="13"/>
        <v>#N/A</v>
      </c>
      <c r="AG107" t="e">
        <f>IF(VLOOKUP('Nom du personnage'!$U$51,Données!$P$3:$R$30,3,FALSE)=1,VLOOKUP(AF107,B107:C286,2,FALSE)+1,VLOOKUP(AF107,B107:C286,2,FALSE))</f>
        <v>#N/A</v>
      </c>
      <c r="AH107" t="e">
        <f t="shared" ca="1" si="14"/>
        <v>#N/A</v>
      </c>
    </row>
    <row r="108" spans="1:34">
      <c r="A108" s="2" t="s">
        <v>320</v>
      </c>
      <c r="B108" s="2" t="s">
        <v>340</v>
      </c>
      <c r="C108">
        <v>3</v>
      </c>
      <c r="D108">
        <v>6</v>
      </c>
      <c r="F108" s="2" t="s">
        <v>111</v>
      </c>
      <c r="G108" s="2" t="s">
        <v>325</v>
      </c>
      <c r="I108" s="3">
        <f t="shared" si="16"/>
        <v>0</v>
      </c>
      <c r="J108" cm="1">
        <f t="array" ref="J108:N108">'Nom du personnage'!$F$54:$J$54</f>
        <v>0</v>
      </c>
      <c r="K108">
        <v>0</v>
      </c>
      <c r="L108">
        <v>0</v>
      </c>
      <c r="M108">
        <v>0</v>
      </c>
      <c r="N108">
        <v>0</v>
      </c>
      <c r="O108" cm="1">
        <f t="array" ref="O108:W108">'Nom du personnage'!$H$88:$P$88</f>
        <v>0</v>
      </c>
      <c r="P108">
        <v>0</v>
      </c>
      <c r="Q108">
        <v>0</v>
      </c>
      <c r="R108">
        <v>0</v>
      </c>
      <c r="S108">
        <v>0</v>
      </c>
      <c r="T108">
        <v>0</v>
      </c>
      <c r="U108">
        <v>0</v>
      </c>
      <c r="V108">
        <v>0</v>
      </c>
      <c r="W108">
        <v>0</v>
      </c>
      <c r="X108" cm="1">
        <f t="array" ref="X108">IF(OR(A108='Nom du personnage'!$H$88:$O$88,'Nom du personnage'!$V$88:$AC$88=Magie!A108),1,)</f>
        <v>0</v>
      </c>
      <c r="Y108" t="e">
        <f ca="1">IF('Nom du personnage'!$AC$59&gt;=Magie!D108,1,)</f>
        <v>#N/A</v>
      </c>
      <c r="Z108">
        <f ca="1">IF(AND(A108='Nom du personnage'!$H$88,_xlfn.AGGREGATE(4,6,'Nom du personnage'!$C$91:$D$109)&gt;=Magie!D105),1,0)</f>
        <v>0</v>
      </c>
      <c r="AA108">
        <f ca="1">IF(AND(A108='Nom du personnage'!$V$88,_xlfn.AGGREGATE(4,6,'Nom du personnage'!$Q$91:$R$109)&gt;=Magie!D105),10,0)</f>
        <v>0</v>
      </c>
      <c r="AB108" t="e">
        <f t="shared" ca="1" si="10"/>
        <v>#N/A</v>
      </c>
      <c r="AC108" t="e">
        <f t="shared" ca="1" si="17"/>
        <v>#N/A</v>
      </c>
      <c r="AD108" t="e">
        <f>IF(VLOOKUP('Nom du personnage'!$U$51,Données!$P$3:$R$30,3,FALSE)=1,VLOOKUP(AC108,B108:C287,2,FALSE)+1,VLOOKUP(AC108,B108:C287,2,FALSE))</f>
        <v>#N/A</v>
      </c>
      <c r="AE108" t="e">
        <f t="shared" ca="1" si="12"/>
        <v>#N/A</v>
      </c>
      <c r="AF108" t="e">
        <f t="shared" ca="1" si="13"/>
        <v>#N/A</v>
      </c>
      <c r="AG108" t="e">
        <f>IF(VLOOKUP('Nom du personnage'!$U$51,Données!$P$3:$R$30,3,FALSE)=1,VLOOKUP(AF108,B108:C287,2,FALSE)+1,VLOOKUP(AF108,B108:C287,2,FALSE))</f>
        <v>#N/A</v>
      </c>
      <c r="AH108" t="e">
        <f t="shared" ca="1" si="14"/>
        <v>#N/A</v>
      </c>
    </row>
    <row r="109" spans="1:34">
      <c r="A109" s="2" t="s">
        <v>320</v>
      </c>
      <c r="B109" s="2" t="s">
        <v>471</v>
      </c>
      <c r="C109">
        <v>3</v>
      </c>
      <c r="D109">
        <v>6</v>
      </c>
      <c r="F109" s="2" t="s">
        <v>111</v>
      </c>
      <c r="G109" s="2" t="s">
        <v>37</v>
      </c>
      <c r="I109" s="3">
        <f t="shared" si="16"/>
        <v>0</v>
      </c>
      <c r="J109" cm="1">
        <f t="array" ref="J109:N109">'Nom du personnage'!$F$54:$J$54</f>
        <v>0</v>
      </c>
      <c r="K109">
        <v>0</v>
      </c>
      <c r="L109">
        <v>0</v>
      </c>
      <c r="M109">
        <v>0</v>
      </c>
      <c r="N109">
        <v>0</v>
      </c>
      <c r="O109" cm="1">
        <f t="array" ref="O109:W109">'Nom du personnage'!$H$88:$P$88</f>
        <v>0</v>
      </c>
      <c r="P109">
        <v>0</v>
      </c>
      <c r="Q109">
        <v>0</v>
      </c>
      <c r="R109">
        <v>0</v>
      </c>
      <c r="S109">
        <v>0</v>
      </c>
      <c r="T109">
        <v>0</v>
      </c>
      <c r="U109">
        <v>0</v>
      </c>
      <c r="V109">
        <v>0</v>
      </c>
      <c r="W109">
        <v>0</v>
      </c>
      <c r="X109" cm="1">
        <f t="array" ref="X109">IF(OR(A109='Nom du personnage'!$H$88:$O$88,'Nom du personnage'!$V$88:$AC$88=Magie!A109),1,)</f>
        <v>0</v>
      </c>
      <c r="Y109" t="e">
        <f ca="1">IF('Nom du personnage'!$AC$59&gt;=Magie!D109,1,)</f>
        <v>#N/A</v>
      </c>
      <c r="Z109">
        <f ca="1">IF(AND(A109='Nom du personnage'!$H$88,_xlfn.AGGREGATE(4,6,'Nom du personnage'!$C$91:$D$109)&gt;=Magie!D106),1,0)</f>
        <v>0</v>
      </c>
      <c r="AA109">
        <f ca="1">IF(AND(A109='Nom du personnage'!$V$88,_xlfn.AGGREGATE(4,6,'Nom du personnage'!$Q$91:$R$109)&gt;=Magie!D106),10,0)</f>
        <v>0</v>
      </c>
      <c r="AB109" t="e">
        <f t="shared" ca="1" si="10"/>
        <v>#N/A</v>
      </c>
      <c r="AC109" t="e">
        <f t="shared" ca="1" si="17"/>
        <v>#N/A</v>
      </c>
      <c r="AD109" t="e">
        <f>IF(VLOOKUP('Nom du personnage'!$U$51,Données!$P$3:$R$30,3,FALSE)=1,VLOOKUP(AC109,B109:C288,2,FALSE)+1,VLOOKUP(AC109,B109:C288,2,FALSE))</f>
        <v>#N/A</v>
      </c>
      <c r="AE109" t="e">
        <f t="shared" ca="1" si="12"/>
        <v>#N/A</v>
      </c>
      <c r="AF109" t="e">
        <f t="shared" ca="1" si="13"/>
        <v>#N/A</v>
      </c>
      <c r="AG109" t="e">
        <f>IF(VLOOKUP('Nom du personnage'!$U$51,Données!$P$3:$R$30,3,FALSE)=1,VLOOKUP(AF109,B109:C288,2,FALSE)+1,VLOOKUP(AF109,B109:C288,2,FALSE))</f>
        <v>#N/A</v>
      </c>
      <c r="AH109" t="e">
        <f t="shared" ca="1" si="14"/>
        <v>#N/A</v>
      </c>
    </row>
    <row r="110" spans="1:34">
      <c r="A110" s="2" t="s">
        <v>320</v>
      </c>
      <c r="B110" s="2" t="s">
        <v>472</v>
      </c>
      <c r="C110">
        <v>3</v>
      </c>
      <c r="D110">
        <v>6</v>
      </c>
      <c r="F110" s="2" t="s">
        <v>111</v>
      </c>
      <c r="G110" s="2" t="s">
        <v>41</v>
      </c>
      <c r="I110" s="3">
        <f t="shared" si="16"/>
        <v>0</v>
      </c>
      <c r="J110" cm="1">
        <f t="array" ref="J110:N110">'Nom du personnage'!$F$54:$J$54</f>
        <v>0</v>
      </c>
      <c r="K110">
        <v>0</v>
      </c>
      <c r="L110">
        <v>0</v>
      </c>
      <c r="M110">
        <v>0</v>
      </c>
      <c r="N110">
        <v>0</v>
      </c>
      <c r="O110" cm="1">
        <f t="array" ref="O110:W110">'Nom du personnage'!$H$88:$P$88</f>
        <v>0</v>
      </c>
      <c r="P110">
        <v>0</v>
      </c>
      <c r="Q110">
        <v>0</v>
      </c>
      <c r="R110">
        <v>0</v>
      </c>
      <c r="S110">
        <v>0</v>
      </c>
      <c r="T110">
        <v>0</v>
      </c>
      <c r="U110">
        <v>0</v>
      </c>
      <c r="V110">
        <v>0</v>
      </c>
      <c r="W110">
        <v>0</v>
      </c>
      <c r="X110" cm="1">
        <f t="array" ref="X110">IF(OR(A110='Nom du personnage'!$H$88:$O$88,'Nom du personnage'!$V$88:$AC$88=Magie!A110),1,)</f>
        <v>0</v>
      </c>
      <c r="Y110" t="e">
        <f ca="1">IF('Nom du personnage'!$AC$59&gt;=Magie!D110,1,)</f>
        <v>#N/A</v>
      </c>
      <c r="Z110">
        <f ca="1">IF(AND(A110='Nom du personnage'!$H$88,_xlfn.AGGREGATE(4,6,'Nom du personnage'!$C$91:$D$109)&gt;=Magie!D107),1,0)</f>
        <v>0</v>
      </c>
      <c r="AA110">
        <f ca="1">IF(AND(A110='Nom du personnage'!$V$88,_xlfn.AGGREGATE(4,6,'Nom du personnage'!$Q$91:$R$109)&gt;=Magie!D107),10,0)</f>
        <v>0</v>
      </c>
      <c r="AB110" t="e">
        <f t="shared" ca="1" si="10"/>
        <v>#N/A</v>
      </c>
      <c r="AC110" t="e">
        <f t="shared" ca="1" si="17"/>
        <v>#N/A</v>
      </c>
      <c r="AD110" t="e">
        <f>IF(VLOOKUP('Nom du personnage'!$U$51,Données!$P$3:$R$30,3,FALSE)=1,VLOOKUP(AC110,B110:C289,2,FALSE)+1,VLOOKUP(AC110,B110:C289,2,FALSE))</f>
        <v>#N/A</v>
      </c>
      <c r="AE110" t="e">
        <f t="shared" ca="1" si="12"/>
        <v>#N/A</v>
      </c>
      <c r="AF110" t="e">
        <f t="shared" ca="1" si="13"/>
        <v>#N/A</v>
      </c>
      <c r="AG110" t="e">
        <f>IF(VLOOKUP('Nom du personnage'!$U$51,Données!$P$3:$R$30,3,FALSE)=1,VLOOKUP(AF110,B110:C289,2,FALSE)+1,VLOOKUP(AF110,B110:C289,2,FALSE))</f>
        <v>#N/A</v>
      </c>
      <c r="AH110" t="e">
        <f t="shared" ca="1" si="14"/>
        <v>#N/A</v>
      </c>
    </row>
    <row r="111" spans="1:34">
      <c r="A111" s="2" t="s">
        <v>320</v>
      </c>
      <c r="B111" s="2" t="s">
        <v>473</v>
      </c>
      <c r="C111">
        <v>4</v>
      </c>
      <c r="D111">
        <v>7</v>
      </c>
      <c r="F111" s="2" t="s">
        <v>111</v>
      </c>
      <c r="G111" s="2" t="s">
        <v>319</v>
      </c>
      <c r="I111" s="3">
        <f t="shared" si="16"/>
        <v>0</v>
      </c>
      <c r="J111" cm="1">
        <f t="array" ref="J111:N111">'Nom du personnage'!$F$54:$J$54</f>
        <v>0</v>
      </c>
      <c r="K111">
        <v>0</v>
      </c>
      <c r="L111">
        <v>0</v>
      </c>
      <c r="M111">
        <v>0</v>
      </c>
      <c r="N111">
        <v>0</v>
      </c>
      <c r="O111" cm="1">
        <f t="array" ref="O111:W111">'Nom du personnage'!$H$88:$P$88</f>
        <v>0</v>
      </c>
      <c r="P111">
        <v>0</v>
      </c>
      <c r="Q111">
        <v>0</v>
      </c>
      <c r="R111">
        <v>0</v>
      </c>
      <c r="S111">
        <v>0</v>
      </c>
      <c r="T111">
        <v>0</v>
      </c>
      <c r="U111">
        <v>0</v>
      </c>
      <c r="V111">
        <v>0</v>
      </c>
      <c r="W111">
        <v>0</v>
      </c>
      <c r="X111" cm="1">
        <f t="array" ref="X111">IF(OR(A111='Nom du personnage'!$H$88:$O$88,'Nom du personnage'!$V$88:$AC$88=Magie!A111),1,)</f>
        <v>0</v>
      </c>
      <c r="Y111" t="e">
        <f ca="1">IF('Nom du personnage'!$AC$59&gt;=Magie!D111,1,)</f>
        <v>#N/A</v>
      </c>
      <c r="Z111">
        <f ca="1">IF(AND(A111='Nom du personnage'!$H$88,_xlfn.AGGREGATE(4,6,'Nom du personnage'!$C$91:$D$109)&gt;=Magie!D108),1,0)</f>
        <v>0</v>
      </c>
      <c r="AA111">
        <f ca="1">IF(AND(A111='Nom du personnage'!$V$88,_xlfn.AGGREGATE(4,6,'Nom du personnage'!$Q$91:$R$109)&gt;=Magie!D108),10,0)</f>
        <v>0</v>
      </c>
      <c r="AB111" t="e">
        <f t="shared" ca="1" si="10"/>
        <v>#N/A</v>
      </c>
      <c r="AC111" t="e">
        <f t="shared" ca="1" si="17"/>
        <v>#N/A</v>
      </c>
      <c r="AD111" t="e">
        <f>IF(VLOOKUP('Nom du personnage'!$U$51,Données!$P$3:$R$30,3,FALSE)=1,VLOOKUP(AC111,B111:C290,2,FALSE)+1,VLOOKUP(AC111,B111:C290,2,FALSE))</f>
        <v>#N/A</v>
      </c>
      <c r="AE111" t="e">
        <f t="shared" ca="1" si="12"/>
        <v>#N/A</v>
      </c>
      <c r="AF111" t="e">
        <f t="shared" ca="1" si="13"/>
        <v>#N/A</v>
      </c>
      <c r="AG111" t="e">
        <f>IF(VLOOKUP('Nom du personnage'!$U$51,Données!$P$3:$R$30,3,FALSE)=1,VLOOKUP(AF111,B111:C290,2,FALSE)+1,VLOOKUP(AF111,B111:C290,2,FALSE))</f>
        <v>#N/A</v>
      </c>
      <c r="AH111" t="e">
        <f t="shared" ca="1" si="14"/>
        <v>#N/A</v>
      </c>
    </row>
    <row r="112" spans="1:34">
      <c r="A112" s="2" t="s">
        <v>320</v>
      </c>
      <c r="B112" s="2" t="s">
        <v>474</v>
      </c>
      <c r="C112">
        <v>4</v>
      </c>
      <c r="D112">
        <v>7</v>
      </c>
      <c r="F112" s="2" t="s">
        <v>71</v>
      </c>
      <c r="G112" s="2" t="s">
        <v>325</v>
      </c>
      <c r="I112" s="3">
        <f t="shared" si="16"/>
        <v>0</v>
      </c>
      <c r="J112" cm="1">
        <f t="array" ref="J112:N112">'Nom du personnage'!$F$54:$J$54</f>
        <v>0</v>
      </c>
      <c r="K112">
        <v>0</v>
      </c>
      <c r="L112">
        <v>0</v>
      </c>
      <c r="M112">
        <v>0</v>
      </c>
      <c r="N112">
        <v>0</v>
      </c>
      <c r="O112" cm="1">
        <f t="array" ref="O112:W112">'Nom du personnage'!$H$88:$P$88</f>
        <v>0</v>
      </c>
      <c r="P112">
        <v>0</v>
      </c>
      <c r="Q112">
        <v>0</v>
      </c>
      <c r="R112">
        <v>0</v>
      </c>
      <c r="S112">
        <v>0</v>
      </c>
      <c r="T112">
        <v>0</v>
      </c>
      <c r="U112">
        <v>0</v>
      </c>
      <c r="V112">
        <v>0</v>
      </c>
      <c r="W112">
        <v>0</v>
      </c>
      <c r="X112" cm="1">
        <f t="array" ref="X112">IF(OR(A112='Nom du personnage'!$H$88:$O$88,'Nom du personnage'!$V$88:$AC$88=Magie!A112),1,)</f>
        <v>0</v>
      </c>
      <c r="Y112" t="e">
        <f ca="1">IF('Nom du personnage'!$AC$59&gt;=Magie!D112,1,)</f>
        <v>#N/A</v>
      </c>
      <c r="Z112">
        <f ca="1">IF(AND(A112='Nom du personnage'!$H$88,_xlfn.AGGREGATE(4,6,'Nom du personnage'!$C$91:$D$109)&gt;=Magie!D109),1,0)</f>
        <v>0</v>
      </c>
      <c r="AA112">
        <f ca="1">IF(AND(A112='Nom du personnage'!$V$88,_xlfn.AGGREGATE(4,6,'Nom du personnage'!$Q$91:$R$109)&gt;=Magie!D109),10,0)</f>
        <v>0</v>
      </c>
      <c r="AB112" t="e">
        <f t="shared" ca="1" si="10"/>
        <v>#N/A</v>
      </c>
      <c r="AC112" t="e">
        <f t="shared" ca="1" si="17"/>
        <v>#N/A</v>
      </c>
      <c r="AD112" t="e">
        <f>IF(VLOOKUP('Nom du personnage'!$U$51,Données!$P$3:$R$30,3,FALSE)=1,VLOOKUP(AC112,B112:C291,2,FALSE)+1,VLOOKUP(AC112,B112:C291,2,FALSE))</f>
        <v>#N/A</v>
      </c>
      <c r="AE112" t="e">
        <f t="shared" ca="1" si="12"/>
        <v>#N/A</v>
      </c>
      <c r="AF112" t="e">
        <f t="shared" ca="1" si="13"/>
        <v>#N/A</v>
      </c>
      <c r="AG112" t="e">
        <f>IF(VLOOKUP('Nom du personnage'!$U$51,Données!$P$3:$R$30,3,FALSE)=1,VLOOKUP(AF112,B112:C291,2,FALSE)+1,VLOOKUP(AF112,B112:C291,2,FALSE))</f>
        <v>#N/A</v>
      </c>
      <c r="AH112" t="e">
        <f t="shared" ca="1" si="14"/>
        <v>#N/A</v>
      </c>
    </row>
    <row r="113" spans="1:34">
      <c r="A113" s="2" t="s">
        <v>320</v>
      </c>
      <c r="B113" s="2" t="s">
        <v>475</v>
      </c>
      <c r="C113">
        <v>4</v>
      </c>
      <c r="D113">
        <v>7</v>
      </c>
      <c r="F113" s="2" t="s">
        <v>71</v>
      </c>
      <c r="G113" s="2" t="s">
        <v>37</v>
      </c>
      <c r="I113" s="3">
        <f t="shared" si="16"/>
        <v>0</v>
      </c>
      <c r="J113" cm="1">
        <f t="array" ref="J113:N113">'Nom du personnage'!$F$54:$J$54</f>
        <v>0</v>
      </c>
      <c r="K113">
        <v>0</v>
      </c>
      <c r="L113">
        <v>0</v>
      </c>
      <c r="M113">
        <v>0</v>
      </c>
      <c r="N113">
        <v>0</v>
      </c>
      <c r="O113" cm="1">
        <f t="array" ref="O113:W113">'Nom du personnage'!$H$88:$P$88</f>
        <v>0</v>
      </c>
      <c r="P113">
        <v>0</v>
      </c>
      <c r="Q113">
        <v>0</v>
      </c>
      <c r="R113">
        <v>0</v>
      </c>
      <c r="S113">
        <v>0</v>
      </c>
      <c r="T113">
        <v>0</v>
      </c>
      <c r="U113">
        <v>0</v>
      </c>
      <c r="V113">
        <v>0</v>
      </c>
      <c r="W113">
        <v>0</v>
      </c>
      <c r="X113" cm="1">
        <f t="array" ref="X113">IF(OR(A113='Nom du personnage'!$H$88:$O$88,'Nom du personnage'!$V$88:$AC$88=Magie!A113),1,)</f>
        <v>0</v>
      </c>
      <c r="Y113" t="e">
        <f ca="1">IF('Nom du personnage'!$AC$59&gt;=Magie!D113,1,)</f>
        <v>#N/A</v>
      </c>
      <c r="Z113">
        <f ca="1">IF(AND(A113='Nom du personnage'!$H$88,_xlfn.AGGREGATE(4,6,'Nom du personnage'!$C$91:$D$109)&gt;=Magie!D110),1,0)</f>
        <v>0</v>
      </c>
      <c r="AA113">
        <f ca="1">IF(AND(A113='Nom du personnage'!$V$88,_xlfn.AGGREGATE(4,6,'Nom du personnage'!$Q$91:$R$109)&gt;=Magie!D110),10,0)</f>
        <v>0</v>
      </c>
      <c r="AB113" t="e">
        <f t="shared" ca="1" si="10"/>
        <v>#N/A</v>
      </c>
      <c r="AC113" t="e">
        <f t="shared" ca="1" si="17"/>
        <v>#N/A</v>
      </c>
      <c r="AD113" t="e">
        <f>IF(VLOOKUP('Nom du personnage'!$U$51,Données!$P$3:$R$30,3,FALSE)=1,VLOOKUP(AC113,B113:C292,2,FALSE)+1,VLOOKUP(AC113,B113:C292,2,FALSE))</f>
        <v>#N/A</v>
      </c>
      <c r="AE113" t="e">
        <f t="shared" ca="1" si="12"/>
        <v>#N/A</v>
      </c>
      <c r="AF113" t="e">
        <f t="shared" ca="1" si="13"/>
        <v>#N/A</v>
      </c>
      <c r="AG113" t="e">
        <f>IF(VLOOKUP('Nom du personnage'!$U$51,Données!$P$3:$R$30,3,FALSE)=1,VLOOKUP(AF113,B113:C292,2,FALSE)+1,VLOOKUP(AF113,B113:C292,2,FALSE))</f>
        <v>#N/A</v>
      </c>
      <c r="AH113" t="e">
        <f t="shared" ca="1" si="14"/>
        <v>#N/A</v>
      </c>
    </row>
    <row r="114" spans="1:34">
      <c r="A114" s="2" t="s">
        <v>320</v>
      </c>
      <c r="B114" s="2" t="s">
        <v>476</v>
      </c>
      <c r="C114">
        <v>4</v>
      </c>
      <c r="D114">
        <v>8</v>
      </c>
      <c r="F114" s="2" t="s">
        <v>71</v>
      </c>
      <c r="G114" s="2" t="s">
        <v>324</v>
      </c>
      <c r="I114" s="3">
        <f t="shared" si="16"/>
        <v>0</v>
      </c>
      <c r="J114" cm="1">
        <f t="array" ref="J114:N114">'Nom du personnage'!$F$54:$J$54</f>
        <v>0</v>
      </c>
      <c r="K114">
        <v>0</v>
      </c>
      <c r="L114">
        <v>0</v>
      </c>
      <c r="M114">
        <v>0</v>
      </c>
      <c r="N114">
        <v>0</v>
      </c>
      <c r="O114" cm="1">
        <f t="array" ref="O114:W114">'Nom du personnage'!$H$88:$P$88</f>
        <v>0</v>
      </c>
      <c r="P114">
        <v>0</v>
      </c>
      <c r="Q114">
        <v>0</v>
      </c>
      <c r="R114">
        <v>0</v>
      </c>
      <c r="S114">
        <v>0</v>
      </c>
      <c r="T114">
        <v>0</v>
      </c>
      <c r="U114">
        <v>0</v>
      </c>
      <c r="V114">
        <v>0</v>
      </c>
      <c r="W114">
        <v>0</v>
      </c>
      <c r="X114" cm="1">
        <f t="array" ref="X114">IF(OR(A114='Nom du personnage'!$H$88:$O$88,'Nom du personnage'!$V$88:$AC$88=Magie!A114),1,)</f>
        <v>0</v>
      </c>
      <c r="Y114" t="e">
        <f ca="1">IF('Nom du personnage'!$AC$59&gt;=Magie!D114,1,)</f>
        <v>#N/A</v>
      </c>
      <c r="Z114">
        <f ca="1">IF(AND(A114='Nom du personnage'!$H$88,_xlfn.AGGREGATE(4,6,'Nom du personnage'!$C$91:$D$109)&gt;=Magie!D111),1,0)</f>
        <v>0</v>
      </c>
      <c r="AA114">
        <f ca="1">IF(AND(A114='Nom du personnage'!$V$88,_xlfn.AGGREGATE(4,6,'Nom du personnage'!$Q$91:$R$109)&gt;=Magie!D111),10,0)</f>
        <v>0</v>
      </c>
      <c r="AB114" t="e">
        <f t="shared" ca="1" si="10"/>
        <v>#N/A</v>
      </c>
      <c r="AC114" t="e">
        <f t="shared" ca="1" si="17"/>
        <v>#N/A</v>
      </c>
      <c r="AD114" t="e">
        <f>IF(VLOOKUP('Nom du personnage'!$U$51,Données!$P$3:$R$30,3,FALSE)=1,VLOOKUP(AC114,B114:C293,2,FALSE)+1,VLOOKUP(AC114,B114:C293,2,FALSE))</f>
        <v>#N/A</v>
      </c>
      <c r="AE114" t="e">
        <f t="shared" ca="1" si="12"/>
        <v>#N/A</v>
      </c>
      <c r="AF114" t="e">
        <f t="shared" ca="1" si="13"/>
        <v>#N/A</v>
      </c>
      <c r="AG114" t="e">
        <f>IF(VLOOKUP('Nom du personnage'!$U$51,Données!$P$3:$R$30,3,FALSE)=1,VLOOKUP(AF114,B114:C293,2,FALSE)+1,VLOOKUP(AF114,B114:C293,2,FALSE))</f>
        <v>#N/A</v>
      </c>
      <c r="AH114" t="e">
        <f t="shared" ca="1" si="14"/>
        <v>#N/A</v>
      </c>
    </row>
    <row r="115" spans="1:34">
      <c r="A115" s="2" t="s">
        <v>320</v>
      </c>
      <c r="B115" s="2" t="s">
        <v>477</v>
      </c>
      <c r="C115">
        <v>4</v>
      </c>
      <c r="D115">
        <v>8</v>
      </c>
      <c r="F115" s="2" t="s">
        <v>114</v>
      </c>
      <c r="G115" s="2" t="s">
        <v>325</v>
      </c>
      <c r="I115" s="3">
        <f t="shared" si="16"/>
        <v>0</v>
      </c>
      <c r="J115" cm="1">
        <f t="array" ref="J115:N115">'Nom du personnage'!$F$54:$J$54</f>
        <v>0</v>
      </c>
      <c r="K115">
        <v>0</v>
      </c>
      <c r="L115">
        <v>0</v>
      </c>
      <c r="M115">
        <v>0</v>
      </c>
      <c r="N115">
        <v>0</v>
      </c>
      <c r="O115" cm="1">
        <f t="array" ref="O115:W115">'Nom du personnage'!$H$88:$P$88</f>
        <v>0</v>
      </c>
      <c r="P115">
        <v>0</v>
      </c>
      <c r="Q115">
        <v>0</v>
      </c>
      <c r="R115">
        <v>0</v>
      </c>
      <c r="S115">
        <v>0</v>
      </c>
      <c r="T115">
        <v>0</v>
      </c>
      <c r="U115">
        <v>0</v>
      </c>
      <c r="V115">
        <v>0</v>
      </c>
      <c r="W115">
        <v>0</v>
      </c>
      <c r="X115" cm="1">
        <f t="array" ref="X115">IF(OR(A115='Nom du personnage'!$H$88:$O$88,'Nom du personnage'!$V$88:$AC$88=Magie!A115),1,)</f>
        <v>0</v>
      </c>
      <c r="Y115" t="e">
        <f ca="1">IF('Nom du personnage'!$AC$59&gt;=Magie!D115,1,)</f>
        <v>#N/A</v>
      </c>
      <c r="Z115">
        <f ca="1">IF(AND(A115='Nom du personnage'!$H$88,_xlfn.AGGREGATE(4,6,'Nom du personnage'!$C$91:$D$109)&gt;=Magie!D112),1,0)</f>
        <v>0</v>
      </c>
      <c r="AA115">
        <f ca="1">IF(AND(A115='Nom du personnage'!$V$88,_xlfn.AGGREGATE(4,6,'Nom du personnage'!$Q$91:$R$109)&gt;=Magie!D112),10,0)</f>
        <v>0</v>
      </c>
      <c r="AB115" t="e">
        <f t="shared" ca="1" si="10"/>
        <v>#N/A</v>
      </c>
      <c r="AC115" t="e">
        <f t="shared" ca="1" si="17"/>
        <v>#N/A</v>
      </c>
      <c r="AD115" t="e">
        <f>IF(VLOOKUP('Nom du personnage'!$U$51,Données!$P$3:$R$30,3,FALSE)=1,VLOOKUP(AC115,B115:C294,2,FALSE)+1,VLOOKUP(AC115,B115:C294,2,FALSE))</f>
        <v>#N/A</v>
      </c>
      <c r="AE115" t="e">
        <f t="shared" ca="1" si="12"/>
        <v>#N/A</v>
      </c>
      <c r="AF115" t="e">
        <f t="shared" ca="1" si="13"/>
        <v>#N/A</v>
      </c>
      <c r="AG115" t="e">
        <f>IF(VLOOKUP('Nom du personnage'!$U$51,Données!$P$3:$R$30,3,FALSE)=1,VLOOKUP(AF115,B115:C294,2,FALSE)+1,VLOOKUP(AF115,B115:C294,2,FALSE))</f>
        <v>#N/A</v>
      </c>
      <c r="AH115" t="e">
        <f t="shared" ca="1" si="14"/>
        <v>#N/A</v>
      </c>
    </row>
    <row r="116" spans="1:34">
      <c r="A116" s="2" t="s">
        <v>320</v>
      </c>
      <c r="B116" s="2" t="s">
        <v>478</v>
      </c>
      <c r="C116">
        <v>4</v>
      </c>
      <c r="D116">
        <v>8</v>
      </c>
      <c r="F116" s="2" t="s">
        <v>114</v>
      </c>
      <c r="G116" s="2" t="s">
        <v>57</v>
      </c>
      <c r="I116" s="3">
        <f t="shared" si="16"/>
        <v>0</v>
      </c>
      <c r="J116" cm="1">
        <f t="array" ref="J116:N116">'Nom du personnage'!$F$54:$J$54</f>
        <v>0</v>
      </c>
      <c r="K116">
        <v>0</v>
      </c>
      <c r="L116">
        <v>0</v>
      </c>
      <c r="M116">
        <v>0</v>
      </c>
      <c r="N116">
        <v>0</v>
      </c>
      <c r="O116" cm="1">
        <f t="array" ref="O116:W116">'Nom du personnage'!$H$88:$P$88</f>
        <v>0</v>
      </c>
      <c r="P116">
        <v>0</v>
      </c>
      <c r="Q116">
        <v>0</v>
      </c>
      <c r="R116">
        <v>0</v>
      </c>
      <c r="S116">
        <v>0</v>
      </c>
      <c r="T116">
        <v>0</v>
      </c>
      <c r="U116">
        <v>0</v>
      </c>
      <c r="V116">
        <v>0</v>
      </c>
      <c r="W116">
        <v>0</v>
      </c>
      <c r="X116" cm="1">
        <f t="array" ref="X116">IF(OR(A116='Nom du personnage'!$H$88:$O$88,'Nom du personnage'!$V$88:$AC$88=Magie!A116),1,)</f>
        <v>0</v>
      </c>
      <c r="Y116" t="e">
        <f ca="1">IF('Nom du personnage'!$AC$59&gt;=Magie!D116,1,)</f>
        <v>#N/A</v>
      </c>
      <c r="Z116">
        <f ca="1">IF(AND(A116='Nom du personnage'!$H$88,_xlfn.AGGREGATE(4,6,'Nom du personnage'!$C$91:$D$109)&gt;=Magie!D113),1,0)</f>
        <v>0</v>
      </c>
      <c r="AA116">
        <f ca="1">IF(AND(A116='Nom du personnage'!$V$88,_xlfn.AGGREGATE(4,6,'Nom du personnage'!$Q$91:$R$109)&gt;=Magie!D113),10,0)</f>
        <v>0</v>
      </c>
      <c r="AB116" t="e">
        <f t="shared" ca="1" si="10"/>
        <v>#N/A</v>
      </c>
      <c r="AC116" t="e">
        <f t="shared" ca="1" si="17"/>
        <v>#N/A</v>
      </c>
      <c r="AD116" t="e">
        <f>IF(VLOOKUP('Nom du personnage'!$U$51,Données!$P$3:$R$30,3,FALSE)=1,VLOOKUP(AC116,B116:C295,2,FALSE)+1,VLOOKUP(AC116,B116:C295,2,FALSE))</f>
        <v>#N/A</v>
      </c>
      <c r="AE116" t="e">
        <f t="shared" ca="1" si="12"/>
        <v>#N/A</v>
      </c>
      <c r="AF116" t="e">
        <f t="shared" ca="1" si="13"/>
        <v>#N/A</v>
      </c>
      <c r="AG116" t="e">
        <f>IF(VLOOKUP('Nom du personnage'!$U$51,Données!$P$3:$R$30,3,FALSE)=1,VLOOKUP(AF116,B116:C295,2,FALSE)+1,VLOOKUP(AF116,B116:C295,2,FALSE))</f>
        <v>#N/A</v>
      </c>
      <c r="AH116" t="e">
        <f t="shared" ca="1" si="14"/>
        <v>#N/A</v>
      </c>
    </row>
    <row r="117" spans="1:34">
      <c r="A117" s="2" t="s">
        <v>320</v>
      </c>
      <c r="B117" s="2" t="s">
        <v>479</v>
      </c>
      <c r="C117">
        <v>4</v>
      </c>
      <c r="D117">
        <v>9</v>
      </c>
      <c r="F117" s="2" t="s">
        <v>114</v>
      </c>
      <c r="G117" s="2" t="s">
        <v>323</v>
      </c>
      <c r="I117" s="3">
        <f t="shared" si="16"/>
        <v>0</v>
      </c>
      <c r="J117" cm="1">
        <f t="array" ref="J117:N117">'Nom du personnage'!$F$54:$J$54</f>
        <v>0</v>
      </c>
      <c r="K117">
        <v>0</v>
      </c>
      <c r="L117">
        <v>0</v>
      </c>
      <c r="M117">
        <v>0</v>
      </c>
      <c r="N117">
        <v>0</v>
      </c>
      <c r="O117" cm="1">
        <f t="array" ref="O117:W117">'Nom du personnage'!$H$88:$P$88</f>
        <v>0</v>
      </c>
      <c r="P117">
        <v>0</v>
      </c>
      <c r="Q117">
        <v>0</v>
      </c>
      <c r="R117">
        <v>0</v>
      </c>
      <c r="S117">
        <v>0</v>
      </c>
      <c r="T117">
        <v>0</v>
      </c>
      <c r="U117">
        <v>0</v>
      </c>
      <c r="V117">
        <v>0</v>
      </c>
      <c r="W117">
        <v>0</v>
      </c>
      <c r="X117" cm="1">
        <f t="array" ref="X117">IF(OR(A117='Nom du personnage'!$H$88:$O$88,'Nom du personnage'!$V$88:$AC$88=Magie!A117),1,)</f>
        <v>0</v>
      </c>
      <c r="Y117" t="e">
        <f ca="1">IF('Nom du personnage'!$AC$59&gt;=Magie!D117,1,)</f>
        <v>#N/A</v>
      </c>
      <c r="Z117">
        <f ca="1">IF(AND(A117='Nom du personnage'!$H$88,_xlfn.AGGREGATE(4,6,'Nom du personnage'!$C$91:$D$109)&gt;=Magie!D114),1,0)</f>
        <v>0</v>
      </c>
      <c r="AA117">
        <f ca="1">IF(AND(A117='Nom du personnage'!$V$88,_xlfn.AGGREGATE(4,6,'Nom du personnage'!$Q$91:$R$109)&gt;=Magie!D114),10,0)</f>
        <v>0</v>
      </c>
      <c r="AB117" t="e">
        <f t="shared" ca="1" si="10"/>
        <v>#N/A</v>
      </c>
      <c r="AC117" t="e">
        <f t="shared" ca="1" si="17"/>
        <v>#N/A</v>
      </c>
      <c r="AD117" t="e">
        <f>IF(VLOOKUP('Nom du personnage'!$U$51,Données!$P$3:$R$30,3,FALSE)=1,VLOOKUP(AC117,B117:C296,2,FALSE)+1,VLOOKUP(AC117,B117:C296,2,FALSE))</f>
        <v>#N/A</v>
      </c>
      <c r="AE117" t="e">
        <f t="shared" ca="1" si="12"/>
        <v>#N/A</v>
      </c>
      <c r="AF117" t="e">
        <f t="shared" ca="1" si="13"/>
        <v>#N/A</v>
      </c>
      <c r="AG117" t="e">
        <f>IF(VLOOKUP('Nom du personnage'!$U$51,Données!$P$3:$R$30,3,FALSE)=1,VLOOKUP(AF117,B117:C296,2,FALSE)+1,VLOOKUP(AF117,B117:C296,2,FALSE))</f>
        <v>#N/A</v>
      </c>
      <c r="AH117" t="e">
        <f t="shared" ca="1" si="14"/>
        <v>#N/A</v>
      </c>
    </row>
    <row r="118" spans="1:34">
      <c r="A118" s="2" t="s">
        <v>320</v>
      </c>
      <c r="B118" s="2" t="s">
        <v>480</v>
      </c>
      <c r="C118">
        <v>4</v>
      </c>
      <c r="D118">
        <v>9</v>
      </c>
      <c r="F118" s="2" t="s">
        <v>74</v>
      </c>
      <c r="G118" s="2" t="s">
        <v>41</v>
      </c>
      <c r="I118" s="3">
        <f t="shared" si="16"/>
        <v>0</v>
      </c>
      <c r="J118" cm="1">
        <f t="array" ref="J118:N118">'Nom du personnage'!$F$54:$J$54</f>
        <v>0</v>
      </c>
      <c r="K118">
        <v>0</v>
      </c>
      <c r="L118">
        <v>0</v>
      </c>
      <c r="M118">
        <v>0</v>
      </c>
      <c r="N118">
        <v>0</v>
      </c>
      <c r="O118" cm="1">
        <f t="array" ref="O118:W118">'Nom du personnage'!$H$88:$P$88</f>
        <v>0</v>
      </c>
      <c r="P118">
        <v>0</v>
      </c>
      <c r="Q118">
        <v>0</v>
      </c>
      <c r="R118">
        <v>0</v>
      </c>
      <c r="S118">
        <v>0</v>
      </c>
      <c r="T118">
        <v>0</v>
      </c>
      <c r="U118">
        <v>0</v>
      </c>
      <c r="V118">
        <v>0</v>
      </c>
      <c r="W118">
        <v>0</v>
      </c>
      <c r="X118" cm="1">
        <f t="array" ref="X118">IF(OR(A118='Nom du personnage'!$H$88:$O$88,'Nom du personnage'!$V$88:$AC$88=Magie!A118),1,)</f>
        <v>0</v>
      </c>
      <c r="Y118" t="e">
        <f ca="1">IF('Nom du personnage'!$AC$59&gt;=Magie!D118,1,)</f>
        <v>#N/A</v>
      </c>
      <c r="Z118">
        <f ca="1">IF(AND(A118='Nom du personnage'!$H$88,_xlfn.AGGREGATE(4,6,'Nom du personnage'!$C$91:$D$109)&gt;=Magie!D115),1,0)</f>
        <v>0</v>
      </c>
      <c r="AA118">
        <f ca="1">IF(AND(A118='Nom du personnage'!$V$88,_xlfn.AGGREGATE(4,6,'Nom du personnage'!$Q$91:$R$109)&gt;=Magie!D115),10,0)</f>
        <v>0</v>
      </c>
      <c r="AB118" t="e">
        <f t="shared" ca="1" si="10"/>
        <v>#N/A</v>
      </c>
      <c r="AC118" t="e">
        <f t="shared" ca="1" si="17"/>
        <v>#N/A</v>
      </c>
      <c r="AD118" t="e">
        <f>IF(VLOOKUP('Nom du personnage'!$U$51,Données!$P$3:$R$30,3,FALSE)=1,VLOOKUP(AC118,B118:C297,2,FALSE)+1,VLOOKUP(AC118,B118:C297,2,FALSE))</f>
        <v>#N/A</v>
      </c>
      <c r="AE118" t="e">
        <f t="shared" ca="1" si="12"/>
        <v>#N/A</v>
      </c>
      <c r="AF118" t="e">
        <f t="shared" ca="1" si="13"/>
        <v>#N/A</v>
      </c>
      <c r="AG118" t="e">
        <f>IF(VLOOKUP('Nom du personnage'!$U$51,Données!$P$3:$R$30,3,FALSE)=1,VLOOKUP(AF118,B118:C297,2,FALSE)+1,VLOOKUP(AF118,B118:C297,2,FALSE))</f>
        <v>#N/A</v>
      </c>
      <c r="AH118" t="e">
        <f t="shared" ca="1" si="14"/>
        <v>#N/A</v>
      </c>
    </row>
    <row r="119" spans="1:34">
      <c r="A119" s="2" t="s">
        <v>320</v>
      </c>
      <c r="B119" s="2" t="s">
        <v>481</v>
      </c>
      <c r="C119">
        <v>4</v>
      </c>
      <c r="D119">
        <v>9</v>
      </c>
      <c r="F119" s="2" t="s">
        <v>74</v>
      </c>
      <c r="G119" s="2" t="s">
        <v>320</v>
      </c>
      <c r="I119" s="3">
        <f t="shared" si="16"/>
        <v>0</v>
      </c>
      <c r="J119" cm="1">
        <f t="array" ref="J119:N119">'Nom du personnage'!$F$54:$J$54</f>
        <v>0</v>
      </c>
      <c r="K119">
        <v>0</v>
      </c>
      <c r="L119">
        <v>0</v>
      </c>
      <c r="M119">
        <v>0</v>
      </c>
      <c r="N119">
        <v>0</v>
      </c>
      <c r="O119" cm="1">
        <f t="array" ref="O119:W119">'Nom du personnage'!$H$88:$P$88</f>
        <v>0</v>
      </c>
      <c r="P119">
        <v>0</v>
      </c>
      <c r="Q119">
        <v>0</v>
      </c>
      <c r="R119">
        <v>0</v>
      </c>
      <c r="S119">
        <v>0</v>
      </c>
      <c r="T119">
        <v>0</v>
      </c>
      <c r="U119">
        <v>0</v>
      </c>
      <c r="V119">
        <v>0</v>
      </c>
      <c r="W119">
        <v>0</v>
      </c>
      <c r="X119" cm="1">
        <f t="array" ref="X119">IF(OR(A119='Nom du personnage'!$H$88:$O$88,'Nom du personnage'!$V$88:$AC$88=Magie!A119),1,)</f>
        <v>0</v>
      </c>
      <c r="Y119" t="e">
        <f ca="1">IF('Nom du personnage'!$AC$59&gt;=Magie!D119,1,)</f>
        <v>#N/A</v>
      </c>
      <c r="Z119">
        <f ca="1">IF(AND(A119='Nom du personnage'!$H$88,_xlfn.AGGREGATE(4,6,'Nom du personnage'!$C$91:$D$109)&gt;=Magie!D116),1,0)</f>
        <v>0</v>
      </c>
      <c r="AA119">
        <f ca="1">IF(AND(A119='Nom du personnage'!$V$88,_xlfn.AGGREGATE(4,6,'Nom du personnage'!$Q$91:$R$109)&gt;=Magie!D116),10,0)</f>
        <v>0</v>
      </c>
      <c r="AB119" t="e">
        <f t="shared" ca="1" si="10"/>
        <v>#N/A</v>
      </c>
      <c r="AC119" t="e">
        <f t="shared" ca="1" si="17"/>
        <v>#N/A</v>
      </c>
      <c r="AD119" t="e">
        <f>IF(VLOOKUP('Nom du personnage'!$U$51,Données!$P$3:$R$30,3,FALSE)=1,VLOOKUP(AC119,B119:C298,2,FALSE)+1,VLOOKUP(AC119,B119:C298,2,FALSE))</f>
        <v>#N/A</v>
      </c>
      <c r="AE119" t="e">
        <f t="shared" ca="1" si="12"/>
        <v>#N/A</v>
      </c>
      <c r="AF119" t="e">
        <f t="shared" ca="1" si="13"/>
        <v>#N/A</v>
      </c>
      <c r="AG119" t="e">
        <f>IF(VLOOKUP('Nom du personnage'!$U$51,Données!$P$3:$R$30,3,FALSE)=1,VLOOKUP(AF119,B119:C298,2,FALSE)+1,VLOOKUP(AF119,B119:C298,2,FALSE))</f>
        <v>#N/A</v>
      </c>
      <c r="AH119" t="e">
        <f t="shared" ca="1" si="14"/>
        <v>#N/A</v>
      </c>
    </row>
    <row r="120" spans="1:34">
      <c r="A120" s="2" t="s">
        <v>320</v>
      </c>
      <c r="B120" s="2" t="s">
        <v>355</v>
      </c>
      <c r="C120">
        <v>5</v>
      </c>
      <c r="D120">
        <v>10</v>
      </c>
      <c r="F120" s="2" t="s">
        <v>74</v>
      </c>
      <c r="G120" s="2" t="s">
        <v>53</v>
      </c>
      <c r="I120" s="3">
        <f t="shared" si="16"/>
        <v>0</v>
      </c>
      <c r="J120" cm="1">
        <f t="array" ref="J120:N120">'Nom du personnage'!$F$54:$J$54</f>
        <v>0</v>
      </c>
      <c r="K120">
        <v>0</v>
      </c>
      <c r="L120">
        <v>0</v>
      </c>
      <c r="M120">
        <v>0</v>
      </c>
      <c r="N120">
        <v>0</v>
      </c>
      <c r="O120" cm="1">
        <f t="array" ref="O120:W120">'Nom du personnage'!$H$88:$P$88</f>
        <v>0</v>
      </c>
      <c r="P120">
        <v>0</v>
      </c>
      <c r="Q120">
        <v>0</v>
      </c>
      <c r="R120">
        <v>0</v>
      </c>
      <c r="S120">
        <v>0</v>
      </c>
      <c r="T120">
        <v>0</v>
      </c>
      <c r="U120">
        <v>0</v>
      </c>
      <c r="V120">
        <v>0</v>
      </c>
      <c r="W120">
        <v>0</v>
      </c>
      <c r="X120" cm="1">
        <f t="array" ref="X120">IF(OR(A120='Nom du personnage'!$H$88:$O$88,'Nom du personnage'!$V$88:$AC$88=Magie!A120),1,)</f>
        <v>0</v>
      </c>
      <c r="Y120" t="e">
        <f ca="1">IF('Nom du personnage'!$AC$59&gt;=Magie!D120,1,)</f>
        <v>#N/A</v>
      </c>
      <c r="Z120">
        <f ca="1">IF(AND(A120='Nom du personnage'!$H$88,_xlfn.AGGREGATE(4,6,'Nom du personnage'!$C$91:$D$109)&gt;=Magie!D117),1,0)</f>
        <v>0</v>
      </c>
      <c r="AA120">
        <f ca="1">IF(AND(A120='Nom du personnage'!$V$88,_xlfn.AGGREGATE(4,6,'Nom du personnage'!$Q$91:$R$109)&gt;=Magie!D117),10,0)</f>
        <v>0</v>
      </c>
      <c r="AB120" t="e">
        <f t="shared" ca="1" si="10"/>
        <v>#N/A</v>
      </c>
      <c r="AC120" t="e">
        <f t="shared" ca="1" si="17"/>
        <v>#N/A</v>
      </c>
      <c r="AD120" t="e">
        <f>IF(VLOOKUP('Nom du personnage'!$U$51,Données!$P$3:$R$30,3,FALSE)=1,VLOOKUP(AC120,B120:C299,2,FALSE)+1,VLOOKUP(AC120,B120:C299,2,FALSE))</f>
        <v>#N/A</v>
      </c>
      <c r="AE120" t="e">
        <f t="shared" ca="1" si="12"/>
        <v>#N/A</v>
      </c>
      <c r="AF120" t="e">
        <f t="shared" ca="1" si="13"/>
        <v>#N/A</v>
      </c>
      <c r="AG120" t="e">
        <f>IF(VLOOKUP('Nom du personnage'!$U$51,Données!$P$3:$R$30,3,FALSE)=1,VLOOKUP(AF120,B120:C299,2,FALSE)+1,VLOOKUP(AF120,B120:C299,2,FALSE))</f>
        <v>#N/A</v>
      </c>
      <c r="AH120" t="e">
        <f t="shared" ca="1" si="14"/>
        <v>#N/A</v>
      </c>
    </row>
    <row r="121" spans="1:34">
      <c r="A121" s="2" t="s">
        <v>320</v>
      </c>
      <c r="B121" s="2" t="s">
        <v>482</v>
      </c>
      <c r="C121">
        <v>5</v>
      </c>
      <c r="D121">
        <v>10</v>
      </c>
      <c r="F121" s="2" t="s">
        <v>74</v>
      </c>
      <c r="G121" s="2" t="s">
        <v>323</v>
      </c>
      <c r="I121" s="3">
        <f t="shared" si="16"/>
        <v>0</v>
      </c>
      <c r="J121" cm="1">
        <f t="array" ref="J121:N121">'Nom du personnage'!$F$54:$J$54</f>
        <v>0</v>
      </c>
      <c r="K121">
        <v>0</v>
      </c>
      <c r="L121">
        <v>0</v>
      </c>
      <c r="M121">
        <v>0</v>
      </c>
      <c r="N121">
        <v>0</v>
      </c>
      <c r="O121" cm="1">
        <f t="array" ref="O121:W121">'Nom du personnage'!$H$88:$P$88</f>
        <v>0</v>
      </c>
      <c r="P121">
        <v>0</v>
      </c>
      <c r="Q121">
        <v>0</v>
      </c>
      <c r="R121">
        <v>0</v>
      </c>
      <c r="S121">
        <v>0</v>
      </c>
      <c r="T121">
        <v>0</v>
      </c>
      <c r="U121">
        <v>0</v>
      </c>
      <c r="V121">
        <v>0</v>
      </c>
      <c r="W121">
        <v>0</v>
      </c>
      <c r="X121" cm="1">
        <f t="array" ref="X121">IF(OR(A121='Nom du personnage'!$H$88:$O$88,'Nom du personnage'!$V$88:$AC$88=Magie!A121),1,)</f>
        <v>0</v>
      </c>
      <c r="Y121" t="e">
        <f ca="1">IF('Nom du personnage'!$AC$59&gt;=Magie!D121,1,)</f>
        <v>#N/A</v>
      </c>
      <c r="Z121">
        <f ca="1">IF(AND(A121='Nom du personnage'!$H$88,_xlfn.AGGREGATE(4,6,'Nom du personnage'!$C$91:$D$109)&gt;=Magie!D118),1,0)</f>
        <v>0</v>
      </c>
      <c r="AA121">
        <f ca="1">IF(AND(A121='Nom du personnage'!$V$88,_xlfn.AGGREGATE(4,6,'Nom du personnage'!$Q$91:$R$109)&gt;=Magie!D118),10,0)</f>
        <v>0</v>
      </c>
      <c r="AB121" t="e">
        <f t="shared" ca="1" si="10"/>
        <v>#N/A</v>
      </c>
      <c r="AC121" t="e">
        <f t="shared" ca="1" si="17"/>
        <v>#N/A</v>
      </c>
      <c r="AD121" t="e">
        <f>IF(VLOOKUP('Nom du personnage'!$U$51,Données!$P$3:$R$30,3,FALSE)=1,VLOOKUP(AC121,B121:C300,2,FALSE)+1,VLOOKUP(AC121,B121:C300,2,FALSE))</f>
        <v>#N/A</v>
      </c>
      <c r="AE121" t="e">
        <f t="shared" ca="1" si="12"/>
        <v>#N/A</v>
      </c>
      <c r="AF121" t="e">
        <f t="shared" ca="1" si="13"/>
        <v>#N/A</v>
      </c>
      <c r="AG121" t="e">
        <f>IF(VLOOKUP('Nom du personnage'!$U$51,Données!$P$3:$R$30,3,FALSE)=1,VLOOKUP(AF121,B121:C300,2,FALSE)+1,VLOOKUP(AF121,B121:C300,2,FALSE))</f>
        <v>#N/A</v>
      </c>
      <c r="AH121" t="e">
        <f t="shared" ca="1" si="14"/>
        <v>#N/A</v>
      </c>
    </row>
    <row r="122" spans="1:34">
      <c r="A122" s="2" t="s">
        <v>320</v>
      </c>
      <c r="B122" s="2" t="s">
        <v>483</v>
      </c>
      <c r="C122">
        <v>5</v>
      </c>
      <c r="D122">
        <v>10</v>
      </c>
      <c r="F122" s="2" t="s">
        <v>117</v>
      </c>
      <c r="G122" s="2" t="s">
        <v>325</v>
      </c>
      <c r="I122" s="3">
        <f t="shared" si="16"/>
        <v>0</v>
      </c>
      <c r="J122" cm="1">
        <f t="array" ref="J122:N122">'Nom du personnage'!$F$54:$J$54</f>
        <v>0</v>
      </c>
      <c r="K122">
        <v>0</v>
      </c>
      <c r="L122">
        <v>0</v>
      </c>
      <c r="M122">
        <v>0</v>
      </c>
      <c r="N122">
        <v>0</v>
      </c>
      <c r="O122" cm="1">
        <f t="array" ref="O122:W122">'Nom du personnage'!$H$88:$P$88</f>
        <v>0</v>
      </c>
      <c r="P122">
        <v>0</v>
      </c>
      <c r="Q122">
        <v>0</v>
      </c>
      <c r="R122">
        <v>0</v>
      </c>
      <c r="S122">
        <v>0</v>
      </c>
      <c r="T122">
        <v>0</v>
      </c>
      <c r="U122">
        <v>0</v>
      </c>
      <c r="V122">
        <v>0</v>
      </c>
      <c r="W122">
        <v>0</v>
      </c>
      <c r="X122" cm="1">
        <f t="array" ref="X122">IF(OR(A122='Nom du personnage'!$H$88:$O$88,'Nom du personnage'!$V$88:$AC$88=Magie!A122),1,)</f>
        <v>0</v>
      </c>
      <c r="Y122" t="e">
        <f ca="1">IF('Nom du personnage'!$AC$59&gt;=Magie!D122,1,)</f>
        <v>#N/A</v>
      </c>
      <c r="Z122">
        <f ca="1">IF(AND(A122='Nom du personnage'!$H$88,_xlfn.AGGREGATE(4,6,'Nom du personnage'!$C$91:$D$109)&gt;=Magie!D119),1,0)</f>
        <v>0</v>
      </c>
      <c r="AA122">
        <f ca="1">IF(AND(A122='Nom du personnage'!$V$88,_xlfn.AGGREGATE(4,6,'Nom du personnage'!$Q$91:$R$109)&gt;=Magie!D119),10,0)</f>
        <v>0</v>
      </c>
      <c r="AB122" t="e">
        <f t="shared" ca="1" si="10"/>
        <v>#N/A</v>
      </c>
      <c r="AC122" t="e">
        <f t="shared" ca="1" si="17"/>
        <v>#N/A</v>
      </c>
      <c r="AD122" t="e">
        <f>IF(VLOOKUP('Nom du personnage'!$U$51,Données!$P$3:$R$30,3,FALSE)=1,VLOOKUP(AC122,B122:C301,2,FALSE)+1,VLOOKUP(AC122,B122:C301,2,FALSE))</f>
        <v>#N/A</v>
      </c>
      <c r="AE122" t="e">
        <f t="shared" ca="1" si="12"/>
        <v>#N/A</v>
      </c>
      <c r="AF122" t="e">
        <f t="shared" ca="1" si="13"/>
        <v>#N/A</v>
      </c>
      <c r="AG122" t="e">
        <f>IF(VLOOKUP('Nom du personnage'!$U$51,Données!$P$3:$R$30,3,FALSE)=1,VLOOKUP(AF122,B122:C301,2,FALSE)+1,VLOOKUP(AF122,B122:C301,2,FALSE))</f>
        <v>#N/A</v>
      </c>
      <c r="AH122" t="e">
        <f t="shared" ca="1" si="14"/>
        <v>#N/A</v>
      </c>
    </row>
    <row r="123" spans="1:34">
      <c r="A123" s="2" t="s">
        <v>53</v>
      </c>
      <c r="B123" s="2" t="s">
        <v>484</v>
      </c>
      <c r="C123">
        <v>2</v>
      </c>
      <c r="D123">
        <v>1</v>
      </c>
      <c r="F123" s="2" t="s">
        <v>117</v>
      </c>
      <c r="G123" s="2" t="s">
        <v>37</v>
      </c>
      <c r="I123" s="3">
        <f t="shared" si="16"/>
        <v>0</v>
      </c>
      <c r="J123" cm="1">
        <f t="array" ref="J123:N123">'Nom du personnage'!$F$54:$J$54</f>
        <v>0</v>
      </c>
      <c r="K123">
        <v>0</v>
      </c>
      <c r="L123">
        <v>0</v>
      </c>
      <c r="M123">
        <v>0</v>
      </c>
      <c r="N123">
        <v>0</v>
      </c>
      <c r="O123" cm="1">
        <f t="array" ref="O123:W123">'Nom du personnage'!$H$88:$P$88</f>
        <v>0</v>
      </c>
      <c r="P123">
        <v>0</v>
      </c>
      <c r="Q123">
        <v>0</v>
      </c>
      <c r="R123">
        <v>0</v>
      </c>
      <c r="S123">
        <v>0</v>
      </c>
      <c r="T123">
        <v>0</v>
      </c>
      <c r="U123">
        <v>0</v>
      </c>
      <c r="V123">
        <v>0</v>
      </c>
      <c r="W123">
        <v>0</v>
      </c>
      <c r="X123" cm="1">
        <f t="array" ref="X123">IF(OR(A123='Nom du personnage'!$H$88:$O$88,'Nom du personnage'!$V$88:$AC$88=Magie!A123),1,)</f>
        <v>0</v>
      </c>
      <c r="Y123" t="e">
        <f ca="1">IF('Nom du personnage'!$AC$59&gt;=Magie!D123,1,)</f>
        <v>#N/A</v>
      </c>
      <c r="Z123">
        <f t="shared" ref="Z123:Z125" si="18">IF(D123=1,1,0)</f>
        <v>1</v>
      </c>
      <c r="AA123">
        <f>IF(A123='Nom du personnage'!$V$88,10,0)</f>
        <v>0</v>
      </c>
      <c r="AB123" t="e">
        <f t="shared" ca="1" si="10"/>
        <v>#N/A</v>
      </c>
      <c r="AC123" t="e">
        <f t="shared" ca="1" si="17"/>
        <v>#N/A</v>
      </c>
      <c r="AD123" t="e">
        <f>IF(VLOOKUP('Nom du personnage'!$U$51,Données!$P$3:$R$30,3,FALSE)=1,VLOOKUP(AC123,B123:C302,2,FALSE)+1,VLOOKUP(AC123,B123:C302,2,FALSE))</f>
        <v>#N/A</v>
      </c>
      <c r="AE123" t="e">
        <f t="shared" ca="1" si="12"/>
        <v>#N/A</v>
      </c>
      <c r="AF123" t="e">
        <f t="shared" ca="1" si="13"/>
        <v>#N/A</v>
      </c>
      <c r="AG123" t="e">
        <f>IF(VLOOKUP('Nom du personnage'!$U$51,Données!$P$3:$R$30,3,FALSE)=1,VLOOKUP(AF123,B123:C302,2,FALSE)+1,VLOOKUP(AF123,B123:C302,2,FALSE))</f>
        <v>#N/A</v>
      </c>
      <c r="AH123" t="e">
        <f t="shared" ca="1" si="14"/>
        <v>#N/A</v>
      </c>
    </row>
    <row r="124" spans="1:34">
      <c r="A124" s="2" t="s">
        <v>53</v>
      </c>
      <c r="B124" s="2" t="s">
        <v>485</v>
      </c>
      <c r="C124">
        <v>2</v>
      </c>
      <c r="D124">
        <v>1</v>
      </c>
      <c r="F124" s="2" t="s">
        <v>117</v>
      </c>
      <c r="G124" s="2" t="s">
        <v>320</v>
      </c>
      <c r="I124" s="3">
        <f t="shared" si="16"/>
        <v>0</v>
      </c>
      <c r="J124" cm="1">
        <f t="array" ref="J124:N124">'Nom du personnage'!$F$54:$J$54</f>
        <v>0</v>
      </c>
      <c r="K124">
        <v>0</v>
      </c>
      <c r="L124">
        <v>0</v>
      </c>
      <c r="M124">
        <v>0</v>
      </c>
      <c r="N124">
        <v>0</v>
      </c>
      <c r="O124" cm="1">
        <f t="array" ref="O124:W124">'Nom du personnage'!$H$88:$P$88</f>
        <v>0</v>
      </c>
      <c r="P124">
        <v>0</v>
      </c>
      <c r="Q124">
        <v>0</v>
      </c>
      <c r="R124">
        <v>0</v>
      </c>
      <c r="S124">
        <v>0</v>
      </c>
      <c r="T124">
        <v>0</v>
      </c>
      <c r="U124">
        <v>0</v>
      </c>
      <c r="V124">
        <v>0</v>
      </c>
      <c r="W124">
        <v>0</v>
      </c>
      <c r="X124" cm="1">
        <f t="array" ref="X124">IF(OR(A124='Nom du personnage'!$H$88:$O$88,'Nom du personnage'!$V$88:$AC$88=Magie!A124),1,)</f>
        <v>0</v>
      </c>
      <c r="Y124" t="e">
        <f ca="1">IF('Nom du personnage'!$AC$59&gt;=Magie!D124,1,)</f>
        <v>#N/A</v>
      </c>
      <c r="Z124">
        <f t="shared" si="18"/>
        <v>1</v>
      </c>
      <c r="AA124">
        <f>IF(A124='Nom du personnage'!$V$88,10,0)</f>
        <v>0</v>
      </c>
      <c r="AB124" t="e">
        <f t="shared" ca="1" si="10"/>
        <v>#N/A</v>
      </c>
      <c r="AC124" t="e">
        <f t="shared" ca="1" si="17"/>
        <v>#N/A</v>
      </c>
      <c r="AD124" t="e">
        <f>IF(VLOOKUP('Nom du personnage'!$U$51,Données!$P$3:$R$30,3,FALSE)=1,VLOOKUP(AC124,B124:C303,2,FALSE)+1,VLOOKUP(AC124,B124:C303,2,FALSE))</f>
        <v>#N/A</v>
      </c>
      <c r="AE124" t="e">
        <f t="shared" ca="1" si="12"/>
        <v>#N/A</v>
      </c>
      <c r="AF124" t="e">
        <f t="shared" ca="1" si="13"/>
        <v>#N/A</v>
      </c>
      <c r="AG124" t="e">
        <f>IF(VLOOKUP('Nom du personnage'!$U$51,Données!$P$3:$R$30,3,FALSE)=1,VLOOKUP(AF124,B124:C303,2,FALSE)+1,VLOOKUP(AF124,B124:C303,2,FALSE))</f>
        <v>#N/A</v>
      </c>
      <c r="AH124" t="e">
        <f t="shared" ca="1" si="14"/>
        <v>#N/A</v>
      </c>
    </row>
    <row r="125" spans="1:34">
      <c r="A125" s="2" t="s">
        <v>53</v>
      </c>
      <c r="B125" s="2" t="s">
        <v>486</v>
      </c>
      <c r="C125">
        <v>2</v>
      </c>
      <c r="D125">
        <v>1</v>
      </c>
      <c r="F125" s="2" t="s">
        <v>77</v>
      </c>
      <c r="G125" s="2" t="s">
        <v>325</v>
      </c>
      <c r="I125" s="3">
        <f t="shared" si="16"/>
        <v>0</v>
      </c>
      <c r="J125" cm="1">
        <f t="array" ref="J125:N125">'Nom du personnage'!$F$54:$J$54</f>
        <v>0</v>
      </c>
      <c r="K125">
        <v>0</v>
      </c>
      <c r="L125">
        <v>0</v>
      </c>
      <c r="M125">
        <v>0</v>
      </c>
      <c r="N125">
        <v>0</v>
      </c>
      <c r="O125" cm="1">
        <f t="array" ref="O125:W125">'Nom du personnage'!$H$88:$P$88</f>
        <v>0</v>
      </c>
      <c r="P125">
        <v>0</v>
      </c>
      <c r="Q125">
        <v>0</v>
      </c>
      <c r="R125">
        <v>0</v>
      </c>
      <c r="S125">
        <v>0</v>
      </c>
      <c r="T125">
        <v>0</v>
      </c>
      <c r="U125">
        <v>0</v>
      </c>
      <c r="V125">
        <v>0</v>
      </c>
      <c r="W125">
        <v>0</v>
      </c>
      <c r="X125" cm="1">
        <f t="array" ref="X125">IF(OR(A125='Nom du personnage'!$H$88:$O$88,'Nom du personnage'!$V$88:$AC$88=Magie!A125),1,)</f>
        <v>0</v>
      </c>
      <c r="Y125" t="e">
        <f ca="1">IF('Nom du personnage'!$AC$59&gt;=Magie!D125,1,)</f>
        <v>#N/A</v>
      </c>
      <c r="Z125">
        <f t="shared" si="18"/>
        <v>1</v>
      </c>
      <c r="AA125">
        <f>IF(A125='Nom du personnage'!$V$88,10,0)</f>
        <v>0</v>
      </c>
      <c r="AB125" t="e">
        <f t="shared" ca="1" si="10"/>
        <v>#N/A</v>
      </c>
      <c r="AC125" t="e">
        <f t="shared" ca="1" si="17"/>
        <v>#N/A</v>
      </c>
      <c r="AD125" t="e">
        <f>IF(VLOOKUP('Nom du personnage'!$U$51,Données!$P$3:$R$30,3,FALSE)=1,VLOOKUP(AC125,B125:C304,2,FALSE)+1,VLOOKUP(AC125,B125:C304,2,FALSE))</f>
        <v>#N/A</v>
      </c>
      <c r="AE125" t="e">
        <f t="shared" ca="1" si="12"/>
        <v>#N/A</v>
      </c>
      <c r="AF125" t="e">
        <f t="shared" ca="1" si="13"/>
        <v>#N/A</v>
      </c>
      <c r="AG125" t="e">
        <f>IF(VLOOKUP('Nom du personnage'!$U$51,Données!$P$3:$R$30,3,FALSE)=1,VLOOKUP(AF125,B125:C304,2,FALSE)+1,VLOOKUP(AF125,B125:C304,2,FALSE))</f>
        <v>#N/A</v>
      </c>
      <c r="AH125" t="e">
        <f t="shared" ca="1" si="14"/>
        <v>#N/A</v>
      </c>
    </row>
    <row r="126" spans="1:34">
      <c r="A126" s="2" t="s">
        <v>53</v>
      </c>
      <c r="B126" s="2" t="s">
        <v>487</v>
      </c>
      <c r="C126">
        <v>2</v>
      </c>
      <c r="D126">
        <v>2</v>
      </c>
      <c r="F126" s="2" t="s">
        <v>77</v>
      </c>
      <c r="G126" s="2" t="s">
        <v>324</v>
      </c>
      <c r="I126" s="3">
        <f t="shared" si="16"/>
        <v>0</v>
      </c>
      <c r="J126" cm="1">
        <f t="array" ref="J126:N126">'Nom du personnage'!$F$54:$J$54</f>
        <v>0</v>
      </c>
      <c r="K126">
        <v>0</v>
      </c>
      <c r="L126">
        <v>0</v>
      </c>
      <c r="M126">
        <v>0</v>
      </c>
      <c r="N126">
        <v>0</v>
      </c>
      <c r="O126" cm="1">
        <f t="array" ref="O126:W126">'Nom du personnage'!$H$88:$P$88</f>
        <v>0</v>
      </c>
      <c r="P126">
        <v>0</v>
      </c>
      <c r="Q126">
        <v>0</v>
      </c>
      <c r="R126">
        <v>0</v>
      </c>
      <c r="S126">
        <v>0</v>
      </c>
      <c r="T126">
        <v>0</v>
      </c>
      <c r="U126">
        <v>0</v>
      </c>
      <c r="V126">
        <v>0</v>
      </c>
      <c r="W126">
        <v>0</v>
      </c>
      <c r="X126" cm="1">
        <f t="array" ref="X126">IF(OR(A126='Nom du personnage'!$H$88:$O$88,'Nom du personnage'!$V$88:$AC$88=Magie!A126),1,)</f>
        <v>0</v>
      </c>
      <c r="Y126" t="e">
        <f ca="1">IF('Nom du personnage'!$AC$59&gt;=Magie!D126,1,)</f>
        <v>#N/A</v>
      </c>
      <c r="Z126">
        <f ca="1">IF(AND(A126='Nom du personnage'!$H$88,_xlfn.AGGREGATE(4,6,'Nom du personnage'!$C$91:$D$109)&gt;=Magie!D123),1,0)</f>
        <v>0</v>
      </c>
      <c r="AA126">
        <f ca="1">IF(AND(A126='Nom du personnage'!$V$88,_xlfn.AGGREGATE(4,6,'Nom du personnage'!$Q$91:$R$109)&gt;=Magie!D123),10,0)</f>
        <v>0</v>
      </c>
      <c r="AB126" t="e">
        <f t="shared" ca="1" si="10"/>
        <v>#N/A</v>
      </c>
      <c r="AC126" t="e">
        <f ca="1">IF(AB126=3,B126,)</f>
        <v>#N/A</v>
      </c>
      <c r="AD126" t="e">
        <f>IF(VLOOKUP('Nom du personnage'!$U$51,Données!$P$3:$R$30,3,FALSE)=1,VLOOKUP(AC126,B126:C305,2,FALSE)+1,VLOOKUP(AC126,B126:C305,2,FALSE))</f>
        <v>#N/A</v>
      </c>
      <c r="AE126" t="e">
        <f t="shared" ca="1" si="12"/>
        <v>#N/A</v>
      </c>
      <c r="AF126" t="e">
        <f t="shared" ca="1" si="13"/>
        <v>#N/A</v>
      </c>
      <c r="AG126" t="e">
        <f>IF(VLOOKUP('Nom du personnage'!$U$51,Données!$P$3:$R$30,3,FALSE)=1,VLOOKUP(AF126,B126:C305,2,FALSE)+1,VLOOKUP(AF126,B126:C305,2,FALSE))</f>
        <v>#N/A</v>
      </c>
      <c r="AH126" t="e">
        <f t="shared" ca="1" si="14"/>
        <v>#N/A</v>
      </c>
    </row>
    <row r="127" spans="1:34">
      <c r="A127" s="2" t="s">
        <v>53</v>
      </c>
      <c r="B127" s="2" t="s">
        <v>359</v>
      </c>
      <c r="C127">
        <v>2</v>
      </c>
      <c r="D127">
        <v>2</v>
      </c>
      <c r="F127" s="2" t="s">
        <v>77</v>
      </c>
      <c r="G127" s="2" t="s">
        <v>320</v>
      </c>
      <c r="I127" s="3">
        <f t="shared" si="16"/>
        <v>0</v>
      </c>
      <c r="J127" cm="1">
        <f t="array" ref="J127:N127">'Nom du personnage'!$F$54:$J$54</f>
        <v>0</v>
      </c>
      <c r="K127">
        <v>0</v>
      </c>
      <c r="L127">
        <v>0</v>
      </c>
      <c r="M127">
        <v>0</v>
      </c>
      <c r="N127">
        <v>0</v>
      </c>
      <c r="O127" cm="1">
        <f t="array" ref="O127:W127">'Nom du personnage'!$H$88:$P$88</f>
        <v>0</v>
      </c>
      <c r="P127">
        <v>0</v>
      </c>
      <c r="Q127">
        <v>0</v>
      </c>
      <c r="R127">
        <v>0</v>
      </c>
      <c r="S127">
        <v>0</v>
      </c>
      <c r="T127">
        <v>0</v>
      </c>
      <c r="U127">
        <v>0</v>
      </c>
      <c r="V127">
        <v>0</v>
      </c>
      <c r="W127">
        <v>0</v>
      </c>
      <c r="X127" cm="1">
        <f t="array" ref="X127">IF(OR(A127='Nom du personnage'!$H$88:$O$88,'Nom du personnage'!$V$88:$AC$88=Magie!A127),1,)</f>
        <v>0</v>
      </c>
      <c r="Y127" t="e">
        <f ca="1">IF('Nom du personnage'!$AC$59&gt;=Magie!D127,1,)</f>
        <v>#N/A</v>
      </c>
      <c r="Z127">
        <f ca="1">IF(AND(A127='Nom du personnage'!$H$88,_xlfn.AGGREGATE(4,6,'Nom du personnage'!$C$91:$D$109)&gt;=Magie!D124),1,0)</f>
        <v>0</v>
      </c>
      <c r="AA127">
        <f ca="1">IF(AND(A127='Nom du personnage'!$V$88,_xlfn.AGGREGATE(4,6,'Nom du personnage'!$Q$91:$R$109)&gt;=Magie!D124),10,0)</f>
        <v>0</v>
      </c>
      <c r="AB127" t="e">
        <f t="shared" ca="1" si="10"/>
        <v>#N/A</v>
      </c>
      <c r="AC127" t="e">
        <f t="shared" ca="1" si="17"/>
        <v>#N/A</v>
      </c>
      <c r="AD127" t="e">
        <f>IF(VLOOKUP('Nom du personnage'!$U$51,Données!$P$3:$R$30,3,FALSE)=1,VLOOKUP(AC127,B127:C306,2,FALSE)+1,VLOOKUP(AC127,B127:C306,2,FALSE))</f>
        <v>#N/A</v>
      </c>
      <c r="AE127" t="e">
        <f t="shared" ca="1" si="12"/>
        <v>#N/A</v>
      </c>
      <c r="AF127" t="e">
        <f t="shared" ca="1" si="13"/>
        <v>#N/A</v>
      </c>
      <c r="AG127" t="e">
        <f>IF(VLOOKUP('Nom du personnage'!$U$51,Données!$P$3:$R$30,3,FALSE)=1,VLOOKUP(AF127,B127:C306,2,FALSE)+1,VLOOKUP(AF127,B127:C306,2,FALSE))</f>
        <v>#N/A</v>
      </c>
      <c r="AH127" t="e">
        <f t="shared" ca="1" si="14"/>
        <v>#N/A</v>
      </c>
    </row>
    <row r="128" spans="1:34">
      <c r="A128" s="2" t="s">
        <v>53</v>
      </c>
      <c r="B128" s="2" t="s">
        <v>488</v>
      </c>
      <c r="C128">
        <v>2</v>
      </c>
      <c r="D128">
        <v>2</v>
      </c>
      <c r="F128" s="2" t="s">
        <v>77</v>
      </c>
      <c r="G128" s="2" t="s">
        <v>53</v>
      </c>
      <c r="I128" s="3">
        <f t="shared" si="16"/>
        <v>0</v>
      </c>
      <c r="J128" cm="1">
        <f t="array" ref="J128:N128">'Nom du personnage'!$F$54:$J$54</f>
        <v>0</v>
      </c>
      <c r="K128">
        <v>0</v>
      </c>
      <c r="L128">
        <v>0</v>
      </c>
      <c r="M128">
        <v>0</v>
      </c>
      <c r="N128">
        <v>0</v>
      </c>
      <c r="O128" cm="1">
        <f t="array" ref="O128:W128">'Nom du personnage'!$H$88:$P$88</f>
        <v>0</v>
      </c>
      <c r="P128">
        <v>0</v>
      </c>
      <c r="Q128">
        <v>0</v>
      </c>
      <c r="R128">
        <v>0</v>
      </c>
      <c r="S128">
        <v>0</v>
      </c>
      <c r="T128">
        <v>0</v>
      </c>
      <c r="U128">
        <v>0</v>
      </c>
      <c r="V128">
        <v>0</v>
      </c>
      <c r="W128">
        <v>0</v>
      </c>
      <c r="X128" cm="1">
        <f t="array" ref="X128">IF(OR(A128='Nom du personnage'!$H$88:$O$88,'Nom du personnage'!$V$88:$AC$88=Magie!A128),1,)</f>
        <v>0</v>
      </c>
      <c r="Y128" t="e">
        <f ca="1">IF('Nom du personnage'!$AC$59&gt;=Magie!D128,1,)</f>
        <v>#N/A</v>
      </c>
      <c r="Z128">
        <f ca="1">IF(AND(A128='Nom du personnage'!$H$88,_xlfn.AGGREGATE(4,6,'Nom du personnage'!$C$91:$D$109)&gt;=Magie!D125),1,0)</f>
        <v>0</v>
      </c>
      <c r="AA128">
        <f ca="1">IF(AND(A128='Nom du personnage'!$V$88,_xlfn.AGGREGATE(4,6,'Nom du personnage'!$Q$91:$R$109)&gt;=Magie!D125),10,0)</f>
        <v>0</v>
      </c>
      <c r="AB128" t="e">
        <f t="shared" ca="1" si="10"/>
        <v>#N/A</v>
      </c>
      <c r="AC128" t="e">
        <f t="shared" ca="1" si="17"/>
        <v>#N/A</v>
      </c>
      <c r="AD128" t="e">
        <f>IF(VLOOKUP('Nom du personnage'!$U$51,Données!$P$3:$R$30,3,FALSE)=1,VLOOKUP(AC128,B128:C307,2,FALSE)+1,VLOOKUP(AC128,B128:C307,2,FALSE))</f>
        <v>#N/A</v>
      </c>
      <c r="AE128" t="e">
        <f t="shared" ca="1" si="12"/>
        <v>#N/A</v>
      </c>
      <c r="AF128" t="e">
        <f t="shared" ca="1" si="13"/>
        <v>#N/A</v>
      </c>
      <c r="AG128" t="e">
        <f>IF(VLOOKUP('Nom du personnage'!$U$51,Données!$P$3:$R$30,3,FALSE)=1,VLOOKUP(AF128,B128:C307,2,FALSE)+1,VLOOKUP(AF128,B128:C307,2,FALSE))</f>
        <v>#N/A</v>
      </c>
      <c r="AH128" t="e">
        <f t="shared" ca="1" si="14"/>
        <v>#N/A</v>
      </c>
    </row>
    <row r="129" spans="1:34">
      <c r="A129" s="2" t="s">
        <v>53</v>
      </c>
      <c r="B129" s="2" t="s">
        <v>489</v>
      </c>
      <c r="C129">
        <v>2</v>
      </c>
      <c r="D129">
        <v>3</v>
      </c>
      <c r="F129" s="2" t="s">
        <v>77</v>
      </c>
      <c r="G129" s="2" t="s">
        <v>323</v>
      </c>
      <c r="I129" s="3">
        <f t="shared" si="16"/>
        <v>0</v>
      </c>
      <c r="J129" cm="1">
        <f t="array" ref="J129:N129">'Nom du personnage'!$F$54:$J$54</f>
        <v>0</v>
      </c>
      <c r="K129">
        <v>0</v>
      </c>
      <c r="L129">
        <v>0</v>
      </c>
      <c r="M129">
        <v>0</v>
      </c>
      <c r="N129">
        <v>0</v>
      </c>
      <c r="O129" cm="1">
        <f t="array" ref="O129:W129">'Nom du personnage'!$H$88:$P$88</f>
        <v>0</v>
      </c>
      <c r="P129">
        <v>0</v>
      </c>
      <c r="Q129">
        <v>0</v>
      </c>
      <c r="R129">
        <v>0</v>
      </c>
      <c r="S129">
        <v>0</v>
      </c>
      <c r="T129">
        <v>0</v>
      </c>
      <c r="U129">
        <v>0</v>
      </c>
      <c r="V129">
        <v>0</v>
      </c>
      <c r="W129">
        <v>0</v>
      </c>
      <c r="X129" cm="1">
        <f t="array" ref="X129">IF(OR(A129='Nom du personnage'!$H$88:$O$88,'Nom du personnage'!$V$88:$AC$88=Magie!A129),1,)</f>
        <v>0</v>
      </c>
      <c r="Y129" t="e">
        <f ca="1">IF('Nom du personnage'!$AC$59&gt;=Magie!D129,1,)</f>
        <v>#N/A</v>
      </c>
      <c r="Z129">
        <f ca="1">IF(AND(A129='Nom du personnage'!$H$88,_xlfn.AGGREGATE(4,6,'Nom du personnage'!$C$91:$D$109)&gt;=Magie!D126),1,0)</f>
        <v>0</v>
      </c>
      <c r="AA129">
        <f ca="1">IF(AND(A129='Nom du personnage'!$V$88,_xlfn.AGGREGATE(4,6,'Nom du personnage'!$Q$91:$R$109)&gt;=Magie!D126),10,0)</f>
        <v>0</v>
      </c>
      <c r="AB129" t="e">
        <f t="shared" ca="1" si="10"/>
        <v>#N/A</v>
      </c>
      <c r="AC129" t="e">
        <f t="shared" ca="1" si="17"/>
        <v>#N/A</v>
      </c>
      <c r="AD129" t="e">
        <f>IF(VLOOKUP('Nom du personnage'!$U$51,Données!$P$3:$R$30,3,FALSE)=1,VLOOKUP(AC129,B129:C308,2,FALSE)+1,VLOOKUP(AC129,B129:C308,2,FALSE))</f>
        <v>#N/A</v>
      </c>
      <c r="AE129" t="e">
        <f t="shared" ca="1" si="12"/>
        <v>#N/A</v>
      </c>
      <c r="AF129" t="e">
        <f t="shared" ca="1" si="13"/>
        <v>#N/A</v>
      </c>
      <c r="AG129" t="e">
        <f>IF(VLOOKUP('Nom du personnage'!$U$51,Données!$P$3:$R$30,3,FALSE)=1,VLOOKUP(AF129,B129:C308,2,FALSE)+1,VLOOKUP(AF129,B129:C308,2,FALSE))</f>
        <v>#N/A</v>
      </c>
      <c r="AH129" t="e">
        <f t="shared" ca="1" si="14"/>
        <v>#N/A</v>
      </c>
    </row>
    <row r="130" spans="1:34">
      <c r="A130" s="2" t="s">
        <v>53</v>
      </c>
      <c r="B130" s="2" t="s">
        <v>490</v>
      </c>
      <c r="C130">
        <v>2</v>
      </c>
      <c r="D130">
        <v>3</v>
      </c>
      <c r="F130" s="2" t="s">
        <v>80</v>
      </c>
      <c r="G130" s="2" t="s">
        <v>325</v>
      </c>
      <c r="I130" s="3">
        <f t="shared" si="16"/>
        <v>0</v>
      </c>
      <c r="J130" cm="1">
        <f t="array" ref="J130:N130">'Nom du personnage'!$F$54:$J$54</f>
        <v>0</v>
      </c>
      <c r="K130">
        <v>0</v>
      </c>
      <c r="L130">
        <v>0</v>
      </c>
      <c r="M130">
        <v>0</v>
      </c>
      <c r="N130">
        <v>0</v>
      </c>
      <c r="O130" cm="1">
        <f t="array" ref="O130:W130">'Nom du personnage'!$H$88:$P$88</f>
        <v>0</v>
      </c>
      <c r="P130">
        <v>0</v>
      </c>
      <c r="Q130">
        <v>0</v>
      </c>
      <c r="R130">
        <v>0</v>
      </c>
      <c r="S130">
        <v>0</v>
      </c>
      <c r="T130">
        <v>0</v>
      </c>
      <c r="U130">
        <v>0</v>
      </c>
      <c r="V130">
        <v>0</v>
      </c>
      <c r="W130">
        <v>0</v>
      </c>
      <c r="X130" cm="1">
        <f t="array" ref="X130">IF(OR(A130='Nom du personnage'!$H$88:$O$88,'Nom du personnage'!$V$88:$AC$88=Magie!A130),1,)</f>
        <v>0</v>
      </c>
      <c r="Y130" t="e">
        <f ca="1">IF('Nom du personnage'!$AC$59&gt;=Magie!D130,1,)</f>
        <v>#N/A</v>
      </c>
      <c r="Z130">
        <f ca="1">IF(AND(A130='Nom du personnage'!$H$88,_xlfn.AGGREGATE(4,6,'Nom du personnage'!$C$91:$D$109)&gt;=Magie!D127),1,0)</f>
        <v>0</v>
      </c>
      <c r="AA130">
        <f ca="1">IF(AND(A130='Nom du personnage'!$V$88,_xlfn.AGGREGATE(4,6,'Nom du personnage'!$Q$91:$R$109)&gt;=Magie!D127),10,0)</f>
        <v>0</v>
      </c>
      <c r="AB130" t="e">
        <f t="shared" ca="1" si="10"/>
        <v>#N/A</v>
      </c>
      <c r="AC130" t="e">
        <f t="shared" ca="1" si="17"/>
        <v>#N/A</v>
      </c>
      <c r="AD130" t="e">
        <f>IF(VLOOKUP('Nom du personnage'!$U$51,Données!$P$3:$R$30,3,FALSE)=1,VLOOKUP(AC130,B130:C309,2,FALSE)+1,VLOOKUP(AC130,B130:C309,2,FALSE))</f>
        <v>#N/A</v>
      </c>
      <c r="AE130" t="e">
        <f t="shared" ca="1" si="12"/>
        <v>#N/A</v>
      </c>
      <c r="AF130" t="e">
        <f t="shared" ca="1" si="13"/>
        <v>#N/A</v>
      </c>
      <c r="AG130" t="e">
        <f>IF(VLOOKUP('Nom du personnage'!$U$51,Données!$P$3:$R$30,3,FALSE)=1,VLOOKUP(AF130,B130:C309,2,FALSE)+1,VLOOKUP(AF130,B130:C309,2,FALSE))</f>
        <v>#N/A</v>
      </c>
      <c r="AH130" t="e">
        <f t="shared" ca="1" si="14"/>
        <v>#N/A</v>
      </c>
    </row>
    <row r="131" spans="1:34">
      <c r="A131" s="2" t="s">
        <v>53</v>
      </c>
      <c r="B131" s="2" t="s">
        <v>491</v>
      </c>
      <c r="C131">
        <v>2</v>
      </c>
      <c r="D131">
        <v>3</v>
      </c>
      <c r="F131" s="2" t="s">
        <v>80</v>
      </c>
      <c r="G131" s="2" t="s">
        <v>57</v>
      </c>
      <c r="I131" s="3">
        <f t="shared" ref="I131:I133" si="19">IF(J131=F131,G131,)</f>
        <v>0</v>
      </c>
      <c r="J131" cm="1">
        <f t="array" ref="J131:N131">'Nom du personnage'!$F$54:$J$54</f>
        <v>0</v>
      </c>
      <c r="K131">
        <v>0</v>
      </c>
      <c r="L131">
        <v>0</v>
      </c>
      <c r="M131">
        <v>0</v>
      </c>
      <c r="N131">
        <v>0</v>
      </c>
      <c r="O131" cm="1">
        <f t="array" ref="O131:W131">'Nom du personnage'!$H$88:$P$88</f>
        <v>0</v>
      </c>
      <c r="P131">
        <v>0</v>
      </c>
      <c r="Q131">
        <v>0</v>
      </c>
      <c r="R131">
        <v>0</v>
      </c>
      <c r="S131">
        <v>0</v>
      </c>
      <c r="T131">
        <v>0</v>
      </c>
      <c r="U131">
        <v>0</v>
      </c>
      <c r="V131">
        <v>0</v>
      </c>
      <c r="W131">
        <v>0</v>
      </c>
      <c r="X131" cm="1">
        <f t="array" ref="X131">IF(OR(A131='Nom du personnage'!$H$88:$O$88,'Nom du personnage'!$V$88:$AC$88=Magie!A131),1,)</f>
        <v>0</v>
      </c>
      <c r="Y131" t="e">
        <f ca="1">IF('Nom du personnage'!$AC$59&gt;=Magie!D131,1,)</f>
        <v>#N/A</v>
      </c>
      <c r="Z131">
        <f ca="1">IF(AND(A131='Nom du personnage'!$H$88,_xlfn.AGGREGATE(4,6,'Nom du personnage'!$C$91:$D$109)&gt;=Magie!D128),1,0)</f>
        <v>0</v>
      </c>
      <c r="AA131">
        <f ca="1">IF(AND(A131='Nom du personnage'!$V$88,_xlfn.AGGREGATE(4,6,'Nom du personnage'!$Q$91:$R$109)&gt;=Magie!D128),10,0)</f>
        <v>0</v>
      </c>
      <c r="AB131" t="e">
        <f t="shared" ca="1" si="10"/>
        <v>#N/A</v>
      </c>
      <c r="AC131" t="e">
        <f t="shared" ca="1" si="17"/>
        <v>#N/A</v>
      </c>
      <c r="AD131" t="e">
        <f>IF(VLOOKUP('Nom du personnage'!$U$51,Données!$P$3:$R$30,3,FALSE)=1,VLOOKUP(AC131,B131:C310,2,FALSE)+1,VLOOKUP(AC131,B131:C310,2,FALSE))</f>
        <v>#N/A</v>
      </c>
      <c r="AE131" t="e">
        <f t="shared" ca="1" si="12"/>
        <v>#N/A</v>
      </c>
      <c r="AF131" t="e">
        <f t="shared" ca="1" si="13"/>
        <v>#N/A</v>
      </c>
      <c r="AG131" t="e">
        <f>IF(VLOOKUP('Nom du personnage'!$U$51,Données!$P$3:$R$30,3,FALSE)=1,VLOOKUP(AF131,B131:C310,2,FALSE)+1,VLOOKUP(AF131,B131:C310,2,FALSE))</f>
        <v>#N/A</v>
      </c>
      <c r="AH131" t="e">
        <f t="shared" ca="1" si="14"/>
        <v>#N/A</v>
      </c>
    </row>
    <row r="132" spans="1:34">
      <c r="A132" s="2" t="s">
        <v>53</v>
      </c>
      <c r="B132" s="2" t="s">
        <v>492</v>
      </c>
      <c r="C132">
        <v>3</v>
      </c>
      <c r="D132">
        <v>4</v>
      </c>
      <c r="F132" s="2" t="s">
        <v>80</v>
      </c>
      <c r="G132" s="2" t="s">
        <v>323</v>
      </c>
      <c r="I132" s="3">
        <f t="shared" si="19"/>
        <v>0</v>
      </c>
      <c r="J132" cm="1">
        <f t="array" ref="J132:N132">'Nom du personnage'!$F$54:$J$54</f>
        <v>0</v>
      </c>
      <c r="K132">
        <v>0</v>
      </c>
      <c r="L132">
        <v>0</v>
      </c>
      <c r="M132">
        <v>0</v>
      </c>
      <c r="N132">
        <v>0</v>
      </c>
      <c r="O132" cm="1">
        <f t="array" ref="O132:W132">'Nom du personnage'!$H$88:$P$88</f>
        <v>0</v>
      </c>
      <c r="P132">
        <v>0</v>
      </c>
      <c r="Q132">
        <v>0</v>
      </c>
      <c r="R132">
        <v>0</v>
      </c>
      <c r="S132">
        <v>0</v>
      </c>
      <c r="T132">
        <v>0</v>
      </c>
      <c r="U132">
        <v>0</v>
      </c>
      <c r="V132">
        <v>0</v>
      </c>
      <c r="W132">
        <v>0</v>
      </c>
      <c r="X132" cm="1">
        <f t="array" ref="X132">IF(OR(A132='Nom du personnage'!$H$88:$O$88,'Nom du personnage'!$V$88:$AC$88=Magie!A132),1,)</f>
        <v>0</v>
      </c>
      <c r="Y132" t="e">
        <f ca="1">IF('Nom du personnage'!$AC$59&gt;=Magie!D132,1,)</f>
        <v>#N/A</v>
      </c>
      <c r="Z132">
        <f ca="1">IF(AND(A132='Nom du personnage'!$H$88,_xlfn.AGGREGATE(4,6,'Nom du personnage'!$C$91:$D$109)&gt;=Magie!D129),1,0)</f>
        <v>0</v>
      </c>
      <c r="AA132">
        <f ca="1">IF(AND(A132='Nom du personnage'!$V$88,_xlfn.AGGREGATE(4,6,'Nom du personnage'!$Q$91:$R$109)&gt;=Magie!D129),10,0)</f>
        <v>0</v>
      </c>
      <c r="AB132" t="e">
        <f t="shared" ref="AB132:AB195" ca="1" si="20">+X132+Y132+Z132+AA132</f>
        <v>#N/A</v>
      </c>
      <c r="AC132" t="e">
        <f t="shared" ref="AC132:AC195" ca="1" si="21">IF(AB132=3,B132,)</f>
        <v>#N/A</v>
      </c>
      <c r="AD132" t="e">
        <f>IF(VLOOKUP('Nom du personnage'!$U$51,Données!$P$3:$R$30,3,FALSE)=1,VLOOKUP(AC132,B132:C311,2,FALSE)+1,VLOOKUP(AC132,B132:C311,2,FALSE))</f>
        <v>#N/A</v>
      </c>
      <c r="AE132" t="e">
        <f t="shared" ref="AE132:AE195" ca="1" si="22">VLOOKUP(AC132,B132:D371,3,FALSE)</f>
        <v>#N/A</v>
      </c>
      <c r="AF132" t="e">
        <f t="shared" ref="AF132:AF195" ca="1" si="23">IF(OR(AB132=13,AB132=12),B132,)</f>
        <v>#N/A</v>
      </c>
      <c r="AG132" t="e">
        <f>IF(VLOOKUP('Nom du personnage'!$U$51,Données!$P$3:$R$30,3,FALSE)=1,VLOOKUP(AF132,B132:C311,2,FALSE)+1,VLOOKUP(AF132,B132:C311,2,FALSE))</f>
        <v>#N/A</v>
      </c>
      <c r="AH132" t="e">
        <f t="shared" ref="AH132:AH195" ca="1" si="24">VLOOKUP(AF132,B132:D371,3,FALSE)</f>
        <v>#N/A</v>
      </c>
    </row>
    <row r="133" spans="1:34">
      <c r="A133" s="2" t="s">
        <v>53</v>
      </c>
      <c r="B133" s="2" t="s">
        <v>493</v>
      </c>
      <c r="C133">
        <v>3</v>
      </c>
      <c r="D133">
        <v>4</v>
      </c>
      <c r="F133" s="2" t="s">
        <v>80</v>
      </c>
      <c r="G133" s="2" t="s">
        <v>326</v>
      </c>
      <c r="I133" s="3">
        <f t="shared" si="19"/>
        <v>0</v>
      </c>
      <c r="J133" cm="1">
        <f t="array" ref="J133:N133">'Nom du personnage'!$F$54:$J$54</f>
        <v>0</v>
      </c>
      <c r="K133">
        <v>0</v>
      </c>
      <c r="L133">
        <v>0</v>
      </c>
      <c r="M133">
        <v>0</v>
      </c>
      <c r="N133">
        <v>0</v>
      </c>
      <c r="O133" cm="1">
        <f t="array" ref="O133:W133">'Nom du personnage'!$H$88:$P$88</f>
        <v>0</v>
      </c>
      <c r="P133">
        <v>0</v>
      </c>
      <c r="Q133">
        <v>0</v>
      </c>
      <c r="R133">
        <v>0</v>
      </c>
      <c r="S133">
        <v>0</v>
      </c>
      <c r="T133">
        <v>0</v>
      </c>
      <c r="U133">
        <v>0</v>
      </c>
      <c r="V133">
        <v>0</v>
      </c>
      <c r="W133">
        <v>0</v>
      </c>
      <c r="X133" cm="1">
        <f t="array" ref="X133">IF(OR(A133='Nom du personnage'!$H$88:$O$88,'Nom du personnage'!$V$88:$AC$88=Magie!A133),1,)</f>
        <v>0</v>
      </c>
      <c r="Y133" t="e">
        <f ca="1">IF('Nom du personnage'!$AC$59&gt;=Magie!D133,1,)</f>
        <v>#N/A</v>
      </c>
      <c r="Z133">
        <f ca="1">IF(AND(A133='Nom du personnage'!$H$88,_xlfn.AGGREGATE(4,6,'Nom du personnage'!$C$91:$D$109)&gt;=Magie!D130),1,0)</f>
        <v>0</v>
      </c>
      <c r="AA133">
        <f ca="1">IF(AND(A133='Nom du personnage'!$V$88,_xlfn.AGGREGATE(4,6,'Nom du personnage'!$Q$91:$R$109)&gt;=Magie!D130),10,0)</f>
        <v>0</v>
      </c>
      <c r="AB133" t="e">
        <f t="shared" ca="1" si="20"/>
        <v>#N/A</v>
      </c>
      <c r="AC133" t="e">
        <f t="shared" ca="1" si="21"/>
        <v>#N/A</v>
      </c>
      <c r="AD133" t="e">
        <f>IF(VLOOKUP('Nom du personnage'!$U$51,Données!$P$3:$R$30,3,FALSE)=1,VLOOKUP(AC133,B133:C312,2,FALSE)+1,VLOOKUP(AC133,B133:C312,2,FALSE))</f>
        <v>#N/A</v>
      </c>
      <c r="AE133" t="e">
        <f t="shared" ca="1" si="22"/>
        <v>#N/A</v>
      </c>
      <c r="AF133" t="e">
        <f t="shared" ca="1" si="23"/>
        <v>#N/A</v>
      </c>
      <c r="AG133" t="e">
        <f>IF(VLOOKUP('Nom du personnage'!$U$51,Données!$P$3:$R$30,3,FALSE)=1,VLOOKUP(AF133,B133:C312,2,FALSE)+1,VLOOKUP(AF133,B133:C312,2,FALSE))</f>
        <v>#N/A</v>
      </c>
      <c r="AH133" t="e">
        <f t="shared" ca="1" si="24"/>
        <v>#N/A</v>
      </c>
    </row>
    <row r="134" spans="1:34">
      <c r="A134" s="2" t="s">
        <v>53</v>
      </c>
      <c r="B134" s="2" t="s">
        <v>494</v>
      </c>
      <c r="C134">
        <v>3</v>
      </c>
      <c r="D134">
        <v>4</v>
      </c>
      <c r="O134" cm="1">
        <f t="array" ref="O134:W134">'Nom du personnage'!$H$88:$P$88</f>
        <v>0</v>
      </c>
      <c r="P134">
        <v>0</v>
      </c>
      <c r="Q134">
        <v>0</v>
      </c>
      <c r="R134">
        <v>0</v>
      </c>
      <c r="S134">
        <v>0</v>
      </c>
      <c r="T134">
        <v>0</v>
      </c>
      <c r="U134">
        <v>0</v>
      </c>
      <c r="V134">
        <v>0</v>
      </c>
      <c r="W134">
        <v>0</v>
      </c>
      <c r="X134" cm="1">
        <f t="array" ref="X134">IF(OR(A134='Nom du personnage'!$H$88:$O$88,'Nom du personnage'!$V$88:$AC$88=Magie!A134),1,)</f>
        <v>0</v>
      </c>
      <c r="Y134" t="e">
        <f ca="1">IF('Nom du personnage'!$AC$59&gt;=Magie!D134,1,)</f>
        <v>#N/A</v>
      </c>
      <c r="Z134">
        <f ca="1">IF(AND(A134='Nom du personnage'!$H$88,_xlfn.AGGREGATE(4,6,'Nom du personnage'!$C$91:$D$109)&gt;=Magie!D131),1,0)</f>
        <v>0</v>
      </c>
      <c r="AA134">
        <f ca="1">IF(AND(A134='Nom du personnage'!$V$88,_xlfn.AGGREGATE(4,6,'Nom du personnage'!$Q$91:$R$109)&gt;=Magie!D131),10,0)</f>
        <v>0</v>
      </c>
      <c r="AB134" t="e">
        <f t="shared" ca="1" si="20"/>
        <v>#N/A</v>
      </c>
      <c r="AC134" t="e">
        <f t="shared" ca="1" si="21"/>
        <v>#N/A</v>
      </c>
      <c r="AD134" t="e">
        <f>IF(VLOOKUP('Nom du personnage'!$U$51,Données!$P$3:$R$30,3,FALSE)=1,VLOOKUP(AC134,B134:C313,2,FALSE)+1,VLOOKUP(AC134,B134:C313,2,FALSE))</f>
        <v>#N/A</v>
      </c>
      <c r="AE134" t="e">
        <f t="shared" ca="1" si="22"/>
        <v>#N/A</v>
      </c>
      <c r="AF134" t="e">
        <f t="shared" ca="1" si="23"/>
        <v>#N/A</v>
      </c>
      <c r="AG134" t="e">
        <f>IF(VLOOKUP('Nom du personnage'!$U$51,Données!$P$3:$R$30,3,FALSE)=1,VLOOKUP(AF134,B134:C313,2,FALSE)+1,VLOOKUP(AF134,B134:C313,2,FALSE))</f>
        <v>#N/A</v>
      </c>
      <c r="AH134" t="e">
        <f t="shared" ca="1" si="24"/>
        <v>#N/A</v>
      </c>
    </row>
    <row r="135" spans="1:34">
      <c r="A135" s="2" t="s">
        <v>53</v>
      </c>
      <c r="B135" s="2" t="s">
        <v>495</v>
      </c>
      <c r="C135">
        <v>3</v>
      </c>
      <c r="D135">
        <v>5</v>
      </c>
      <c r="O135" cm="1">
        <f t="array" ref="O135:W135">'Nom du personnage'!$H$88:$P$88</f>
        <v>0</v>
      </c>
      <c r="P135">
        <v>0</v>
      </c>
      <c r="Q135">
        <v>0</v>
      </c>
      <c r="R135">
        <v>0</v>
      </c>
      <c r="S135">
        <v>0</v>
      </c>
      <c r="T135">
        <v>0</v>
      </c>
      <c r="U135">
        <v>0</v>
      </c>
      <c r="V135">
        <v>0</v>
      </c>
      <c r="W135">
        <v>0</v>
      </c>
      <c r="X135" cm="1">
        <f t="array" ref="X135">IF(OR(A135='Nom du personnage'!$H$88:$O$88,'Nom du personnage'!$V$88:$AC$88=Magie!A135),1,)</f>
        <v>0</v>
      </c>
      <c r="Y135" t="e">
        <f ca="1">IF('Nom du personnage'!$AC$59&gt;=Magie!D135,1,)</f>
        <v>#N/A</v>
      </c>
      <c r="Z135">
        <f ca="1">IF(AND(A135='Nom du personnage'!$H$88,_xlfn.AGGREGATE(4,6,'Nom du personnage'!$C$91:$D$109)&gt;=Magie!D132),1,0)</f>
        <v>0</v>
      </c>
      <c r="AA135">
        <f ca="1">IF(AND(A135='Nom du personnage'!$V$88,_xlfn.AGGREGATE(4,6,'Nom du personnage'!$Q$91:$R$109)&gt;=Magie!D132),10,0)</f>
        <v>0</v>
      </c>
      <c r="AB135" t="e">
        <f t="shared" ca="1" si="20"/>
        <v>#N/A</v>
      </c>
      <c r="AC135" t="e">
        <f t="shared" ca="1" si="21"/>
        <v>#N/A</v>
      </c>
      <c r="AD135" t="e">
        <f>IF(VLOOKUP('Nom du personnage'!$U$51,Données!$P$3:$R$30,3,FALSE)=1,VLOOKUP(AC135,B135:C314,2,FALSE)+1,VLOOKUP(AC135,B135:C314,2,FALSE))</f>
        <v>#N/A</v>
      </c>
      <c r="AE135" t="e">
        <f t="shared" ca="1" si="22"/>
        <v>#N/A</v>
      </c>
      <c r="AF135" t="e">
        <f t="shared" ca="1" si="23"/>
        <v>#N/A</v>
      </c>
      <c r="AG135" t="e">
        <f>IF(VLOOKUP('Nom du personnage'!$U$51,Données!$P$3:$R$30,3,FALSE)=1,VLOOKUP(AF135,B135:C314,2,FALSE)+1,VLOOKUP(AF135,B135:C314,2,FALSE))</f>
        <v>#N/A</v>
      </c>
      <c r="AH135" t="e">
        <f t="shared" ca="1" si="24"/>
        <v>#N/A</v>
      </c>
    </row>
    <row r="136" spans="1:34">
      <c r="A136" s="2" t="s">
        <v>53</v>
      </c>
      <c r="B136" s="2" t="s">
        <v>496</v>
      </c>
      <c r="C136">
        <v>3</v>
      </c>
      <c r="D136">
        <v>5</v>
      </c>
      <c r="O136" cm="1">
        <f t="array" ref="O136:W136">'Nom du personnage'!$H$88:$P$88</f>
        <v>0</v>
      </c>
      <c r="P136">
        <v>0</v>
      </c>
      <c r="Q136">
        <v>0</v>
      </c>
      <c r="R136">
        <v>0</v>
      </c>
      <c r="S136">
        <v>0</v>
      </c>
      <c r="T136">
        <v>0</v>
      </c>
      <c r="U136">
        <v>0</v>
      </c>
      <c r="V136">
        <v>0</v>
      </c>
      <c r="W136">
        <v>0</v>
      </c>
      <c r="X136" cm="1">
        <f t="array" ref="X136">IF(OR(A136='Nom du personnage'!$H$88:$O$88,'Nom du personnage'!$V$88:$AC$88=Magie!A136),1,)</f>
        <v>0</v>
      </c>
      <c r="Y136" t="e">
        <f ca="1">IF('Nom du personnage'!$AC$59&gt;=Magie!D136,1,)</f>
        <v>#N/A</v>
      </c>
      <c r="Z136">
        <f ca="1">IF(AND(A136='Nom du personnage'!$H$88,_xlfn.AGGREGATE(4,6,'Nom du personnage'!$C$91:$D$109)&gt;=Magie!D133),1,0)</f>
        <v>0</v>
      </c>
      <c r="AA136">
        <f ca="1">IF(AND(A136='Nom du personnage'!$V$88,_xlfn.AGGREGATE(4,6,'Nom du personnage'!$Q$91:$R$109)&gt;=Magie!D133),10,0)</f>
        <v>0</v>
      </c>
      <c r="AB136" t="e">
        <f t="shared" ca="1" si="20"/>
        <v>#N/A</v>
      </c>
      <c r="AC136" t="e">
        <f t="shared" ca="1" si="21"/>
        <v>#N/A</v>
      </c>
      <c r="AD136" t="e">
        <f>IF(VLOOKUP('Nom du personnage'!$U$51,Données!$P$3:$R$30,3,FALSE)=1,VLOOKUP(AC136,B136:C315,2,FALSE)+1,VLOOKUP(AC136,B136:C315,2,FALSE))</f>
        <v>#N/A</v>
      </c>
      <c r="AE136" t="e">
        <f t="shared" ca="1" si="22"/>
        <v>#N/A</v>
      </c>
      <c r="AF136" t="e">
        <f t="shared" ca="1" si="23"/>
        <v>#N/A</v>
      </c>
      <c r="AG136" t="e">
        <f>IF(VLOOKUP('Nom du personnage'!$U$51,Données!$P$3:$R$30,3,FALSE)=1,VLOOKUP(AF136,B136:C315,2,FALSE)+1,VLOOKUP(AF136,B136:C315,2,FALSE))</f>
        <v>#N/A</v>
      </c>
      <c r="AH136" t="e">
        <f t="shared" ca="1" si="24"/>
        <v>#N/A</v>
      </c>
    </row>
    <row r="137" spans="1:34">
      <c r="A137" s="2" t="s">
        <v>53</v>
      </c>
      <c r="B137" s="2" t="s">
        <v>497</v>
      </c>
      <c r="C137">
        <v>3</v>
      </c>
      <c r="D137">
        <v>5</v>
      </c>
      <c r="O137" cm="1">
        <f t="array" ref="O137:W137">'Nom du personnage'!$H$88:$P$88</f>
        <v>0</v>
      </c>
      <c r="P137">
        <v>0</v>
      </c>
      <c r="Q137">
        <v>0</v>
      </c>
      <c r="R137">
        <v>0</v>
      </c>
      <c r="S137">
        <v>0</v>
      </c>
      <c r="T137">
        <v>0</v>
      </c>
      <c r="U137">
        <v>0</v>
      </c>
      <c r="V137">
        <v>0</v>
      </c>
      <c r="W137">
        <v>0</v>
      </c>
      <c r="X137" cm="1">
        <f t="array" ref="X137">IF(OR(A137='Nom du personnage'!$H$88:$O$88,'Nom du personnage'!$V$88:$AC$88=Magie!A137),1,)</f>
        <v>0</v>
      </c>
      <c r="Y137" t="e">
        <f ca="1">IF('Nom du personnage'!$AC$59&gt;=Magie!D137,1,)</f>
        <v>#N/A</v>
      </c>
      <c r="Z137">
        <f ca="1">IF(AND(A137='Nom du personnage'!$H$88,_xlfn.AGGREGATE(4,6,'Nom du personnage'!$C$91:$D$109)&gt;=Magie!D134),1,0)</f>
        <v>0</v>
      </c>
      <c r="AA137">
        <f ca="1">IF(AND(A137='Nom du personnage'!$V$88,_xlfn.AGGREGATE(4,6,'Nom du personnage'!$Q$91:$R$109)&gt;=Magie!D134),10,0)</f>
        <v>0</v>
      </c>
      <c r="AB137" t="e">
        <f t="shared" ca="1" si="20"/>
        <v>#N/A</v>
      </c>
      <c r="AC137" t="e">
        <f t="shared" ca="1" si="21"/>
        <v>#N/A</v>
      </c>
      <c r="AD137" t="e">
        <f>IF(VLOOKUP('Nom du personnage'!$U$51,Données!$P$3:$R$30,3,FALSE)=1,VLOOKUP(AC137,B137:C316,2,FALSE)+1,VLOOKUP(AC137,B137:C316,2,FALSE))</f>
        <v>#N/A</v>
      </c>
      <c r="AE137" t="e">
        <f t="shared" ca="1" si="22"/>
        <v>#N/A</v>
      </c>
      <c r="AF137" t="e">
        <f t="shared" ca="1" si="23"/>
        <v>#N/A</v>
      </c>
      <c r="AG137" t="e">
        <f>IF(VLOOKUP('Nom du personnage'!$U$51,Données!$P$3:$R$30,3,FALSE)=1,VLOOKUP(AF137,B137:C316,2,FALSE)+1,VLOOKUP(AF137,B137:C316,2,FALSE))</f>
        <v>#N/A</v>
      </c>
      <c r="AH137" t="e">
        <f t="shared" ca="1" si="24"/>
        <v>#N/A</v>
      </c>
    </row>
    <row r="138" spans="1:34">
      <c r="A138" s="2" t="s">
        <v>53</v>
      </c>
      <c r="B138" s="2" t="s">
        <v>498</v>
      </c>
      <c r="C138">
        <v>3</v>
      </c>
      <c r="D138">
        <v>6</v>
      </c>
      <c r="O138" cm="1">
        <f t="array" ref="O138:W138">'Nom du personnage'!$H$88:$P$88</f>
        <v>0</v>
      </c>
      <c r="P138">
        <v>0</v>
      </c>
      <c r="Q138">
        <v>0</v>
      </c>
      <c r="R138">
        <v>0</v>
      </c>
      <c r="S138">
        <v>0</v>
      </c>
      <c r="T138">
        <v>0</v>
      </c>
      <c r="U138">
        <v>0</v>
      </c>
      <c r="V138">
        <v>0</v>
      </c>
      <c r="W138">
        <v>0</v>
      </c>
      <c r="X138" cm="1">
        <f t="array" ref="X138">IF(OR(A138='Nom du personnage'!$H$88:$O$88,'Nom du personnage'!$V$88:$AC$88=Magie!A138),1,)</f>
        <v>0</v>
      </c>
      <c r="Y138" t="e">
        <f ca="1">IF('Nom du personnage'!$AC$59&gt;=Magie!D138,1,)</f>
        <v>#N/A</v>
      </c>
      <c r="Z138">
        <f ca="1">IF(AND(A138='Nom du personnage'!$H$88,_xlfn.AGGREGATE(4,6,'Nom du personnage'!$C$91:$D$109)&gt;=Magie!D135),1,0)</f>
        <v>0</v>
      </c>
      <c r="AA138">
        <f ca="1">IF(AND(A138='Nom du personnage'!$V$88,_xlfn.AGGREGATE(4,6,'Nom du personnage'!$Q$91:$R$109)&gt;=Magie!D135),10,0)</f>
        <v>0</v>
      </c>
      <c r="AB138" t="e">
        <f t="shared" ca="1" si="20"/>
        <v>#N/A</v>
      </c>
      <c r="AC138" t="e">
        <f t="shared" ca="1" si="21"/>
        <v>#N/A</v>
      </c>
      <c r="AD138" t="e">
        <f>IF(VLOOKUP('Nom du personnage'!$U$51,Données!$P$3:$R$30,3,FALSE)=1,VLOOKUP(AC138,B138:C317,2,FALSE)+1,VLOOKUP(AC138,B138:C317,2,FALSE))</f>
        <v>#N/A</v>
      </c>
      <c r="AE138" t="e">
        <f t="shared" ca="1" si="22"/>
        <v>#N/A</v>
      </c>
      <c r="AF138" t="e">
        <f t="shared" ca="1" si="23"/>
        <v>#N/A</v>
      </c>
      <c r="AG138" t="e">
        <f>IF(VLOOKUP('Nom du personnage'!$U$51,Données!$P$3:$R$30,3,FALSE)=1,VLOOKUP(AF138,B138:C317,2,FALSE)+1,VLOOKUP(AF138,B138:C317,2,FALSE))</f>
        <v>#N/A</v>
      </c>
      <c r="AH138" t="e">
        <f t="shared" ca="1" si="24"/>
        <v>#N/A</v>
      </c>
    </row>
    <row r="139" spans="1:34">
      <c r="A139" s="2" t="s">
        <v>53</v>
      </c>
      <c r="B139" s="2" t="s">
        <v>499</v>
      </c>
      <c r="C139">
        <v>3</v>
      </c>
      <c r="D139">
        <v>6</v>
      </c>
      <c r="O139" cm="1">
        <f t="array" ref="O139:W139">'Nom du personnage'!$H$88:$P$88</f>
        <v>0</v>
      </c>
      <c r="P139">
        <v>0</v>
      </c>
      <c r="Q139">
        <v>0</v>
      </c>
      <c r="R139">
        <v>0</v>
      </c>
      <c r="S139">
        <v>0</v>
      </c>
      <c r="T139">
        <v>0</v>
      </c>
      <c r="U139">
        <v>0</v>
      </c>
      <c r="V139">
        <v>0</v>
      </c>
      <c r="W139">
        <v>0</v>
      </c>
      <c r="X139" cm="1">
        <f t="array" ref="X139">IF(OR(A139='Nom du personnage'!$H$88:$O$88,'Nom du personnage'!$V$88:$AC$88=Magie!A139),1,)</f>
        <v>0</v>
      </c>
      <c r="Y139" t="e">
        <f ca="1">IF('Nom du personnage'!$AC$59&gt;=Magie!D139,1,)</f>
        <v>#N/A</v>
      </c>
      <c r="Z139">
        <f ca="1">IF(AND(A139='Nom du personnage'!$H$88,_xlfn.AGGREGATE(4,6,'Nom du personnage'!$C$91:$D$109)&gt;=Magie!D136),1,0)</f>
        <v>0</v>
      </c>
      <c r="AA139">
        <f ca="1">IF(AND(A139='Nom du personnage'!$V$88,_xlfn.AGGREGATE(4,6,'Nom du personnage'!$Q$91:$R$109)&gt;=Magie!D136),10,0)</f>
        <v>0</v>
      </c>
      <c r="AB139" t="e">
        <f t="shared" ca="1" si="20"/>
        <v>#N/A</v>
      </c>
      <c r="AC139" t="e">
        <f t="shared" ca="1" si="21"/>
        <v>#N/A</v>
      </c>
      <c r="AD139" t="e">
        <f>IF(VLOOKUP('Nom du personnage'!$U$51,Données!$P$3:$R$30,3,FALSE)=1,VLOOKUP(AC139,B139:C318,2,FALSE)+1,VLOOKUP(AC139,B139:C318,2,FALSE))</f>
        <v>#N/A</v>
      </c>
      <c r="AE139" t="e">
        <f t="shared" ca="1" si="22"/>
        <v>#N/A</v>
      </c>
      <c r="AF139" t="e">
        <f t="shared" ca="1" si="23"/>
        <v>#N/A</v>
      </c>
      <c r="AG139" t="e">
        <f>IF(VLOOKUP('Nom du personnage'!$U$51,Données!$P$3:$R$30,3,FALSE)=1,VLOOKUP(AF139,B139:C318,2,FALSE)+1,VLOOKUP(AF139,B139:C318,2,FALSE))</f>
        <v>#N/A</v>
      </c>
      <c r="AH139" t="e">
        <f t="shared" ca="1" si="24"/>
        <v>#N/A</v>
      </c>
    </row>
    <row r="140" spans="1:34">
      <c r="A140" s="2" t="s">
        <v>53</v>
      </c>
      <c r="B140" s="2" t="s">
        <v>500</v>
      </c>
      <c r="C140">
        <v>3</v>
      </c>
      <c r="D140">
        <v>6</v>
      </c>
      <c r="O140" cm="1">
        <f t="array" ref="O140:W140">'Nom du personnage'!$H$88:$P$88</f>
        <v>0</v>
      </c>
      <c r="P140">
        <v>0</v>
      </c>
      <c r="Q140">
        <v>0</v>
      </c>
      <c r="R140">
        <v>0</v>
      </c>
      <c r="S140">
        <v>0</v>
      </c>
      <c r="T140">
        <v>0</v>
      </c>
      <c r="U140">
        <v>0</v>
      </c>
      <c r="V140">
        <v>0</v>
      </c>
      <c r="W140">
        <v>0</v>
      </c>
      <c r="X140" cm="1">
        <f t="array" ref="X140">IF(OR(A140='Nom du personnage'!$H$88:$O$88,'Nom du personnage'!$V$88:$AC$88=Magie!A140),1,)</f>
        <v>0</v>
      </c>
      <c r="Y140" t="e">
        <f ca="1">IF('Nom du personnage'!$AC$59&gt;=Magie!D140,1,)</f>
        <v>#N/A</v>
      </c>
      <c r="Z140">
        <f ca="1">IF(AND(A140='Nom du personnage'!$H$88,_xlfn.AGGREGATE(4,6,'Nom du personnage'!$C$91:$D$109)&gt;=Magie!D137),1,0)</f>
        <v>0</v>
      </c>
      <c r="AA140">
        <f ca="1">IF(AND(A140='Nom du personnage'!$V$88,_xlfn.AGGREGATE(4,6,'Nom du personnage'!$Q$91:$R$109)&gt;=Magie!D137),10,0)</f>
        <v>0</v>
      </c>
      <c r="AB140" t="e">
        <f t="shared" ca="1" si="20"/>
        <v>#N/A</v>
      </c>
      <c r="AC140" t="e">
        <f t="shared" ca="1" si="21"/>
        <v>#N/A</v>
      </c>
      <c r="AD140" t="e">
        <f>IF(VLOOKUP('Nom du personnage'!$U$51,Données!$P$3:$R$30,3,FALSE)=1,VLOOKUP(AC140,B140:C319,2,FALSE)+1,VLOOKUP(AC140,B140:C319,2,FALSE))</f>
        <v>#N/A</v>
      </c>
      <c r="AE140" t="e">
        <f t="shared" ca="1" si="22"/>
        <v>#N/A</v>
      </c>
      <c r="AF140" t="e">
        <f t="shared" ca="1" si="23"/>
        <v>#N/A</v>
      </c>
      <c r="AG140" t="e">
        <f>IF(VLOOKUP('Nom du personnage'!$U$51,Données!$P$3:$R$30,3,FALSE)=1,VLOOKUP(AF140,B140:C319,2,FALSE)+1,VLOOKUP(AF140,B140:C319,2,FALSE))</f>
        <v>#N/A</v>
      </c>
      <c r="AH140" t="e">
        <f t="shared" ca="1" si="24"/>
        <v>#N/A</v>
      </c>
    </row>
    <row r="141" spans="1:34">
      <c r="A141" s="2" t="s">
        <v>53</v>
      </c>
      <c r="B141" s="2" t="s">
        <v>501</v>
      </c>
      <c r="C141">
        <v>4</v>
      </c>
      <c r="D141">
        <v>7</v>
      </c>
      <c r="O141" cm="1">
        <f t="array" ref="O141:W141">'Nom du personnage'!$H$88:$P$88</f>
        <v>0</v>
      </c>
      <c r="P141">
        <v>0</v>
      </c>
      <c r="Q141">
        <v>0</v>
      </c>
      <c r="R141">
        <v>0</v>
      </c>
      <c r="S141">
        <v>0</v>
      </c>
      <c r="T141">
        <v>0</v>
      </c>
      <c r="U141">
        <v>0</v>
      </c>
      <c r="V141">
        <v>0</v>
      </c>
      <c r="W141">
        <v>0</v>
      </c>
      <c r="X141" cm="1">
        <f t="array" ref="X141">IF(OR(A141='Nom du personnage'!$H$88:$O$88,'Nom du personnage'!$V$88:$AC$88=Magie!A141),1,)</f>
        <v>0</v>
      </c>
      <c r="Y141" t="e">
        <f ca="1">IF('Nom du personnage'!$AC$59&gt;=Magie!D141,1,)</f>
        <v>#N/A</v>
      </c>
      <c r="Z141">
        <f ca="1">IF(AND(A141='Nom du personnage'!$H$88,_xlfn.AGGREGATE(4,6,'Nom du personnage'!$C$91:$D$109)&gt;=Magie!D138),1,0)</f>
        <v>0</v>
      </c>
      <c r="AA141">
        <f ca="1">IF(AND(A141='Nom du personnage'!$V$88,_xlfn.AGGREGATE(4,6,'Nom du personnage'!$Q$91:$R$109)&gt;=Magie!D138),10,0)</f>
        <v>0</v>
      </c>
      <c r="AB141" t="e">
        <f t="shared" ca="1" si="20"/>
        <v>#N/A</v>
      </c>
      <c r="AC141" t="e">
        <f t="shared" ca="1" si="21"/>
        <v>#N/A</v>
      </c>
      <c r="AD141" t="e">
        <f>IF(VLOOKUP('Nom du personnage'!$U$51,Données!$P$3:$R$30,3,FALSE)=1,VLOOKUP(AC141,B141:C320,2,FALSE)+1,VLOOKUP(AC141,B141:C320,2,FALSE))</f>
        <v>#N/A</v>
      </c>
      <c r="AE141" t="e">
        <f t="shared" ca="1" si="22"/>
        <v>#N/A</v>
      </c>
      <c r="AF141" t="e">
        <f t="shared" ca="1" si="23"/>
        <v>#N/A</v>
      </c>
      <c r="AG141" t="e">
        <f>IF(VLOOKUP('Nom du personnage'!$U$51,Données!$P$3:$R$30,3,FALSE)=1,VLOOKUP(AF141,B141:C320,2,FALSE)+1,VLOOKUP(AF141,B141:C320,2,FALSE))</f>
        <v>#N/A</v>
      </c>
      <c r="AH141" t="e">
        <f t="shared" ca="1" si="24"/>
        <v>#N/A</v>
      </c>
    </row>
    <row r="142" spans="1:34">
      <c r="A142" s="2" t="s">
        <v>53</v>
      </c>
      <c r="B142" s="2" t="s">
        <v>502</v>
      </c>
      <c r="C142">
        <v>4</v>
      </c>
      <c r="D142">
        <v>7</v>
      </c>
      <c r="O142" cm="1">
        <f t="array" ref="O142:W142">'Nom du personnage'!$H$88:$P$88</f>
        <v>0</v>
      </c>
      <c r="P142">
        <v>0</v>
      </c>
      <c r="Q142">
        <v>0</v>
      </c>
      <c r="R142">
        <v>0</v>
      </c>
      <c r="S142">
        <v>0</v>
      </c>
      <c r="T142">
        <v>0</v>
      </c>
      <c r="U142">
        <v>0</v>
      </c>
      <c r="V142">
        <v>0</v>
      </c>
      <c r="W142">
        <v>0</v>
      </c>
      <c r="X142" cm="1">
        <f t="array" ref="X142">IF(OR(A142='Nom du personnage'!$H$88:$O$88,'Nom du personnage'!$V$88:$AC$88=Magie!A142),1,)</f>
        <v>0</v>
      </c>
      <c r="Y142" t="e">
        <f ca="1">IF('Nom du personnage'!$AC$59&gt;=Magie!D142,1,)</f>
        <v>#N/A</v>
      </c>
      <c r="Z142">
        <f ca="1">IF(AND(A142='Nom du personnage'!$H$88,_xlfn.AGGREGATE(4,6,'Nom du personnage'!$C$91:$D$109)&gt;=Magie!D139),1,0)</f>
        <v>0</v>
      </c>
      <c r="AA142">
        <f ca="1">IF(AND(A142='Nom du personnage'!$V$88,_xlfn.AGGREGATE(4,6,'Nom du personnage'!$Q$91:$R$109)&gt;=Magie!D139),10,0)</f>
        <v>0</v>
      </c>
      <c r="AB142" t="e">
        <f t="shared" ca="1" si="20"/>
        <v>#N/A</v>
      </c>
      <c r="AC142" t="e">
        <f t="shared" ca="1" si="21"/>
        <v>#N/A</v>
      </c>
      <c r="AD142" t="e">
        <f>IF(VLOOKUP('Nom du personnage'!$U$51,Données!$P$3:$R$30,3,FALSE)=1,VLOOKUP(AC142,B142:C321,2,FALSE)+1,VLOOKUP(AC142,B142:C321,2,FALSE))</f>
        <v>#N/A</v>
      </c>
      <c r="AE142" t="e">
        <f t="shared" ca="1" si="22"/>
        <v>#N/A</v>
      </c>
      <c r="AF142" t="e">
        <f t="shared" ca="1" si="23"/>
        <v>#N/A</v>
      </c>
      <c r="AG142" t="e">
        <f>IF(VLOOKUP('Nom du personnage'!$U$51,Données!$P$3:$R$30,3,FALSE)=1,VLOOKUP(AF142,B142:C321,2,FALSE)+1,VLOOKUP(AF142,B142:C321,2,FALSE))</f>
        <v>#N/A</v>
      </c>
      <c r="AH142" t="e">
        <f t="shared" ca="1" si="24"/>
        <v>#N/A</v>
      </c>
    </row>
    <row r="143" spans="1:34">
      <c r="A143" s="2" t="s">
        <v>53</v>
      </c>
      <c r="B143" s="2" t="s">
        <v>503</v>
      </c>
      <c r="C143">
        <v>4</v>
      </c>
      <c r="D143">
        <v>7</v>
      </c>
      <c r="O143" cm="1">
        <f t="array" ref="O143:W143">'Nom du personnage'!$H$88:$P$88</f>
        <v>0</v>
      </c>
      <c r="P143">
        <v>0</v>
      </c>
      <c r="Q143">
        <v>0</v>
      </c>
      <c r="R143">
        <v>0</v>
      </c>
      <c r="S143">
        <v>0</v>
      </c>
      <c r="T143">
        <v>0</v>
      </c>
      <c r="U143">
        <v>0</v>
      </c>
      <c r="V143">
        <v>0</v>
      </c>
      <c r="W143">
        <v>0</v>
      </c>
      <c r="X143" cm="1">
        <f t="array" ref="X143">IF(OR(A143='Nom du personnage'!$H$88:$O$88,'Nom du personnage'!$V$88:$AC$88=Magie!A143),1,)</f>
        <v>0</v>
      </c>
      <c r="Y143" t="e">
        <f ca="1">IF('Nom du personnage'!$AC$59&gt;=Magie!D143,1,)</f>
        <v>#N/A</v>
      </c>
      <c r="Z143">
        <f ca="1">IF(AND(A143='Nom du personnage'!$H$88,_xlfn.AGGREGATE(4,6,'Nom du personnage'!$C$91:$D$109)&gt;=Magie!D140),1,0)</f>
        <v>0</v>
      </c>
      <c r="AA143">
        <f ca="1">IF(AND(A143='Nom du personnage'!$V$88,_xlfn.AGGREGATE(4,6,'Nom du personnage'!$Q$91:$R$109)&gt;=Magie!D140),10,0)</f>
        <v>0</v>
      </c>
      <c r="AB143" t="e">
        <f t="shared" ca="1" si="20"/>
        <v>#N/A</v>
      </c>
      <c r="AC143" t="e">
        <f t="shared" ca="1" si="21"/>
        <v>#N/A</v>
      </c>
      <c r="AD143" t="e">
        <f>IF(VLOOKUP('Nom du personnage'!$U$51,Données!$P$3:$R$30,3,FALSE)=1,VLOOKUP(AC143,B143:C322,2,FALSE)+1,VLOOKUP(AC143,B143:C322,2,FALSE))</f>
        <v>#N/A</v>
      </c>
      <c r="AE143" t="e">
        <f t="shared" ca="1" si="22"/>
        <v>#N/A</v>
      </c>
      <c r="AF143" t="e">
        <f t="shared" ca="1" si="23"/>
        <v>#N/A</v>
      </c>
      <c r="AG143" t="e">
        <f>IF(VLOOKUP('Nom du personnage'!$U$51,Données!$P$3:$R$30,3,FALSE)=1,VLOOKUP(AF143,B143:C322,2,FALSE)+1,VLOOKUP(AF143,B143:C322,2,FALSE))</f>
        <v>#N/A</v>
      </c>
      <c r="AH143" t="e">
        <f t="shared" ca="1" si="24"/>
        <v>#N/A</v>
      </c>
    </row>
    <row r="144" spans="1:34">
      <c r="A144" s="2" t="s">
        <v>53</v>
      </c>
      <c r="B144" s="2" t="s">
        <v>504</v>
      </c>
      <c r="C144">
        <v>4</v>
      </c>
      <c r="D144">
        <v>8</v>
      </c>
      <c r="O144" cm="1">
        <f t="array" ref="O144:W144">'Nom du personnage'!$H$88:$P$88</f>
        <v>0</v>
      </c>
      <c r="P144">
        <v>0</v>
      </c>
      <c r="Q144">
        <v>0</v>
      </c>
      <c r="R144">
        <v>0</v>
      </c>
      <c r="S144">
        <v>0</v>
      </c>
      <c r="T144">
        <v>0</v>
      </c>
      <c r="U144">
        <v>0</v>
      </c>
      <c r="V144">
        <v>0</v>
      </c>
      <c r="W144">
        <v>0</v>
      </c>
      <c r="X144" cm="1">
        <f t="array" ref="X144">IF(OR(A144='Nom du personnage'!$H$88:$O$88,'Nom du personnage'!$V$88:$AC$88=Magie!A144),1,)</f>
        <v>0</v>
      </c>
      <c r="Y144" t="e">
        <f ca="1">IF('Nom du personnage'!$AC$59&gt;=Magie!D144,1,)</f>
        <v>#N/A</v>
      </c>
      <c r="Z144">
        <f ca="1">IF(AND(A144='Nom du personnage'!$H$88,_xlfn.AGGREGATE(4,6,'Nom du personnage'!$C$91:$D$109)&gt;=Magie!D141),1,0)</f>
        <v>0</v>
      </c>
      <c r="AA144">
        <f ca="1">IF(AND(A144='Nom du personnage'!$V$88,_xlfn.AGGREGATE(4,6,'Nom du personnage'!$Q$91:$R$109)&gt;=Magie!D141),10,0)</f>
        <v>0</v>
      </c>
      <c r="AB144" t="e">
        <f t="shared" ca="1" si="20"/>
        <v>#N/A</v>
      </c>
      <c r="AC144" t="e">
        <f t="shared" ca="1" si="21"/>
        <v>#N/A</v>
      </c>
      <c r="AD144" t="e">
        <f>IF(VLOOKUP('Nom du personnage'!$U$51,Données!$P$3:$R$30,3,FALSE)=1,VLOOKUP(AC144,B144:C323,2,FALSE)+1,VLOOKUP(AC144,B144:C323,2,FALSE))</f>
        <v>#N/A</v>
      </c>
      <c r="AE144" t="e">
        <f t="shared" ca="1" si="22"/>
        <v>#N/A</v>
      </c>
      <c r="AF144" t="e">
        <f t="shared" ca="1" si="23"/>
        <v>#N/A</v>
      </c>
      <c r="AG144" t="e">
        <f>IF(VLOOKUP('Nom du personnage'!$U$51,Données!$P$3:$R$30,3,FALSE)=1,VLOOKUP(AF144,B144:C323,2,FALSE)+1,VLOOKUP(AF144,B144:C323,2,FALSE))</f>
        <v>#N/A</v>
      </c>
      <c r="AH144" t="e">
        <f t="shared" ca="1" si="24"/>
        <v>#N/A</v>
      </c>
    </row>
    <row r="145" spans="1:34">
      <c r="A145" s="2" t="s">
        <v>53</v>
      </c>
      <c r="B145" s="2" t="s">
        <v>505</v>
      </c>
      <c r="C145">
        <v>4</v>
      </c>
      <c r="D145">
        <v>8</v>
      </c>
      <c r="O145" cm="1">
        <f t="array" ref="O145:W145">'Nom du personnage'!$H$88:$P$88</f>
        <v>0</v>
      </c>
      <c r="P145">
        <v>0</v>
      </c>
      <c r="Q145">
        <v>0</v>
      </c>
      <c r="R145">
        <v>0</v>
      </c>
      <c r="S145">
        <v>0</v>
      </c>
      <c r="T145">
        <v>0</v>
      </c>
      <c r="U145">
        <v>0</v>
      </c>
      <c r="V145">
        <v>0</v>
      </c>
      <c r="W145">
        <v>0</v>
      </c>
      <c r="X145" cm="1">
        <f t="array" ref="X145">IF(OR(A145='Nom du personnage'!$H$88:$O$88,'Nom du personnage'!$V$88:$AC$88=Magie!A145),1,)</f>
        <v>0</v>
      </c>
      <c r="Y145" t="e">
        <f ca="1">IF('Nom du personnage'!$AC$59&gt;=Magie!D145,1,)</f>
        <v>#N/A</v>
      </c>
      <c r="Z145">
        <f ca="1">IF(AND(A145='Nom du personnage'!$H$88,_xlfn.AGGREGATE(4,6,'Nom du personnage'!$C$91:$D$109)&gt;=Magie!D142),1,0)</f>
        <v>0</v>
      </c>
      <c r="AA145">
        <f ca="1">IF(AND(A145='Nom du personnage'!$V$88,_xlfn.AGGREGATE(4,6,'Nom du personnage'!$Q$91:$R$109)&gt;=Magie!D142),10,0)</f>
        <v>0</v>
      </c>
      <c r="AB145" t="e">
        <f t="shared" ca="1" si="20"/>
        <v>#N/A</v>
      </c>
      <c r="AC145" t="e">
        <f t="shared" ca="1" si="21"/>
        <v>#N/A</v>
      </c>
      <c r="AD145" t="e">
        <f>IF(VLOOKUP('Nom du personnage'!$U$51,Données!$P$3:$R$30,3,FALSE)=1,VLOOKUP(AC145,B145:C324,2,FALSE)+1,VLOOKUP(AC145,B145:C324,2,FALSE))</f>
        <v>#N/A</v>
      </c>
      <c r="AE145" t="e">
        <f t="shared" ca="1" si="22"/>
        <v>#N/A</v>
      </c>
      <c r="AF145" t="e">
        <f t="shared" ca="1" si="23"/>
        <v>#N/A</v>
      </c>
      <c r="AG145" t="e">
        <f>IF(VLOOKUP('Nom du personnage'!$U$51,Données!$P$3:$R$30,3,FALSE)=1,VLOOKUP(AF145,B145:C324,2,FALSE)+1,VLOOKUP(AF145,B145:C324,2,FALSE))</f>
        <v>#N/A</v>
      </c>
      <c r="AH145" t="e">
        <f t="shared" ca="1" si="24"/>
        <v>#N/A</v>
      </c>
    </row>
    <row r="146" spans="1:34">
      <c r="A146" s="2" t="s">
        <v>53</v>
      </c>
      <c r="B146" s="2" t="s">
        <v>506</v>
      </c>
      <c r="C146">
        <v>4</v>
      </c>
      <c r="D146">
        <v>8</v>
      </c>
      <c r="O146" cm="1">
        <f t="array" ref="O146:W146">'Nom du personnage'!$H$88:$P$88</f>
        <v>0</v>
      </c>
      <c r="P146">
        <v>0</v>
      </c>
      <c r="Q146">
        <v>0</v>
      </c>
      <c r="R146">
        <v>0</v>
      </c>
      <c r="S146">
        <v>0</v>
      </c>
      <c r="T146">
        <v>0</v>
      </c>
      <c r="U146">
        <v>0</v>
      </c>
      <c r="V146">
        <v>0</v>
      </c>
      <c r="W146">
        <v>0</v>
      </c>
      <c r="X146" cm="1">
        <f t="array" ref="X146">IF(OR(A146='Nom du personnage'!$H$88:$O$88,'Nom du personnage'!$V$88:$AC$88=Magie!A146),1,)</f>
        <v>0</v>
      </c>
      <c r="Y146" t="e">
        <f ca="1">IF('Nom du personnage'!$AC$59&gt;=Magie!D146,1,)</f>
        <v>#N/A</v>
      </c>
      <c r="Z146">
        <f ca="1">IF(AND(A146='Nom du personnage'!$H$88,_xlfn.AGGREGATE(4,6,'Nom du personnage'!$C$91:$D$109)&gt;=Magie!D143),1,0)</f>
        <v>0</v>
      </c>
      <c r="AA146">
        <f ca="1">IF(AND(A146='Nom du personnage'!$V$88,_xlfn.AGGREGATE(4,6,'Nom du personnage'!$Q$91:$R$109)&gt;=Magie!D143),10,0)</f>
        <v>0</v>
      </c>
      <c r="AB146" t="e">
        <f t="shared" ca="1" si="20"/>
        <v>#N/A</v>
      </c>
      <c r="AC146" t="e">
        <f t="shared" ca="1" si="21"/>
        <v>#N/A</v>
      </c>
      <c r="AD146" t="e">
        <f>IF(VLOOKUP('Nom du personnage'!$U$51,Données!$P$3:$R$30,3,FALSE)=1,VLOOKUP(AC146,B146:C325,2,FALSE)+1,VLOOKUP(AC146,B146:C325,2,FALSE))</f>
        <v>#N/A</v>
      </c>
      <c r="AE146" t="e">
        <f t="shared" ca="1" si="22"/>
        <v>#N/A</v>
      </c>
      <c r="AF146" t="e">
        <f t="shared" ca="1" si="23"/>
        <v>#N/A</v>
      </c>
      <c r="AG146" t="e">
        <f>IF(VLOOKUP('Nom du personnage'!$U$51,Données!$P$3:$R$30,3,FALSE)=1,VLOOKUP(AF146,B146:C325,2,FALSE)+1,VLOOKUP(AF146,B146:C325,2,FALSE))</f>
        <v>#N/A</v>
      </c>
      <c r="AH146" t="e">
        <f t="shared" ca="1" si="24"/>
        <v>#N/A</v>
      </c>
    </row>
    <row r="147" spans="1:34">
      <c r="A147" s="2" t="s">
        <v>53</v>
      </c>
      <c r="B147" s="2" t="s">
        <v>507</v>
      </c>
      <c r="C147">
        <v>4</v>
      </c>
      <c r="D147">
        <v>9</v>
      </c>
      <c r="O147" cm="1">
        <f t="array" ref="O147:W147">'Nom du personnage'!$H$88:$P$88</f>
        <v>0</v>
      </c>
      <c r="P147">
        <v>0</v>
      </c>
      <c r="Q147">
        <v>0</v>
      </c>
      <c r="R147">
        <v>0</v>
      </c>
      <c r="S147">
        <v>0</v>
      </c>
      <c r="T147">
        <v>0</v>
      </c>
      <c r="U147">
        <v>0</v>
      </c>
      <c r="V147">
        <v>0</v>
      </c>
      <c r="W147">
        <v>0</v>
      </c>
      <c r="X147" cm="1">
        <f t="array" ref="X147">IF(OR(A147='Nom du personnage'!$H$88:$O$88,'Nom du personnage'!$V$88:$AC$88=Magie!A147),1,)</f>
        <v>0</v>
      </c>
      <c r="Y147" t="e">
        <f ca="1">IF('Nom du personnage'!$AC$59&gt;=Magie!D147,1,)</f>
        <v>#N/A</v>
      </c>
      <c r="Z147">
        <f ca="1">IF(AND(A147='Nom du personnage'!$H$88,_xlfn.AGGREGATE(4,6,'Nom du personnage'!$C$91:$D$109)&gt;=Magie!D144),1,0)</f>
        <v>0</v>
      </c>
      <c r="AA147">
        <f ca="1">IF(AND(A147='Nom du personnage'!$V$88,_xlfn.AGGREGATE(4,6,'Nom du personnage'!$Q$91:$R$109)&gt;=Magie!D144),10,0)</f>
        <v>0</v>
      </c>
      <c r="AB147" t="e">
        <f t="shared" ca="1" si="20"/>
        <v>#N/A</v>
      </c>
      <c r="AC147" t="e">
        <f t="shared" ca="1" si="21"/>
        <v>#N/A</v>
      </c>
      <c r="AD147" t="e">
        <f>IF(VLOOKUP('Nom du personnage'!$U$51,Données!$P$3:$R$30,3,FALSE)=1,VLOOKUP(AC147,B147:C326,2,FALSE)+1,VLOOKUP(AC147,B147:C326,2,FALSE))</f>
        <v>#N/A</v>
      </c>
      <c r="AE147" t="e">
        <f t="shared" ca="1" si="22"/>
        <v>#N/A</v>
      </c>
      <c r="AF147" t="e">
        <f t="shared" ca="1" si="23"/>
        <v>#N/A</v>
      </c>
      <c r="AG147" t="e">
        <f>IF(VLOOKUP('Nom du personnage'!$U$51,Données!$P$3:$R$30,3,FALSE)=1,VLOOKUP(AF147,B147:C326,2,FALSE)+1,VLOOKUP(AF147,B147:C326,2,FALSE))</f>
        <v>#N/A</v>
      </c>
      <c r="AH147" t="e">
        <f t="shared" ca="1" si="24"/>
        <v>#N/A</v>
      </c>
    </row>
    <row r="148" spans="1:34">
      <c r="A148" s="2" t="s">
        <v>53</v>
      </c>
      <c r="B148" s="2" t="s">
        <v>508</v>
      </c>
      <c r="C148">
        <v>4</v>
      </c>
      <c r="D148">
        <v>9</v>
      </c>
      <c r="O148" cm="1">
        <f t="array" ref="O148:W148">'Nom du personnage'!$H$88:$P$88</f>
        <v>0</v>
      </c>
      <c r="P148">
        <v>0</v>
      </c>
      <c r="Q148">
        <v>0</v>
      </c>
      <c r="R148">
        <v>0</v>
      </c>
      <c r="S148">
        <v>0</v>
      </c>
      <c r="T148">
        <v>0</v>
      </c>
      <c r="U148">
        <v>0</v>
      </c>
      <c r="V148">
        <v>0</v>
      </c>
      <c r="W148">
        <v>0</v>
      </c>
      <c r="X148" cm="1">
        <f t="array" ref="X148">IF(OR(A148='Nom du personnage'!$H$88:$O$88,'Nom du personnage'!$V$88:$AC$88=Magie!A148),1,)</f>
        <v>0</v>
      </c>
      <c r="Y148" t="e">
        <f ca="1">IF('Nom du personnage'!$AC$59&gt;=Magie!D148,1,)</f>
        <v>#N/A</v>
      </c>
      <c r="Z148">
        <f ca="1">IF(AND(A148='Nom du personnage'!$H$88,_xlfn.AGGREGATE(4,6,'Nom du personnage'!$C$91:$D$109)&gt;=Magie!D145),1,0)</f>
        <v>0</v>
      </c>
      <c r="AA148">
        <f ca="1">IF(AND(A148='Nom du personnage'!$V$88,_xlfn.AGGREGATE(4,6,'Nom du personnage'!$Q$91:$R$109)&gt;=Magie!D145),10,0)</f>
        <v>0</v>
      </c>
      <c r="AB148" t="e">
        <f t="shared" ca="1" si="20"/>
        <v>#N/A</v>
      </c>
      <c r="AC148" t="e">
        <f t="shared" ca="1" si="21"/>
        <v>#N/A</v>
      </c>
      <c r="AD148" t="e">
        <f>IF(VLOOKUP('Nom du personnage'!$U$51,Données!$P$3:$R$30,3,FALSE)=1,VLOOKUP(AC148,B148:C327,2,FALSE)+1,VLOOKUP(AC148,B148:C327,2,FALSE))</f>
        <v>#N/A</v>
      </c>
      <c r="AE148" t="e">
        <f t="shared" ca="1" si="22"/>
        <v>#N/A</v>
      </c>
      <c r="AF148" t="e">
        <f t="shared" ca="1" si="23"/>
        <v>#N/A</v>
      </c>
      <c r="AG148" t="e">
        <f>IF(VLOOKUP('Nom du personnage'!$U$51,Données!$P$3:$R$30,3,FALSE)=1,VLOOKUP(AF148,B148:C327,2,FALSE)+1,VLOOKUP(AF148,B148:C327,2,FALSE))</f>
        <v>#N/A</v>
      </c>
      <c r="AH148" t="e">
        <f t="shared" ca="1" si="24"/>
        <v>#N/A</v>
      </c>
    </row>
    <row r="149" spans="1:34">
      <c r="A149" s="2" t="s">
        <v>53</v>
      </c>
      <c r="B149" s="2" t="s">
        <v>509</v>
      </c>
      <c r="C149">
        <v>4</v>
      </c>
      <c r="D149">
        <v>9</v>
      </c>
      <c r="O149" cm="1">
        <f t="array" ref="O149:W149">'Nom du personnage'!$H$88:$P$88</f>
        <v>0</v>
      </c>
      <c r="P149">
        <v>0</v>
      </c>
      <c r="Q149">
        <v>0</v>
      </c>
      <c r="R149">
        <v>0</v>
      </c>
      <c r="S149">
        <v>0</v>
      </c>
      <c r="T149">
        <v>0</v>
      </c>
      <c r="U149">
        <v>0</v>
      </c>
      <c r="V149">
        <v>0</v>
      </c>
      <c r="W149">
        <v>0</v>
      </c>
      <c r="X149" cm="1">
        <f t="array" ref="X149">IF(OR(A149='Nom du personnage'!$H$88:$O$88,'Nom du personnage'!$V$88:$AC$88=Magie!A149),1,)</f>
        <v>0</v>
      </c>
      <c r="Y149" t="e">
        <f ca="1">IF('Nom du personnage'!$AC$59&gt;=Magie!D149,1,)</f>
        <v>#N/A</v>
      </c>
      <c r="Z149">
        <f ca="1">IF(AND(A149='Nom du personnage'!$H$88,_xlfn.AGGREGATE(4,6,'Nom du personnage'!$C$91:$D$109)&gt;=Magie!D146),1,0)</f>
        <v>0</v>
      </c>
      <c r="AA149">
        <f ca="1">IF(AND(A149='Nom du personnage'!$V$88,_xlfn.AGGREGATE(4,6,'Nom du personnage'!$Q$91:$R$109)&gt;=Magie!D146),10,0)</f>
        <v>0</v>
      </c>
      <c r="AB149" t="e">
        <f t="shared" ca="1" si="20"/>
        <v>#N/A</v>
      </c>
      <c r="AC149" t="e">
        <f t="shared" ca="1" si="21"/>
        <v>#N/A</v>
      </c>
      <c r="AD149" t="e">
        <f>IF(VLOOKUP('Nom du personnage'!$U$51,Données!$P$3:$R$30,3,FALSE)=1,VLOOKUP(AC149,B149:C328,2,FALSE)+1,VLOOKUP(AC149,B149:C328,2,FALSE))</f>
        <v>#N/A</v>
      </c>
      <c r="AE149" t="e">
        <f t="shared" ca="1" si="22"/>
        <v>#N/A</v>
      </c>
      <c r="AF149" t="e">
        <f t="shared" ca="1" si="23"/>
        <v>#N/A</v>
      </c>
      <c r="AG149" t="e">
        <f>IF(VLOOKUP('Nom du personnage'!$U$51,Données!$P$3:$R$30,3,FALSE)=1,VLOOKUP(AF149,B149:C328,2,FALSE)+1,VLOOKUP(AF149,B149:C328,2,FALSE))</f>
        <v>#N/A</v>
      </c>
      <c r="AH149" t="e">
        <f t="shared" ca="1" si="24"/>
        <v>#N/A</v>
      </c>
    </row>
    <row r="150" spans="1:34">
      <c r="A150" s="2" t="s">
        <v>53</v>
      </c>
      <c r="B150" s="2" t="s">
        <v>510</v>
      </c>
      <c r="C150">
        <v>5</v>
      </c>
      <c r="D150">
        <v>10</v>
      </c>
      <c r="O150" cm="1">
        <f t="array" ref="O150:W150">'Nom du personnage'!$H$88:$P$88</f>
        <v>0</v>
      </c>
      <c r="P150">
        <v>0</v>
      </c>
      <c r="Q150">
        <v>0</v>
      </c>
      <c r="R150">
        <v>0</v>
      </c>
      <c r="S150">
        <v>0</v>
      </c>
      <c r="T150">
        <v>0</v>
      </c>
      <c r="U150">
        <v>0</v>
      </c>
      <c r="V150">
        <v>0</v>
      </c>
      <c r="W150">
        <v>0</v>
      </c>
      <c r="X150" cm="1">
        <f t="array" ref="X150">IF(OR(A150='Nom du personnage'!$H$88:$O$88,'Nom du personnage'!$V$88:$AC$88=Magie!A150),1,)</f>
        <v>0</v>
      </c>
      <c r="Y150" t="e">
        <f ca="1">IF('Nom du personnage'!$AC$59&gt;=Magie!D150,1,)</f>
        <v>#N/A</v>
      </c>
      <c r="Z150">
        <f ca="1">IF(AND(A150='Nom du personnage'!$H$88,_xlfn.AGGREGATE(4,6,'Nom du personnage'!$C$91:$D$109)&gt;=Magie!D147),1,0)</f>
        <v>0</v>
      </c>
      <c r="AA150">
        <f ca="1">IF(AND(A150='Nom du personnage'!$V$88,_xlfn.AGGREGATE(4,6,'Nom du personnage'!$Q$91:$R$109)&gt;=Magie!D147),10,0)</f>
        <v>0</v>
      </c>
      <c r="AB150" t="e">
        <f t="shared" ca="1" si="20"/>
        <v>#N/A</v>
      </c>
      <c r="AC150" t="e">
        <f t="shared" ca="1" si="21"/>
        <v>#N/A</v>
      </c>
      <c r="AD150" t="e">
        <f>IF(VLOOKUP('Nom du personnage'!$U$51,Données!$P$3:$R$30,3,FALSE)=1,VLOOKUP(AC150,B150:C329,2,FALSE)+1,VLOOKUP(AC150,B150:C329,2,FALSE))</f>
        <v>#N/A</v>
      </c>
      <c r="AE150" t="e">
        <f t="shared" ca="1" si="22"/>
        <v>#N/A</v>
      </c>
      <c r="AF150" t="e">
        <f t="shared" ca="1" si="23"/>
        <v>#N/A</v>
      </c>
      <c r="AG150" t="e">
        <f>IF(VLOOKUP('Nom du personnage'!$U$51,Données!$P$3:$R$30,3,FALSE)=1,VLOOKUP(AF150,B150:C329,2,FALSE)+1,VLOOKUP(AF150,B150:C329,2,FALSE))</f>
        <v>#N/A</v>
      </c>
      <c r="AH150" t="e">
        <f t="shared" ca="1" si="24"/>
        <v>#N/A</v>
      </c>
    </row>
    <row r="151" spans="1:34">
      <c r="A151" s="2" t="s">
        <v>53</v>
      </c>
      <c r="B151" s="2" t="s">
        <v>511</v>
      </c>
      <c r="C151">
        <v>5</v>
      </c>
      <c r="D151">
        <v>10</v>
      </c>
      <c r="O151" cm="1">
        <f t="array" ref="O151:W151">'Nom du personnage'!$H$88:$P$88</f>
        <v>0</v>
      </c>
      <c r="P151">
        <v>0</v>
      </c>
      <c r="Q151">
        <v>0</v>
      </c>
      <c r="R151">
        <v>0</v>
      </c>
      <c r="S151">
        <v>0</v>
      </c>
      <c r="T151">
        <v>0</v>
      </c>
      <c r="U151">
        <v>0</v>
      </c>
      <c r="V151">
        <v>0</v>
      </c>
      <c r="W151">
        <v>0</v>
      </c>
      <c r="X151" cm="1">
        <f t="array" ref="X151">IF(OR(A151='Nom du personnage'!$H$88:$O$88,'Nom du personnage'!$V$88:$AC$88=Magie!A151),1,)</f>
        <v>0</v>
      </c>
      <c r="Y151" t="e">
        <f ca="1">IF('Nom du personnage'!$AC$59&gt;=Magie!D151,1,)</f>
        <v>#N/A</v>
      </c>
      <c r="Z151">
        <f ca="1">IF(AND(A151='Nom du personnage'!$H$88,_xlfn.AGGREGATE(4,6,'Nom du personnage'!$C$91:$D$109)&gt;=Magie!D148),1,0)</f>
        <v>0</v>
      </c>
      <c r="AA151">
        <f ca="1">IF(AND(A151='Nom du personnage'!$V$88,_xlfn.AGGREGATE(4,6,'Nom du personnage'!$Q$91:$R$109)&gt;=Magie!D148),10,0)</f>
        <v>0</v>
      </c>
      <c r="AB151" t="e">
        <f t="shared" ca="1" si="20"/>
        <v>#N/A</v>
      </c>
      <c r="AC151" t="e">
        <f t="shared" ca="1" si="21"/>
        <v>#N/A</v>
      </c>
      <c r="AD151" t="e">
        <f>IF(VLOOKUP('Nom du personnage'!$U$51,Données!$P$3:$R$30,3,FALSE)=1,VLOOKUP(AC151,B151:C330,2,FALSE)+1,VLOOKUP(AC151,B151:C330,2,FALSE))</f>
        <v>#N/A</v>
      </c>
      <c r="AE151" t="e">
        <f t="shared" ca="1" si="22"/>
        <v>#N/A</v>
      </c>
      <c r="AF151" t="e">
        <f t="shared" ca="1" si="23"/>
        <v>#N/A</v>
      </c>
      <c r="AG151" t="e">
        <f>IF(VLOOKUP('Nom du personnage'!$U$51,Données!$P$3:$R$30,3,FALSE)=1,VLOOKUP(AF151,B151:C330,2,FALSE)+1,VLOOKUP(AF151,B151:C330,2,FALSE))</f>
        <v>#N/A</v>
      </c>
      <c r="AH151" t="e">
        <f t="shared" ca="1" si="24"/>
        <v>#N/A</v>
      </c>
    </row>
    <row r="152" spans="1:34">
      <c r="A152" s="2" t="s">
        <v>53</v>
      </c>
      <c r="B152" s="2" t="s">
        <v>512</v>
      </c>
      <c r="C152">
        <v>5</v>
      </c>
      <c r="D152">
        <v>10</v>
      </c>
      <c r="O152" cm="1">
        <f t="array" ref="O152:W152">'Nom du personnage'!$H$88:$P$88</f>
        <v>0</v>
      </c>
      <c r="P152">
        <v>0</v>
      </c>
      <c r="Q152">
        <v>0</v>
      </c>
      <c r="R152">
        <v>0</v>
      </c>
      <c r="S152">
        <v>0</v>
      </c>
      <c r="T152">
        <v>0</v>
      </c>
      <c r="U152">
        <v>0</v>
      </c>
      <c r="V152">
        <v>0</v>
      </c>
      <c r="W152">
        <v>0</v>
      </c>
      <c r="X152" cm="1">
        <f t="array" ref="X152">IF(OR(A152='Nom du personnage'!$H$88:$O$88,'Nom du personnage'!$V$88:$AC$88=Magie!A152),1,)</f>
        <v>0</v>
      </c>
      <c r="Y152" t="e">
        <f ca="1">IF('Nom du personnage'!$AC$59&gt;=Magie!D152,1,)</f>
        <v>#N/A</v>
      </c>
      <c r="Z152">
        <f ca="1">IF(AND(A152='Nom du personnage'!$H$88,_xlfn.AGGREGATE(4,6,'Nom du personnage'!$C$91:$D$109)&gt;=Magie!D149),1,0)</f>
        <v>0</v>
      </c>
      <c r="AA152">
        <f ca="1">IF(AND(A152='Nom du personnage'!$V$88,_xlfn.AGGREGATE(4,6,'Nom du personnage'!$Q$91:$R$109)&gt;=Magie!D149),10,0)</f>
        <v>0</v>
      </c>
      <c r="AB152" t="e">
        <f t="shared" ca="1" si="20"/>
        <v>#N/A</v>
      </c>
      <c r="AC152" t="e">
        <f t="shared" ca="1" si="21"/>
        <v>#N/A</v>
      </c>
      <c r="AD152" t="e">
        <f>IF(VLOOKUP('Nom du personnage'!$U$51,Données!$P$3:$R$30,3,FALSE)=1,VLOOKUP(AC152,B152:C331,2,FALSE)+1,VLOOKUP(AC152,B152:C331,2,FALSE))</f>
        <v>#N/A</v>
      </c>
      <c r="AE152" t="e">
        <f t="shared" ca="1" si="22"/>
        <v>#N/A</v>
      </c>
      <c r="AF152" t="e">
        <f t="shared" ca="1" si="23"/>
        <v>#N/A</v>
      </c>
      <c r="AG152" t="e">
        <f>IF(VLOOKUP('Nom du personnage'!$U$51,Données!$P$3:$R$30,3,FALSE)=1,VLOOKUP(AF152,B152:C331,2,FALSE)+1,VLOOKUP(AF152,B152:C331,2,FALSE))</f>
        <v>#N/A</v>
      </c>
      <c r="AH152" t="e">
        <f t="shared" ca="1" si="24"/>
        <v>#N/A</v>
      </c>
    </row>
    <row r="153" spans="1:34">
      <c r="A153" s="2" t="s">
        <v>57</v>
      </c>
      <c r="B153" s="2" t="s">
        <v>359</v>
      </c>
      <c r="C153">
        <v>2</v>
      </c>
      <c r="D153">
        <v>1</v>
      </c>
      <c r="O153" cm="1">
        <f t="array" ref="O153:W153">'Nom du personnage'!$H$88:$P$88</f>
        <v>0</v>
      </c>
      <c r="P153">
        <v>0</v>
      </c>
      <c r="Q153">
        <v>0</v>
      </c>
      <c r="R153">
        <v>0</v>
      </c>
      <c r="S153">
        <v>0</v>
      </c>
      <c r="T153">
        <v>0</v>
      </c>
      <c r="U153">
        <v>0</v>
      </c>
      <c r="V153">
        <v>0</v>
      </c>
      <c r="W153">
        <v>0</v>
      </c>
      <c r="X153" cm="1">
        <f t="array" ref="X153">IF(OR(A153='Nom du personnage'!$H$88:$O$88,'Nom du personnage'!$V$88:$AC$88=Magie!A153),1,)</f>
        <v>0</v>
      </c>
      <c r="Y153" t="e">
        <f ca="1">IF('Nom du personnage'!$AC$59&gt;=Magie!D153,1,)</f>
        <v>#N/A</v>
      </c>
      <c r="Z153">
        <f t="shared" ref="Z153:Z155" si="25">IF(D153=1,1,0)</f>
        <v>1</v>
      </c>
      <c r="AA153">
        <f>IF(A153='Nom du personnage'!$V$88,10,0)</f>
        <v>0</v>
      </c>
      <c r="AB153" t="e">
        <f t="shared" ca="1" si="20"/>
        <v>#N/A</v>
      </c>
      <c r="AC153" t="e">
        <f t="shared" ca="1" si="21"/>
        <v>#N/A</v>
      </c>
      <c r="AD153" t="e">
        <f>IF(VLOOKUP('Nom du personnage'!$U$51,Données!$P$3:$R$30,3,FALSE)=1,VLOOKUP(AC153,B153:C332,2,FALSE)+1,VLOOKUP(AC153,B153:C332,2,FALSE))</f>
        <v>#N/A</v>
      </c>
      <c r="AE153" t="e">
        <f t="shared" ca="1" si="22"/>
        <v>#N/A</v>
      </c>
      <c r="AF153" t="e">
        <f t="shared" ca="1" si="23"/>
        <v>#N/A</v>
      </c>
      <c r="AG153" t="e">
        <f>IF(VLOOKUP('Nom du personnage'!$U$51,Données!$P$3:$R$30,3,FALSE)=1,VLOOKUP(AF153,B153:C332,2,FALSE)+1,VLOOKUP(AF153,B153:C332,2,FALSE))</f>
        <v>#N/A</v>
      </c>
      <c r="AH153" t="e">
        <f t="shared" ca="1" si="24"/>
        <v>#N/A</v>
      </c>
    </row>
    <row r="154" spans="1:34">
      <c r="A154" s="2" t="s">
        <v>57</v>
      </c>
      <c r="B154" s="2" t="s">
        <v>387</v>
      </c>
      <c r="C154">
        <v>2</v>
      </c>
      <c r="D154">
        <v>1</v>
      </c>
      <c r="O154" cm="1">
        <f t="array" ref="O154:W154">'Nom du personnage'!$H$88:$P$88</f>
        <v>0</v>
      </c>
      <c r="P154">
        <v>0</v>
      </c>
      <c r="Q154">
        <v>0</v>
      </c>
      <c r="R154">
        <v>0</v>
      </c>
      <c r="S154">
        <v>0</v>
      </c>
      <c r="T154">
        <v>0</v>
      </c>
      <c r="U154">
        <v>0</v>
      </c>
      <c r="V154">
        <v>0</v>
      </c>
      <c r="W154">
        <v>0</v>
      </c>
      <c r="X154" cm="1">
        <f t="array" ref="X154">IF(OR(A154='Nom du personnage'!$H$88:$O$88,'Nom du personnage'!$V$88:$AC$88=Magie!A154),1,)</f>
        <v>0</v>
      </c>
      <c r="Y154" t="e">
        <f ca="1">IF('Nom du personnage'!$AC$59&gt;=Magie!D154,1,)</f>
        <v>#N/A</v>
      </c>
      <c r="Z154">
        <f t="shared" si="25"/>
        <v>1</v>
      </c>
      <c r="AA154">
        <f>IF(A154='Nom du personnage'!$V$88,10,0)</f>
        <v>0</v>
      </c>
      <c r="AB154" t="e">
        <f t="shared" ca="1" si="20"/>
        <v>#N/A</v>
      </c>
      <c r="AC154" t="e">
        <f t="shared" ca="1" si="21"/>
        <v>#N/A</v>
      </c>
      <c r="AD154" t="e">
        <f>IF(VLOOKUP('Nom du personnage'!$U$51,Données!$P$3:$R$30,3,FALSE)=1,VLOOKUP(AC154,B154:C333,2,FALSE)+1,VLOOKUP(AC154,B154:C333,2,FALSE))</f>
        <v>#N/A</v>
      </c>
      <c r="AE154" t="e">
        <f t="shared" ca="1" si="22"/>
        <v>#N/A</v>
      </c>
      <c r="AF154" t="e">
        <f t="shared" ca="1" si="23"/>
        <v>#N/A</v>
      </c>
      <c r="AG154" t="e">
        <f>IF(VLOOKUP('Nom du personnage'!$U$51,Données!$P$3:$R$30,3,FALSE)=1,VLOOKUP(AF154,B154:C333,2,FALSE)+1,VLOOKUP(AF154,B154:C333,2,FALSE))</f>
        <v>#N/A</v>
      </c>
      <c r="AH154" t="e">
        <f t="shared" ca="1" si="24"/>
        <v>#N/A</v>
      </c>
    </row>
    <row r="155" spans="1:34">
      <c r="A155" s="2" t="s">
        <v>57</v>
      </c>
      <c r="B155" s="2" t="s">
        <v>388</v>
      </c>
      <c r="C155">
        <v>2</v>
      </c>
      <c r="D155">
        <v>1</v>
      </c>
      <c r="O155" cm="1">
        <f t="array" ref="O155:W155">'Nom du personnage'!$H$88:$P$88</f>
        <v>0</v>
      </c>
      <c r="P155">
        <v>0</v>
      </c>
      <c r="Q155">
        <v>0</v>
      </c>
      <c r="R155">
        <v>0</v>
      </c>
      <c r="S155">
        <v>0</v>
      </c>
      <c r="T155">
        <v>0</v>
      </c>
      <c r="U155">
        <v>0</v>
      </c>
      <c r="V155">
        <v>0</v>
      </c>
      <c r="W155">
        <v>0</v>
      </c>
      <c r="X155" cm="1">
        <f t="array" ref="X155">IF(OR(A155='Nom du personnage'!$H$88:$O$88,'Nom du personnage'!$V$88:$AC$88=Magie!A155),1,)</f>
        <v>0</v>
      </c>
      <c r="Y155" t="e">
        <f ca="1">IF('Nom du personnage'!$AC$59&gt;=Magie!D155,1,)</f>
        <v>#N/A</v>
      </c>
      <c r="Z155">
        <f t="shared" si="25"/>
        <v>1</v>
      </c>
      <c r="AA155">
        <f>IF(A155='Nom du personnage'!$V$88,10,0)</f>
        <v>0</v>
      </c>
      <c r="AB155" t="e">
        <f t="shared" ca="1" si="20"/>
        <v>#N/A</v>
      </c>
      <c r="AC155" t="e">
        <f t="shared" ca="1" si="21"/>
        <v>#N/A</v>
      </c>
      <c r="AD155" t="e">
        <f>IF(VLOOKUP('Nom du personnage'!$U$51,Données!$P$3:$R$30,3,FALSE)=1,VLOOKUP(AC155,B155:C334,2,FALSE)+1,VLOOKUP(AC155,B155:C334,2,FALSE))</f>
        <v>#N/A</v>
      </c>
      <c r="AE155" t="e">
        <f t="shared" ca="1" si="22"/>
        <v>#N/A</v>
      </c>
      <c r="AF155" t="e">
        <f t="shared" ca="1" si="23"/>
        <v>#N/A</v>
      </c>
      <c r="AG155" t="e">
        <f>IF(VLOOKUP('Nom du personnage'!$U$51,Données!$P$3:$R$30,3,FALSE)=1,VLOOKUP(AF155,B155:C334,2,FALSE)+1,VLOOKUP(AF155,B155:C334,2,FALSE))</f>
        <v>#N/A</v>
      </c>
      <c r="AH155" t="e">
        <f t="shared" ca="1" si="24"/>
        <v>#N/A</v>
      </c>
    </row>
    <row r="156" spans="1:34">
      <c r="A156" s="2" t="s">
        <v>57</v>
      </c>
      <c r="B156" s="2" t="s">
        <v>389</v>
      </c>
      <c r="C156">
        <v>2</v>
      </c>
      <c r="D156">
        <v>2</v>
      </c>
      <c r="O156" cm="1">
        <f t="array" ref="O156:W156">'Nom du personnage'!$H$88:$P$88</f>
        <v>0</v>
      </c>
      <c r="P156">
        <v>0</v>
      </c>
      <c r="Q156">
        <v>0</v>
      </c>
      <c r="R156">
        <v>0</v>
      </c>
      <c r="S156">
        <v>0</v>
      </c>
      <c r="T156">
        <v>0</v>
      </c>
      <c r="U156">
        <v>0</v>
      </c>
      <c r="V156">
        <v>0</v>
      </c>
      <c r="W156">
        <v>0</v>
      </c>
      <c r="X156" cm="1">
        <f t="array" ref="X156">IF(OR(A156='Nom du personnage'!$H$88:$O$88,'Nom du personnage'!$V$88:$AC$88=Magie!A156),1,)</f>
        <v>0</v>
      </c>
      <c r="Y156" t="e">
        <f ca="1">IF('Nom du personnage'!$AC$59&gt;=Magie!D156,1,)</f>
        <v>#N/A</v>
      </c>
      <c r="Z156">
        <f ca="1">IF(AND(A156='Nom du personnage'!$H$88,_xlfn.AGGREGATE(4,6,'Nom du personnage'!$C$91:$D$109)&gt;=Magie!D153),1,0)</f>
        <v>0</v>
      </c>
      <c r="AA156">
        <f ca="1">IF(AND(A156='Nom du personnage'!$V$88,_xlfn.AGGREGATE(4,6,'Nom du personnage'!$Q$91:$R$109)&gt;=Magie!D153),10,0)</f>
        <v>0</v>
      </c>
      <c r="AB156" t="e">
        <f t="shared" ca="1" si="20"/>
        <v>#N/A</v>
      </c>
      <c r="AC156" t="e">
        <f t="shared" ca="1" si="21"/>
        <v>#N/A</v>
      </c>
      <c r="AD156" t="e">
        <f>IF(VLOOKUP('Nom du personnage'!$U$51,Données!$P$3:$R$30,3,FALSE)=1,VLOOKUP(AC156,B156:C335,2,FALSE)+1,VLOOKUP(AC156,B156:C335,2,FALSE))</f>
        <v>#N/A</v>
      </c>
      <c r="AE156" t="e">
        <f t="shared" ca="1" si="22"/>
        <v>#N/A</v>
      </c>
      <c r="AF156" t="e">
        <f t="shared" ca="1" si="23"/>
        <v>#N/A</v>
      </c>
      <c r="AG156" t="e">
        <f>IF(VLOOKUP('Nom du personnage'!$U$51,Données!$P$3:$R$30,3,FALSE)=1,VLOOKUP(AF156,B156:C335,2,FALSE)+1,VLOOKUP(AF156,B156:C335,2,FALSE))</f>
        <v>#N/A</v>
      </c>
      <c r="AH156" t="e">
        <f t="shared" ca="1" si="24"/>
        <v>#N/A</v>
      </c>
    </row>
    <row r="157" spans="1:34">
      <c r="A157" s="2" t="s">
        <v>57</v>
      </c>
      <c r="B157" s="2" t="s">
        <v>390</v>
      </c>
      <c r="C157">
        <v>2</v>
      </c>
      <c r="D157">
        <v>2</v>
      </c>
      <c r="O157" cm="1">
        <f t="array" ref="O157:W157">'Nom du personnage'!$H$88:$P$88</f>
        <v>0</v>
      </c>
      <c r="P157">
        <v>0</v>
      </c>
      <c r="Q157">
        <v>0</v>
      </c>
      <c r="R157">
        <v>0</v>
      </c>
      <c r="S157">
        <v>0</v>
      </c>
      <c r="T157">
        <v>0</v>
      </c>
      <c r="U157">
        <v>0</v>
      </c>
      <c r="V157">
        <v>0</v>
      </c>
      <c r="W157">
        <v>0</v>
      </c>
      <c r="X157" cm="1">
        <f t="array" ref="X157">IF(OR(A157='Nom du personnage'!$H$88:$O$88,'Nom du personnage'!$V$88:$AC$88=Magie!A157),1,)</f>
        <v>0</v>
      </c>
      <c r="Y157" t="e">
        <f ca="1">IF('Nom du personnage'!$AC$59&gt;=Magie!D157,1,)</f>
        <v>#N/A</v>
      </c>
      <c r="Z157">
        <f ca="1">IF(AND(A157='Nom du personnage'!$H$88,_xlfn.AGGREGATE(4,6,'Nom du personnage'!$C$91:$D$109)&gt;=Magie!D154),1,0)</f>
        <v>0</v>
      </c>
      <c r="AA157">
        <f ca="1">IF(AND(A157='Nom du personnage'!$V$88,_xlfn.AGGREGATE(4,6,'Nom du personnage'!$Q$91:$R$109)&gt;=Magie!D154),10,0)</f>
        <v>0</v>
      </c>
      <c r="AB157" t="e">
        <f t="shared" ca="1" si="20"/>
        <v>#N/A</v>
      </c>
      <c r="AC157" t="e">
        <f t="shared" ca="1" si="21"/>
        <v>#N/A</v>
      </c>
      <c r="AD157" t="e">
        <f>IF(VLOOKUP('Nom du personnage'!$U$51,Données!$P$3:$R$30,3,FALSE)=1,VLOOKUP(AC157,B157:C336,2,FALSE)+1,VLOOKUP(AC157,B157:C336,2,FALSE))</f>
        <v>#N/A</v>
      </c>
      <c r="AE157" t="e">
        <f t="shared" ca="1" si="22"/>
        <v>#N/A</v>
      </c>
      <c r="AF157" t="e">
        <f t="shared" ca="1" si="23"/>
        <v>#N/A</v>
      </c>
      <c r="AG157" t="e">
        <f>IF(VLOOKUP('Nom du personnage'!$U$51,Données!$P$3:$R$30,3,FALSE)=1,VLOOKUP(AF157,B157:C336,2,FALSE)+1,VLOOKUP(AF157,B157:C336,2,FALSE))</f>
        <v>#N/A</v>
      </c>
      <c r="AH157" t="e">
        <f t="shared" ca="1" si="24"/>
        <v>#N/A</v>
      </c>
    </row>
    <row r="158" spans="1:34">
      <c r="A158" s="2" t="s">
        <v>57</v>
      </c>
      <c r="B158" s="2" t="s">
        <v>391</v>
      </c>
      <c r="C158">
        <v>2</v>
      </c>
      <c r="D158">
        <v>2</v>
      </c>
      <c r="O158" cm="1">
        <f t="array" ref="O158:W158">'Nom du personnage'!$H$88:$P$88</f>
        <v>0</v>
      </c>
      <c r="P158">
        <v>0</v>
      </c>
      <c r="Q158">
        <v>0</v>
      </c>
      <c r="R158">
        <v>0</v>
      </c>
      <c r="S158">
        <v>0</v>
      </c>
      <c r="T158">
        <v>0</v>
      </c>
      <c r="U158">
        <v>0</v>
      </c>
      <c r="V158">
        <v>0</v>
      </c>
      <c r="W158">
        <v>0</v>
      </c>
      <c r="X158" cm="1">
        <f t="array" ref="X158">IF(OR(A158='Nom du personnage'!$H$88:$O$88,'Nom du personnage'!$V$88:$AC$88=Magie!A158),1,)</f>
        <v>0</v>
      </c>
      <c r="Y158" t="e">
        <f ca="1">IF('Nom du personnage'!$AC$59&gt;=Magie!D158,1,)</f>
        <v>#N/A</v>
      </c>
      <c r="Z158">
        <f ca="1">IF(AND(A158='Nom du personnage'!$H$88,_xlfn.AGGREGATE(4,6,'Nom du personnage'!$C$91:$D$109)&gt;=Magie!D155),1,0)</f>
        <v>0</v>
      </c>
      <c r="AA158">
        <f ca="1">IF(AND(A158='Nom du personnage'!$V$88,_xlfn.AGGREGATE(4,6,'Nom du personnage'!$Q$91:$R$109)&gt;=Magie!D155),10,0)</f>
        <v>0</v>
      </c>
      <c r="AB158" t="e">
        <f t="shared" ca="1" si="20"/>
        <v>#N/A</v>
      </c>
      <c r="AC158" t="e">
        <f t="shared" ca="1" si="21"/>
        <v>#N/A</v>
      </c>
      <c r="AD158" t="e">
        <f>IF(VLOOKUP('Nom du personnage'!$U$51,Données!$P$3:$R$30,3,FALSE)=1,VLOOKUP(AC158,B158:C337,2,FALSE)+1,VLOOKUP(AC158,B158:C337,2,FALSE))</f>
        <v>#N/A</v>
      </c>
      <c r="AE158" t="e">
        <f t="shared" ca="1" si="22"/>
        <v>#N/A</v>
      </c>
      <c r="AF158" t="e">
        <f t="shared" ca="1" si="23"/>
        <v>#N/A</v>
      </c>
      <c r="AG158" t="e">
        <f>IF(VLOOKUP('Nom du personnage'!$U$51,Données!$P$3:$R$30,3,FALSE)=1,VLOOKUP(AF158,B158:C337,2,FALSE)+1,VLOOKUP(AF158,B158:C337,2,FALSE))</f>
        <v>#N/A</v>
      </c>
      <c r="AH158" t="e">
        <f t="shared" ca="1" si="24"/>
        <v>#N/A</v>
      </c>
    </row>
    <row r="159" spans="1:34">
      <c r="A159" s="2" t="s">
        <v>57</v>
      </c>
      <c r="B159" s="2" t="s">
        <v>392</v>
      </c>
      <c r="C159">
        <v>2</v>
      </c>
      <c r="D159">
        <v>3</v>
      </c>
      <c r="O159" cm="1">
        <f t="array" ref="O159:W159">'Nom du personnage'!$H$88:$P$88</f>
        <v>0</v>
      </c>
      <c r="P159">
        <v>0</v>
      </c>
      <c r="Q159">
        <v>0</v>
      </c>
      <c r="R159">
        <v>0</v>
      </c>
      <c r="S159">
        <v>0</v>
      </c>
      <c r="T159">
        <v>0</v>
      </c>
      <c r="U159">
        <v>0</v>
      </c>
      <c r="V159">
        <v>0</v>
      </c>
      <c r="W159">
        <v>0</v>
      </c>
      <c r="X159" cm="1">
        <f t="array" ref="X159">IF(OR(A159='Nom du personnage'!$H$88:$O$88,'Nom du personnage'!$V$88:$AC$88=Magie!A159),1,)</f>
        <v>0</v>
      </c>
      <c r="Y159" t="e">
        <f ca="1">IF('Nom du personnage'!$AC$59&gt;=Magie!D159,1,)</f>
        <v>#N/A</v>
      </c>
      <c r="Z159">
        <f ca="1">IF(AND(A159='Nom du personnage'!$H$88,_xlfn.AGGREGATE(4,6,'Nom du personnage'!$C$91:$D$109)&gt;=Magie!D156),1,0)</f>
        <v>0</v>
      </c>
      <c r="AA159">
        <f ca="1">IF(AND(A159='Nom du personnage'!$V$88,_xlfn.AGGREGATE(4,6,'Nom du personnage'!$Q$91:$R$109)&gt;=Magie!D156),10,0)</f>
        <v>0</v>
      </c>
      <c r="AB159" t="e">
        <f t="shared" ca="1" si="20"/>
        <v>#N/A</v>
      </c>
      <c r="AC159" t="e">
        <f t="shared" ca="1" si="21"/>
        <v>#N/A</v>
      </c>
      <c r="AD159" t="e">
        <f>IF(VLOOKUP('Nom du personnage'!$U$51,Données!$P$3:$R$30,3,FALSE)=1,VLOOKUP(AC159,B159:C338,2,FALSE)+1,VLOOKUP(AC159,B159:C338,2,FALSE))</f>
        <v>#N/A</v>
      </c>
      <c r="AE159" t="e">
        <f t="shared" ca="1" si="22"/>
        <v>#N/A</v>
      </c>
      <c r="AF159" t="e">
        <f t="shared" ca="1" si="23"/>
        <v>#N/A</v>
      </c>
      <c r="AG159" t="e">
        <f>IF(VLOOKUP('Nom du personnage'!$U$51,Données!$P$3:$R$30,3,FALSE)=1,VLOOKUP(AF159,B159:C338,2,FALSE)+1,VLOOKUP(AF159,B159:C338,2,FALSE))</f>
        <v>#N/A</v>
      </c>
      <c r="AH159" t="e">
        <f t="shared" ca="1" si="24"/>
        <v>#N/A</v>
      </c>
    </row>
    <row r="160" spans="1:34">
      <c r="A160" s="2" t="s">
        <v>57</v>
      </c>
      <c r="B160" s="2" t="s">
        <v>393</v>
      </c>
      <c r="C160">
        <v>2</v>
      </c>
      <c r="D160">
        <v>3</v>
      </c>
      <c r="O160" cm="1">
        <f t="array" ref="O160:W160">'Nom du personnage'!$H$88:$P$88</f>
        <v>0</v>
      </c>
      <c r="P160">
        <v>0</v>
      </c>
      <c r="Q160">
        <v>0</v>
      </c>
      <c r="R160">
        <v>0</v>
      </c>
      <c r="S160">
        <v>0</v>
      </c>
      <c r="T160">
        <v>0</v>
      </c>
      <c r="U160">
        <v>0</v>
      </c>
      <c r="V160">
        <v>0</v>
      </c>
      <c r="W160">
        <v>0</v>
      </c>
      <c r="X160" cm="1">
        <f t="array" ref="X160">IF(OR(A160='Nom du personnage'!$H$88:$O$88,'Nom du personnage'!$V$88:$AC$88=Magie!A160),1,)</f>
        <v>0</v>
      </c>
      <c r="Y160" t="e">
        <f ca="1">IF('Nom du personnage'!$AC$59&gt;=Magie!D160,1,)</f>
        <v>#N/A</v>
      </c>
      <c r="Z160">
        <f ca="1">IF(AND(A160='Nom du personnage'!$H$88,_xlfn.AGGREGATE(4,6,'Nom du personnage'!$C$91:$D$109)&gt;=Magie!D157),1,0)</f>
        <v>0</v>
      </c>
      <c r="AA160">
        <f ca="1">IF(AND(A160='Nom du personnage'!$V$88,_xlfn.AGGREGATE(4,6,'Nom du personnage'!$Q$91:$R$109)&gt;=Magie!D157),10,0)</f>
        <v>0</v>
      </c>
      <c r="AB160" t="e">
        <f t="shared" ca="1" si="20"/>
        <v>#N/A</v>
      </c>
      <c r="AC160" t="e">
        <f t="shared" ca="1" si="21"/>
        <v>#N/A</v>
      </c>
      <c r="AD160" t="e">
        <f>IF(VLOOKUP('Nom du personnage'!$U$51,Données!$P$3:$R$30,3,FALSE)=1,VLOOKUP(AC160,B160:C339,2,FALSE)+1,VLOOKUP(AC160,B160:C339,2,FALSE))</f>
        <v>#N/A</v>
      </c>
      <c r="AE160" t="e">
        <f t="shared" ca="1" si="22"/>
        <v>#N/A</v>
      </c>
      <c r="AF160" t="e">
        <f t="shared" ca="1" si="23"/>
        <v>#N/A</v>
      </c>
      <c r="AG160" t="e">
        <f>IF(VLOOKUP('Nom du personnage'!$U$51,Données!$P$3:$R$30,3,FALSE)=1,VLOOKUP(AF160,B160:C339,2,FALSE)+1,VLOOKUP(AF160,B160:C339,2,FALSE))</f>
        <v>#N/A</v>
      </c>
      <c r="AH160" t="e">
        <f t="shared" ca="1" si="24"/>
        <v>#N/A</v>
      </c>
    </row>
    <row r="161" spans="1:34">
      <c r="A161" s="2" t="s">
        <v>57</v>
      </c>
      <c r="B161" s="2" t="s">
        <v>394</v>
      </c>
      <c r="C161">
        <v>2</v>
      </c>
      <c r="D161">
        <v>3</v>
      </c>
      <c r="O161" cm="1">
        <f t="array" ref="O161:W161">'Nom du personnage'!$H$88:$P$88</f>
        <v>0</v>
      </c>
      <c r="P161">
        <v>0</v>
      </c>
      <c r="Q161">
        <v>0</v>
      </c>
      <c r="R161">
        <v>0</v>
      </c>
      <c r="S161">
        <v>0</v>
      </c>
      <c r="T161">
        <v>0</v>
      </c>
      <c r="U161">
        <v>0</v>
      </c>
      <c r="V161">
        <v>0</v>
      </c>
      <c r="W161">
        <v>0</v>
      </c>
      <c r="X161" cm="1">
        <f t="array" ref="X161">IF(OR(A161='Nom du personnage'!$H$88:$O$88,'Nom du personnage'!$V$88:$AC$88=Magie!A161),1,)</f>
        <v>0</v>
      </c>
      <c r="Y161" t="e">
        <f ca="1">IF('Nom du personnage'!$AC$59&gt;=Magie!D161,1,)</f>
        <v>#N/A</v>
      </c>
      <c r="Z161">
        <f ca="1">IF(AND(A161='Nom du personnage'!$H$88,_xlfn.AGGREGATE(4,6,'Nom du personnage'!$C$91:$D$109)&gt;=Magie!D158),1,0)</f>
        <v>0</v>
      </c>
      <c r="AA161">
        <f ca="1">IF(AND(A161='Nom du personnage'!$V$88,_xlfn.AGGREGATE(4,6,'Nom du personnage'!$Q$91:$R$109)&gt;=Magie!D158),10,0)</f>
        <v>0</v>
      </c>
      <c r="AB161" t="e">
        <f t="shared" ca="1" si="20"/>
        <v>#N/A</v>
      </c>
      <c r="AC161" t="e">
        <f t="shared" ca="1" si="21"/>
        <v>#N/A</v>
      </c>
      <c r="AD161" t="e">
        <f>IF(VLOOKUP('Nom du personnage'!$U$51,Données!$P$3:$R$30,3,FALSE)=1,VLOOKUP(AC161,B161:C340,2,FALSE)+1,VLOOKUP(AC161,B161:C340,2,FALSE))</f>
        <v>#N/A</v>
      </c>
      <c r="AE161" t="e">
        <f t="shared" ca="1" si="22"/>
        <v>#N/A</v>
      </c>
      <c r="AF161" t="e">
        <f t="shared" ca="1" si="23"/>
        <v>#N/A</v>
      </c>
      <c r="AG161" t="e">
        <f>IF(VLOOKUP('Nom du personnage'!$U$51,Données!$P$3:$R$30,3,FALSE)=1,VLOOKUP(AF161,B161:C340,2,FALSE)+1,VLOOKUP(AF161,B161:C340,2,FALSE))</f>
        <v>#N/A</v>
      </c>
      <c r="AH161" t="e">
        <f t="shared" ca="1" si="24"/>
        <v>#N/A</v>
      </c>
    </row>
    <row r="162" spans="1:34">
      <c r="A162" s="2" t="s">
        <v>57</v>
      </c>
      <c r="B162" s="2" t="s">
        <v>395</v>
      </c>
      <c r="C162">
        <v>3</v>
      </c>
      <c r="D162">
        <v>4</v>
      </c>
      <c r="O162" cm="1">
        <f t="array" ref="O162:W162">'Nom du personnage'!$H$88:$P$88</f>
        <v>0</v>
      </c>
      <c r="P162">
        <v>0</v>
      </c>
      <c r="Q162">
        <v>0</v>
      </c>
      <c r="R162">
        <v>0</v>
      </c>
      <c r="S162">
        <v>0</v>
      </c>
      <c r="T162">
        <v>0</v>
      </c>
      <c r="U162">
        <v>0</v>
      </c>
      <c r="V162">
        <v>0</v>
      </c>
      <c r="W162">
        <v>0</v>
      </c>
      <c r="X162" cm="1">
        <f t="array" ref="X162">IF(OR(A162='Nom du personnage'!$H$88:$O$88,'Nom du personnage'!$V$88:$AC$88=Magie!A162),1,)</f>
        <v>0</v>
      </c>
      <c r="Y162" t="e">
        <f ca="1">IF('Nom du personnage'!$AC$59&gt;=Magie!D162,1,)</f>
        <v>#N/A</v>
      </c>
      <c r="Z162">
        <f ca="1">IF(AND(A162='Nom du personnage'!$H$88,_xlfn.AGGREGATE(4,6,'Nom du personnage'!$C$91:$D$109)&gt;=Magie!D159),1,0)</f>
        <v>0</v>
      </c>
      <c r="AA162">
        <f ca="1">IF(AND(A162='Nom du personnage'!$V$88,_xlfn.AGGREGATE(4,6,'Nom du personnage'!$Q$91:$R$109)&gt;=Magie!D159),10,0)</f>
        <v>0</v>
      </c>
      <c r="AB162" t="e">
        <f t="shared" ca="1" si="20"/>
        <v>#N/A</v>
      </c>
      <c r="AC162" t="e">
        <f t="shared" ca="1" si="21"/>
        <v>#N/A</v>
      </c>
      <c r="AD162" t="e">
        <f>IF(VLOOKUP('Nom du personnage'!$U$51,Données!$P$3:$R$30,3,FALSE)=1,VLOOKUP(AC162,B162:C341,2,FALSE)+1,VLOOKUP(AC162,B162:C341,2,FALSE))</f>
        <v>#N/A</v>
      </c>
      <c r="AE162" t="e">
        <f t="shared" ca="1" si="22"/>
        <v>#N/A</v>
      </c>
      <c r="AF162" t="e">
        <f t="shared" ca="1" si="23"/>
        <v>#N/A</v>
      </c>
      <c r="AG162" t="e">
        <f>IF(VLOOKUP('Nom du personnage'!$U$51,Données!$P$3:$R$30,3,FALSE)=1,VLOOKUP(AF162,B162:C341,2,FALSE)+1,VLOOKUP(AF162,B162:C341,2,FALSE))</f>
        <v>#N/A</v>
      </c>
      <c r="AH162" t="e">
        <f t="shared" ca="1" si="24"/>
        <v>#N/A</v>
      </c>
    </row>
    <row r="163" spans="1:34">
      <c r="A163" s="2" t="s">
        <v>57</v>
      </c>
      <c r="B163" s="2" t="s">
        <v>396</v>
      </c>
      <c r="C163">
        <v>3</v>
      </c>
      <c r="D163">
        <v>4</v>
      </c>
      <c r="O163" cm="1">
        <f t="array" ref="O163:W163">'Nom du personnage'!$H$88:$P$88</f>
        <v>0</v>
      </c>
      <c r="P163">
        <v>0</v>
      </c>
      <c r="Q163">
        <v>0</v>
      </c>
      <c r="R163">
        <v>0</v>
      </c>
      <c r="S163">
        <v>0</v>
      </c>
      <c r="T163">
        <v>0</v>
      </c>
      <c r="U163">
        <v>0</v>
      </c>
      <c r="V163">
        <v>0</v>
      </c>
      <c r="W163">
        <v>0</v>
      </c>
      <c r="X163" cm="1">
        <f t="array" ref="X163">IF(OR(A163='Nom du personnage'!$H$88:$O$88,'Nom du personnage'!$V$88:$AC$88=Magie!A163),1,)</f>
        <v>0</v>
      </c>
      <c r="Y163" t="e">
        <f ca="1">IF('Nom du personnage'!$AC$59&gt;=Magie!D163,1,)</f>
        <v>#N/A</v>
      </c>
      <c r="Z163">
        <f ca="1">IF(AND(A163='Nom du personnage'!$H$88,_xlfn.AGGREGATE(4,6,'Nom du personnage'!$C$91:$D$109)&gt;=Magie!D160),1,0)</f>
        <v>0</v>
      </c>
      <c r="AA163">
        <f ca="1">IF(AND(A163='Nom du personnage'!$V$88,_xlfn.AGGREGATE(4,6,'Nom du personnage'!$Q$91:$R$109)&gt;=Magie!D160),10,0)</f>
        <v>0</v>
      </c>
      <c r="AB163" t="e">
        <f t="shared" ca="1" si="20"/>
        <v>#N/A</v>
      </c>
      <c r="AC163" t="e">
        <f t="shared" ca="1" si="21"/>
        <v>#N/A</v>
      </c>
      <c r="AD163" t="e">
        <f>IF(VLOOKUP('Nom du personnage'!$U$51,Données!$P$3:$R$30,3,FALSE)=1,VLOOKUP(AC163,B163:C342,2,FALSE)+1,VLOOKUP(AC163,B163:C342,2,FALSE))</f>
        <v>#N/A</v>
      </c>
      <c r="AE163" t="e">
        <f t="shared" ca="1" si="22"/>
        <v>#N/A</v>
      </c>
      <c r="AF163" t="e">
        <f t="shared" ca="1" si="23"/>
        <v>#N/A</v>
      </c>
      <c r="AG163" t="e">
        <f>IF(VLOOKUP('Nom du personnage'!$U$51,Données!$P$3:$R$30,3,FALSE)=1,VLOOKUP(AF163,B163:C342,2,FALSE)+1,VLOOKUP(AF163,B163:C342,2,FALSE))</f>
        <v>#N/A</v>
      </c>
      <c r="AH163" t="e">
        <f t="shared" ca="1" si="24"/>
        <v>#N/A</v>
      </c>
    </row>
    <row r="164" spans="1:34">
      <c r="A164" s="2" t="s">
        <v>57</v>
      </c>
      <c r="B164" s="2" t="s">
        <v>397</v>
      </c>
      <c r="C164">
        <v>3</v>
      </c>
      <c r="D164">
        <v>4</v>
      </c>
      <c r="O164" cm="1">
        <f t="array" ref="O164:W164">'Nom du personnage'!$H$88:$P$88</f>
        <v>0</v>
      </c>
      <c r="P164">
        <v>0</v>
      </c>
      <c r="Q164">
        <v>0</v>
      </c>
      <c r="R164">
        <v>0</v>
      </c>
      <c r="S164">
        <v>0</v>
      </c>
      <c r="T164">
        <v>0</v>
      </c>
      <c r="U164">
        <v>0</v>
      </c>
      <c r="V164">
        <v>0</v>
      </c>
      <c r="W164">
        <v>0</v>
      </c>
      <c r="X164" cm="1">
        <f t="array" ref="X164">IF(OR(A164='Nom du personnage'!$H$88:$O$88,'Nom du personnage'!$V$88:$AC$88=Magie!A164),1,)</f>
        <v>0</v>
      </c>
      <c r="Y164" t="e">
        <f ca="1">IF('Nom du personnage'!$AC$59&gt;=Magie!D164,1,)</f>
        <v>#N/A</v>
      </c>
      <c r="Z164">
        <f ca="1">IF(AND(A164='Nom du personnage'!$H$88,_xlfn.AGGREGATE(4,6,'Nom du personnage'!$C$91:$D$109)&gt;=Magie!D161),1,0)</f>
        <v>0</v>
      </c>
      <c r="AA164">
        <f ca="1">IF(AND(A164='Nom du personnage'!$V$88,_xlfn.AGGREGATE(4,6,'Nom du personnage'!$Q$91:$R$109)&gt;=Magie!D161),10,0)</f>
        <v>0</v>
      </c>
      <c r="AB164" t="e">
        <f t="shared" ca="1" si="20"/>
        <v>#N/A</v>
      </c>
      <c r="AC164" t="e">
        <f t="shared" ca="1" si="21"/>
        <v>#N/A</v>
      </c>
      <c r="AD164" t="e">
        <f>IF(VLOOKUP('Nom du personnage'!$U$51,Données!$P$3:$R$30,3,FALSE)=1,VLOOKUP(AC164,B164:C343,2,FALSE)+1,VLOOKUP(AC164,B164:C343,2,FALSE))</f>
        <v>#N/A</v>
      </c>
      <c r="AE164" t="e">
        <f t="shared" ca="1" si="22"/>
        <v>#N/A</v>
      </c>
      <c r="AF164" t="e">
        <f t="shared" ca="1" si="23"/>
        <v>#N/A</v>
      </c>
      <c r="AG164" t="e">
        <f>IF(VLOOKUP('Nom du personnage'!$U$51,Données!$P$3:$R$30,3,FALSE)=1,VLOOKUP(AF164,B164:C343,2,FALSE)+1,VLOOKUP(AF164,B164:C343,2,FALSE))</f>
        <v>#N/A</v>
      </c>
      <c r="AH164" t="e">
        <f t="shared" ca="1" si="24"/>
        <v>#N/A</v>
      </c>
    </row>
    <row r="165" spans="1:34">
      <c r="A165" s="2" t="s">
        <v>57</v>
      </c>
      <c r="B165" s="2" t="s">
        <v>398</v>
      </c>
      <c r="C165">
        <v>3</v>
      </c>
      <c r="D165">
        <v>5</v>
      </c>
      <c r="O165" cm="1">
        <f t="array" ref="O165:W165">'Nom du personnage'!$H$88:$P$88</f>
        <v>0</v>
      </c>
      <c r="P165">
        <v>0</v>
      </c>
      <c r="Q165">
        <v>0</v>
      </c>
      <c r="R165">
        <v>0</v>
      </c>
      <c r="S165">
        <v>0</v>
      </c>
      <c r="T165">
        <v>0</v>
      </c>
      <c r="U165">
        <v>0</v>
      </c>
      <c r="V165">
        <v>0</v>
      </c>
      <c r="W165">
        <v>0</v>
      </c>
      <c r="X165" cm="1">
        <f t="array" ref="X165">IF(OR(A165='Nom du personnage'!$H$88:$O$88,'Nom du personnage'!$V$88:$AC$88=Magie!A165),1,)</f>
        <v>0</v>
      </c>
      <c r="Y165" t="e">
        <f ca="1">IF('Nom du personnage'!$AC$59&gt;=Magie!D165,1,)</f>
        <v>#N/A</v>
      </c>
      <c r="Z165">
        <f ca="1">IF(AND(A165='Nom du personnage'!$H$88,_xlfn.AGGREGATE(4,6,'Nom du personnage'!$C$91:$D$109)&gt;=Magie!D162),1,0)</f>
        <v>0</v>
      </c>
      <c r="AA165">
        <f ca="1">IF(AND(A165='Nom du personnage'!$V$88,_xlfn.AGGREGATE(4,6,'Nom du personnage'!$Q$91:$R$109)&gt;=Magie!D162),10,0)</f>
        <v>0</v>
      </c>
      <c r="AB165" t="e">
        <f t="shared" ca="1" si="20"/>
        <v>#N/A</v>
      </c>
      <c r="AC165" t="e">
        <f t="shared" ca="1" si="21"/>
        <v>#N/A</v>
      </c>
      <c r="AD165" t="e">
        <f>IF(VLOOKUP('Nom du personnage'!$U$51,Données!$P$3:$R$30,3,FALSE)=1,VLOOKUP(AC165,B165:C344,2,FALSE)+1,VLOOKUP(AC165,B165:C344,2,FALSE))</f>
        <v>#N/A</v>
      </c>
      <c r="AE165" t="e">
        <f t="shared" ca="1" si="22"/>
        <v>#N/A</v>
      </c>
      <c r="AF165" t="e">
        <f t="shared" ca="1" si="23"/>
        <v>#N/A</v>
      </c>
      <c r="AG165" t="e">
        <f>IF(VLOOKUP('Nom du personnage'!$U$51,Données!$P$3:$R$30,3,FALSE)=1,VLOOKUP(AF165,B165:C344,2,FALSE)+1,VLOOKUP(AF165,B165:C344,2,FALSE))</f>
        <v>#N/A</v>
      </c>
      <c r="AH165" t="e">
        <f t="shared" ca="1" si="24"/>
        <v>#N/A</v>
      </c>
    </row>
    <row r="166" spans="1:34">
      <c r="A166" s="2" t="s">
        <v>57</v>
      </c>
      <c r="B166" s="2" t="s">
        <v>399</v>
      </c>
      <c r="C166">
        <v>3</v>
      </c>
      <c r="D166">
        <v>5</v>
      </c>
      <c r="O166" cm="1">
        <f t="array" ref="O166:W166">'Nom du personnage'!$H$88:$P$88</f>
        <v>0</v>
      </c>
      <c r="P166">
        <v>0</v>
      </c>
      <c r="Q166">
        <v>0</v>
      </c>
      <c r="R166">
        <v>0</v>
      </c>
      <c r="S166">
        <v>0</v>
      </c>
      <c r="T166">
        <v>0</v>
      </c>
      <c r="U166">
        <v>0</v>
      </c>
      <c r="V166">
        <v>0</v>
      </c>
      <c r="W166">
        <v>0</v>
      </c>
      <c r="X166" cm="1">
        <f t="array" ref="X166">IF(OR(A166='Nom du personnage'!$H$88:$O$88,'Nom du personnage'!$V$88:$AC$88=Magie!A166),1,)</f>
        <v>0</v>
      </c>
      <c r="Y166" t="e">
        <f ca="1">IF('Nom du personnage'!$AC$59&gt;=Magie!D166,1,)</f>
        <v>#N/A</v>
      </c>
      <c r="Z166">
        <f ca="1">IF(AND(A166='Nom du personnage'!$H$88,_xlfn.AGGREGATE(4,6,'Nom du personnage'!$C$91:$D$109)&gt;=Magie!D163),1,0)</f>
        <v>0</v>
      </c>
      <c r="AA166">
        <f ca="1">IF(AND(A166='Nom du personnage'!$V$88,_xlfn.AGGREGATE(4,6,'Nom du personnage'!$Q$91:$R$109)&gt;=Magie!D163),10,0)</f>
        <v>0</v>
      </c>
      <c r="AB166" t="e">
        <f t="shared" ca="1" si="20"/>
        <v>#N/A</v>
      </c>
      <c r="AC166" t="e">
        <f t="shared" ca="1" si="21"/>
        <v>#N/A</v>
      </c>
      <c r="AD166" t="e">
        <f>IF(VLOOKUP('Nom du personnage'!$U$51,Données!$P$3:$R$30,3,FALSE)=1,VLOOKUP(AC166,B166:C345,2,FALSE)+1,VLOOKUP(AC166,B166:C345,2,FALSE))</f>
        <v>#N/A</v>
      </c>
      <c r="AE166" t="e">
        <f t="shared" ca="1" si="22"/>
        <v>#N/A</v>
      </c>
      <c r="AF166" t="e">
        <f t="shared" ca="1" si="23"/>
        <v>#N/A</v>
      </c>
      <c r="AG166" t="e">
        <f>IF(VLOOKUP('Nom du personnage'!$U$51,Données!$P$3:$R$30,3,FALSE)=1,VLOOKUP(AF166,B166:C345,2,FALSE)+1,VLOOKUP(AF166,B166:C345,2,FALSE))</f>
        <v>#N/A</v>
      </c>
      <c r="AH166" t="e">
        <f t="shared" ca="1" si="24"/>
        <v>#N/A</v>
      </c>
    </row>
    <row r="167" spans="1:34">
      <c r="A167" s="2" t="s">
        <v>57</v>
      </c>
      <c r="B167" s="2" t="s">
        <v>400</v>
      </c>
      <c r="C167">
        <v>3</v>
      </c>
      <c r="D167">
        <v>5</v>
      </c>
      <c r="O167" cm="1">
        <f t="array" ref="O167:W167">'Nom du personnage'!$H$88:$P$88</f>
        <v>0</v>
      </c>
      <c r="P167">
        <v>0</v>
      </c>
      <c r="Q167">
        <v>0</v>
      </c>
      <c r="R167">
        <v>0</v>
      </c>
      <c r="S167">
        <v>0</v>
      </c>
      <c r="T167">
        <v>0</v>
      </c>
      <c r="U167">
        <v>0</v>
      </c>
      <c r="V167">
        <v>0</v>
      </c>
      <c r="W167">
        <v>0</v>
      </c>
      <c r="X167" cm="1">
        <f t="array" ref="X167">IF(OR(A167='Nom du personnage'!$H$88:$O$88,'Nom du personnage'!$V$88:$AC$88=Magie!A167),1,)</f>
        <v>0</v>
      </c>
      <c r="Y167" t="e">
        <f ca="1">IF('Nom du personnage'!$AC$59&gt;=Magie!D167,1,)</f>
        <v>#N/A</v>
      </c>
      <c r="Z167">
        <f ca="1">IF(AND(A167='Nom du personnage'!$H$88,_xlfn.AGGREGATE(4,6,'Nom du personnage'!$C$91:$D$109)&gt;=Magie!D164),1,0)</f>
        <v>0</v>
      </c>
      <c r="AA167">
        <f ca="1">IF(AND(A167='Nom du personnage'!$V$88,_xlfn.AGGREGATE(4,6,'Nom du personnage'!$Q$91:$R$109)&gt;=Magie!D164),10,0)</f>
        <v>0</v>
      </c>
      <c r="AB167" t="e">
        <f t="shared" ca="1" si="20"/>
        <v>#N/A</v>
      </c>
      <c r="AC167" t="e">
        <f t="shared" ca="1" si="21"/>
        <v>#N/A</v>
      </c>
      <c r="AD167" t="e">
        <f>IF(VLOOKUP('Nom du personnage'!$U$51,Données!$P$3:$R$30,3,FALSE)=1,VLOOKUP(AC167,B167:C346,2,FALSE)+1,VLOOKUP(AC167,B167:C346,2,FALSE))</f>
        <v>#N/A</v>
      </c>
      <c r="AE167" t="e">
        <f t="shared" ca="1" si="22"/>
        <v>#N/A</v>
      </c>
      <c r="AF167" t="e">
        <f t="shared" ca="1" si="23"/>
        <v>#N/A</v>
      </c>
      <c r="AG167" t="e">
        <f>IF(VLOOKUP('Nom du personnage'!$U$51,Données!$P$3:$R$30,3,FALSE)=1,VLOOKUP(AF167,B167:C346,2,FALSE)+1,VLOOKUP(AF167,B167:C346,2,FALSE))</f>
        <v>#N/A</v>
      </c>
      <c r="AH167" t="e">
        <f t="shared" ca="1" si="24"/>
        <v>#N/A</v>
      </c>
    </row>
    <row r="168" spans="1:34">
      <c r="A168" s="2" t="s">
        <v>57</v>
      </c>
      <c r="B168" s="2" t="s">
        <v>401</v>
      </c>
      <c r="C168">
        <v>3</v>
      </c>
      <c r="D168">
        <v>6</v>
      </c>
      <c r="O168" cm="1">
        <f t="array" ref="O168:W168">'Nom du personnage'!$H$88:$P$88</f>
        <v>0</v>
      </c>
      <c r="P168">
        <v>0</v>
      </c>
      <c r="Q168">
        <v>0</v>
      </c>
      <c r="R168">
        <v>0</v>
      </c>
      <c r="S168">
        <v>0</v>
      </c>
      <c r="T168">
        <v>0</v>
      </c>
      <c r="U168">
        <v>0</v>
      </c>
      <c r="V168">
        <v>0</v>
      </c>
      <c r="W168">
        <v>0</v>
      </c>
      <c r="X168" cm="1">
        <f t="array" ref="X168">IF(OR(A168='Nom du personnage'!$H$88:$O$88,'Nom du personnage'!$V$88:$AC$88=Magie!A168),1,)</f>
        <v>0</v>
      </c>
      <c r="Y168" t="e">
        <f ca="1">IF('Nom du personnage'!$AC$59&gt;=Magie!D168,1,)</f>
        <v>#N/A</v>
      </c>
      <c r="Z168">
        <f ca="1">IF(AND(A168='Nom du personnage'!$H$88,_xlfn.AGGREGATE(4,6,'Nom du personnage'!$C$91:$D$109)&gt;=Magie!D165),1,0)</f>
        <v>0</v>
      </c>
      <c r="AA168">
        <f ca="1">IF(AND(A168='Nom du personnage'!$V$88,_xlfn.AGGREGATE(4,6,'Nom du personnage'!$Q$91:$R$109)&gt;=Magie!D165),10,0)</f>
        <v>0</v>
      </c>
      <c r="AB168" t="e">
        <f t="shared" ca="1" si="20"/>
        <v>#N/A</v>
      </c>
      <c r="AC168" t="e">
        <f t="shared" ca="1" si="21"/>
        <v>#N/A</v>
      </c>
      <c r="AD168" t="e">
        <f>IF(VLOOKUP('Nom du personnage'!$U$51,Données!$P$3:$R$30,3,FALSE)=1,VLOOKUP(AC168,B168:C347,2,FALSE)+1,VLOOKUP(AC168,B168:C347,2,FALSE))</f>
        <v>#N/A</v>
      </c>
      <c r="AE168" t="e">
        <f t="shared" ca="1" si="22"/>
        <v>#N/A</v>
      </c>
      <c r="AF168" t="e">
        <f t="shared" ca="1" si="23"/>
        <v>#N/A</v>
      </c>
      <c r="AG168" t="e">
        <f>IF(VLOOKUP('Nom du personnage'!$U$51,Données!$P$3:$R$30,3,FALSE)=1,VLOOKUP(AF168,B168:C347,2,FALSE)+1,VLOOKUP(AF168,B168:C347,2,FALSE))</f>
        <v>#N/A</v>
      </c>
      <c r="AH168" t="e">
        <f t="shared" ca="1" si="24"/>
        <v>#N/A</v>
      </c>
    </row>
    <row r="169" spans="1:34">
      <c r="A169" s="2" t="s">
        <v>57</v>
      </c>
      <c r="B169" s="2" t="s">
        <v>402</v>
      </c>
      <c r="C169">
        <v>3</v>
      </c>
      <c r="D169">
        <v>6</v>
      </c>
      <c r="O169" cm="1">
        <f t="array" ref="O169:W169">'Nom du personnage'!$H$88:$P$88</f>
        <v>0</v>
      </c>
      <c r="P169">
        <v>0</v>
      </c>
      <c r="Q169">
        <v>0</v>
      </c>
      <c r="R169">
        <v>0</v>
      </c>
      <c r="S169">
        <v>0</v>
      </c>
      <c r="T169">
        <v>0</v>
      </c>
      <c r="U169">
        <v>0</v>
      </c>
      <c r="V169">
        <v>0</v>
      </c>
      <c r="W169">
        <v>0</v>
      </c>
      <c r="X169" cm="1">
        <f t="array" ref="X169">IF(OR(A169='Nom du personnage'!$H$88:$O$88,'Nom du personnage'!$V$88:$AC$88=Magie!A169),1,)</f>
        <v>0</v>
      </c>
      <c r="Y169" t="e">
        <f ca="1">IF('Nom du personnage'!$AC$59&gt;=Magie!D169,1,)</f>
        <v>#N/A</v>
      </c>
      <c r="Z169">
        <f ca="1">IF(AND(A169='Nom du personnage'!$H$88,_xlfn.AGGREGATE(4,6,'Nom du personnage'!$C$91:$D$109)&gt;=Magie!D166),1,0)</f>
        <v>0</v>
      </c>
      <c r="AA169">
        <f ca="1">IF(AND(A169='Nom du personnage'!$V$88,_xlfn.AGGREGATE(4,6,'Nom du personnage'!$Q$91:$R$109)&gt;=Magie!D166),10,0)</f>
        <v>0</v>
      </c>
      <c r="AB169" t="e">
        <f t="shared" ca="1" si="20"/>
        <v>#N/A</v>
      </c>
      <c r="AC169" t="e">
        <f t="shared" ca="1" si="21"/>
        <v>#N/A</v>
      </c>
      <c r="AD169" t="e">
        <f>IF(VLOOKUP('Nom du personnage'!$U$51,Données!$P$3:$R$30,3,FALSE)=1,VLOOKUP(AC169,B169:C348,2,FALSE)+1,VLOOKUP(AC169,B169:C348,2,FALSE))</f>
        <v>#N/A</v>
      </c>
      <c r="AE169" t="e">
        <f t="shared" ca="1" si="22"/>
        <v>#N/A</v>
      </c>
      <c r="AF169" t="e">
        <f t="shared" ca="1" si="23"/>
        <v>#N/A</v>
      </c>
      <c r="AG169" t="e">
        <f>IF(VLOOKUP('Nom du personnage'!$U$51,Données!$P$3:$R$30,3,FALSE)=1,VLOOKUP(AF169,B169:C348,2,FALSE)+1,VLOOKUP(AF169,B169:C348,2,FALSE))</f>
        <v>#N/A</v>
      </c>
      <c r="AH169" t="e">
        <f t="shared" ca="1" si="24"/>
        <v>#N/A</v>
      </c>
    </row>
    <row r="170" spans="1:34">
      <c r="A170" s="2" t="s">
        <v>57</v>
      </c>
      <c r="B170" s="2" t="s">
        <v>403</v>
      </c>
      <c r="C170">
        <v>3</v>
      </c>
      <c r="D170">
        <v>6</v>
      </c>
      <c r="O170" cm="1">
        <f t="array" ref="O170:W170">'Nom du personnage'!$H$88:$P$88</f>
        <v>0</v>
      </c>
      <c r="P170">
        <v>0</v>
      </c>
      <c r="Q170">
        <v>0</v>
      </c>
      <c r="R170">
        <v>0</v>
      </c>
      <c r="S170">
        <v>0</v>
      </c>
      <c r="T170">
        <v>0</v>
      </c>
      <c r="U170">
        <v>0</v>
      </c>
      <c r="V170">
        <v>0</v>
      </c>
      <c r="W170">
        <v>0</v>
      </c>
      <c r="X170" cm="1">
        <f t="array" ref="X170">IF(OR(A170='Nom du personnage'!$H$88:$O$88,'Nom du personnage'!$V$88:$AC$88=Magie!A170),1,)</f>
        <v>0</v>
      </c>
      <c r="Y170" t="e">
        <f ca="1">IF('Nom du personnage'!$AC$59&gt;=Magie!D170,1,)</f>
        <v>#N/A</v>
      </c>
      <c r="Z170">
        <f ca="1">IF(AND(A170='Nom du personnage'!$H$88,_xlfn.AGGREGATE(4,6,'Nom du personnage'!$C$91:$D$109)&gt;=Magie!D167),1,0)</f>
        <v>0</v>
      </c>
      <c r="AA170">
        <f ca="1">IF(AND(A170='Nom du personnage'!$V$88,_xlfn.AGGREGATE(4,6,'Nom du personnage'!$Q$91:$R$109)&gt;=Magie!D167),10,0)</f>
        <v>0</v>
      </c>
      <c r="AB170" t="e">
        <f t="shared" ca="1" si="20"/>
        <v>#N/A</v>
      </c>
      <c r="AC170" t="e">
        <f t="shared" ca="1" si="21"/>
        <v>#N/A</v>
      </c>
      <c r="AD170" t="e">
        <f>IF(VLOOKUP('Nom du personnage'!$U$51,Données!$P$3:$R$30,3,FALSE)=1,VLOOKUP(AC170,B170:C349,2,FALSE)+1,VLOOKUP(AC170,B170:C349,2,FALSE))</f>
        <v>#N/A</v>
      </c>
      <c r="AE170" t="e">
        <f t="shared" ca="1" si="22"/>
        <v>#N/A</v>
      </c>
      <c r="AF170" t="e">
        <f t="shared" ca="1" si="23"/>
        <v>#N/A</v>
      </c>
      <c r="AG170" t="e">
        <f>IF(VLOOKUP('Nom du personnage'!$U$51,Données!$P$3:$R$30,3,FALSE)=1,VLOOKUP(AF170,B170:C349,2,FALSE)+1,VLOOKUP(AF170,B170:C349,2,FALSE))</f>
        <v>#N/A</v>
      </c>
      <c r="AH170" t="e">
        <f t="shared" ca="1" si="24"/>
        <v>#N/A</v>
      </c>
    </row>
    <row r="171" spans="1:34">
      <c r="A171" s="2" t="s">
        <v>57</v>
      </c>
      <c r="B171" s="2" t="s">
        <v>404</v>
      </c>
      <c r="C171">
        <v>4</v>
      </c>
      <c r="D171">
        <v>7</v>
      </c>
      <c r="O171" cm="1">
        <f t="array" ref="O171:W171">'Nom du personnage'!$H$88:$P$88</f>
        <v>0</v>
      </c>
      <c r="P171">
        <v>0</v>
      </c>
      <c r="Q171">
        <v>0</v>
      </c>
      <c r="R171">
        <v>0</v>
      </c>
      <c r="S171">
        <v>0</v>
      </c>
      <c r="T171">
        <v>0</v>
      </c>
      <c r="U171">
        <v>0</v>
      </c>
      <c r="V171">
        <v>0</v>
      </c>
      <c r="W171">
        <v>0</v>
      </c>
      <c r="X171" cm="1">
        <f t="array" ref="X171">IF(OR(A171='Nom du personnage'!$H$88:$O$88,'Nom du personnage'!$V$88:$AC$88=Magie!A171),1,)</f>
        <v>0</v>
      </c>
      <c r="Y171" t="e">
        <f ca="1">IF('Nom du personnage'!$AC$59&gt;=Magie!D171,1,)</f>
        <v>#N/A</v>
      </c>
      <c r="Z171">
        <f ca="1">IF(AND(A171='Nom du personnage'!$H$88,_xlfn.AGGREGATE(4,6,'Nom du personnage'!$C$91:$D$109)&gt;=Magie!D168),1,0)</f>
        <v>0</v>
      </c>
      <c r="AA171">
        <f ca="1">IF(AND(A171='Nom du personnage'!$V$88,_xlfn.AGGREGATE(4,6,'Nom du personnage'!$Q$91:$R$109)&gt;=Magie!D168),10,0)</f>
        <v>0</v>
      </c>
      <c r="AB171" t="e">
        <f t="shared" ca="1" si="20"/>
        <v>#N/A</v>
      </c>
      <c r="AC171" t="e">
        <f t="shared" ca="1" si="21"/>
        <v>#N/A</v>
      </c>
      <c r="AD171" t="e">
        <f>IF(VLOOKUP('Nom du personnage'!$U$51,Données!$P$3:$R$30,3,FALSE)=1,VLOOKUP(AC171,B171:C350,2,FALSE)+1,VLOOKUP(AC171,B171:C350,2,FALSE))</f>
        <v>#N/A</v>
      </c>
      <c r="AE171" t="e">
        <f t="shared" ca="1" si="22"/>
        <v>#N/A</v>
      </c>
      <c r="AF171" t="e">
        <f t="shared" ca="1" si="23"/>
        <v>#N/A</v>
      </c>
      <c r="AG171" t="e">
        <f>IF(VLOOKUP('Nom du personnage'!$U$51,Données!$P$3:$R$30,3,FALSE)=1,VLOOKUP(AF171,B171:C350,2,FALSE)+1,VLOOKUP(AF171,B171:C350,2,FALSE))</f>
        <v>#N/A</v>
      </c>
      <c r="AH171" t="e">
        <f t="shared" ca="1" si="24"/>
        <v>#N/A</v>
      </c>
    </row>
    <row r="172" spans="1:34">
      <c r="A172" s="2" t="s">
        <v>57</v>
      </c>
      <c r="B172" s="2" t="s">
        <v>405</v>
      </c>
      <c r="C172">
        <v>4</v>
      </c>
      <c r="D172">
        <v>7</v>
      </c>
      <c r="O172" cm="1">
        <f t="array" ref="O172:W172">'Nom du personnage'!$H$88:$P$88</f>
        <v>0</v>
      </c>
      <c r="P172">
        <v>0</v>
      </c>
      <c r="Q172">
        <v>0</v>
      </c>
      <c r="R172">
        <v>0</v>
      </c>
      <c r="S172">
        <v>0</v>
      </c>
      <c r="T172">
        <v>0</v>
      </c>
      <c r="U172">
        <v>0</v>
      </c>
      <c r="V172">
        <v>0</v>
      </c>
      <c r="W172">
        <v>0</v>
      </c>
      <c r="X172" cm="1">
        <f t="array" ref="X172">IF(OR(A172='Nom du personnage'!$H$88:$O$88,'Nom du personnage'!$V$88:$AC$88=Magie!A172),1,)</f>
        <v>0</v>
      </c>
      <c r="Y172" t="e">
        <f ca="1">IF('Nom du personnage'!$AC$59&gt;=Magie!D172,1,)</f>
        <v>#N/A</v>
      </c>
      <c r="Z172">
        <f ca="1">IF(AND(A172='Nom du personnage'!$H$88,_xlfn.AGGREGATE(4,6,'Nom du personnage'!$C$91:$D$109)&gt;=Magie!D169),1,0)</f>
        <v>0</v>
      </c>
      <c r="AA172">
        <f ca="1">IF(AND(A172='Nom du personnage'!$V$88,_xlfn.AGGREGATE(4,6,'Nom du personnage'!$Q$91:$R$109)&gt;=Magie!D169),10,0)</f>
        <v>0</v>
      </c>
      <c r="AB172" t="e">
        <f t="shared" ca="1" si="20"/>
        <v>#N/A</v>
      </c>
      <c r="AC172" t="e">
        <f t="shared" ca="1" si="21"/>
        <v>#N/A</v>
      </c>
      <c r="AD172" t="e">
        <f>IF(VLOOKUP('Nom du personnage'!$U$51,Données!$P$3:$R$30,3,FALSE)=1,VLOOKUP(AC172,B172:C351,2,FALSE)+1,VLOOKUP(AC172,B172:C351,2,FALSE))</f>
        <v>#N/A</v>
      </c>
      <c r="AE172" t="e">
        <f t="shared" ca="1" si="22"/>
        <v>#N/A</v>
      </c>
      <c r="AF172" t="e">
        <f t="shared" ca="1" si="23"/>
        <v>#N/A</v>
      </c>
      <c r="AG172" t="e">
        <f>IF(VLOOKUP('Nom du personnage'!$U$51,Données!$P$3:$R$30,3,FALSE)=1,VLOOKUP(AF172,B172:C351,2,FALSE)+1,VLOOKUP(AF172,B172:C351,2,FALSE))</f>
        <v>#N/A</v>
      </c>
      <c r="AH172" t="e">
        <f t="shared" ca="1" si="24"/>
        <v>#N/A</v>
      </c>
    </row>
    <row r="173" spans="1:34">
      <c r="A173" s="2" t="s">
        <v>57</v>
      </c>
      <c r="B173" s="2" t="s">
        <v>406</v>
      </c>
      <c r="C173">
        <v>4</v>
      </c>
      <c r="D173">
        <v>7</v>
      </c>
      <c r="O173" cm="1">
        <f t="array" ref="O173:W173">'Nom du personnage'!$H$88:$P$88</f>
        <v>0</v>
      </c>
      <c r="P173">
        <v>0</v>
      </c>
      <c r="Q173">
        <v>0</v>
      </c>
      <c r="R173">
        <v>0</v>
      </c>
      <c r="S173">
        <v>0</v>
      </c>
      <c r="T173">
        <v>0</v>
      </c>
      <c r="U173">
        <v>0</v>
      </c>
      <c r="V173">
        <v>0</v>
      </c>
      <c r="W173">
        <v>0</v>
      </c>
      <c r="X173" cm="1">
        <f t="array" ref="X173">IF(OR(A173='Nom du personnage'!$H$88:$O$88,'Nom du personnage'!$V$88:$AC$88=Magie!A173),1,)</f>
        <v>0</v>
      </c>
      <c r="Y173" t="e">
        <f ca="1">IF('Nom du personnage'!$AC$59&gt;=Magie!D173,1,)</f>
        <v>#N/A</v>
      </c>
      <c r="Z173">
        <f ca="1">IF(AND(A173='Nom du personnage'!$H$88,_xlfn.AGGREGATE(4,6,'Nom du personnage'!$C$91:$D$109)&gt;=Magie!D170),1,0)</f>
        <v>0</v>
      </c>
      <c r="AA173">
        <f ca="1">IF(AND(A173='Nom du personnage'!$V$88,_xlfn.AGGREGATE(4,6,'Nom du personnage'!$Q$91:$R$109)&gt;=Magie!D170),10,0)</f>
        <v>0</v>
      </c>
      <c r="AB173" t="e">
        <f t="shared" ca="1" si="20"/>
        <v>#N/A</v>
      </c>
      <c r="AC173" t="e">
        <f t="shared" ca="1" si="21"/>
        <v>#N/A</v>
      </c>
      <c r="AD173" t="e">
        <f>IF(VLOOKUP('Nom du personnage'!$U$51,Données!$P$3:$R$30,3,FALSE)=1,VLOOKUP(AC173,B173:C352,2,FALSE)+1,VLOOKUP(AC173,B173:C352,2,FALSE))</f>
        <v>#N/A</v>
      </c>
      <c r="AE173" t="e">
        <f t="shared" ca="1" si="22"/>
        <v>#N/A</v>
      </c>
      <c r="AF173" t="e">
        <f t="shared" ca="1" si="23"/>
        <v>#N/A</v>
      </c>
      <c r="AG173" t="e">
        <f>IF(VLOOKUP('Nom du personnage'!$U$51,Données!$P$3:$R$30,3,FALSE)=1,VLOOKUP(AF173,B173:C352,2,FALSE)+1,VLOOKUP(AF173,B173:C352,2,FALSE))</f>
        <v>#N/A</v>
      </c>
      <c r="AH173" t="e">
        <f t="shared" ca="1" si="24"/>
        <v>#N/A</v>
      </c>
    </row>
    <row r="174" spans="1:34">
      <c r="A174" s="2" t="s">
        <v>57</v>
      </c>
      <c r="B174" s="2" t="s">
        <v>407</v>
      </c>
      <c r="C174">
        <v>4</v>
      </c>
      <c r="D174">
        <v>8</v>
      </c>
      <c r="O174" cm="1">
        <f t="array" ref="O174:W174">'Nom du personnage'!$H$88:$P$88</f>
        <v>0</v>
      </c>
      <c r="P174">
        <v>0</v>
      </c>
      <c r="Q174">
        <v>0</v>
      </c>
      <c r="R174">
        <v>0</v>
      </c>
      <c r="S174">
        <v>0</v>
      </c>
      <c r="T174">
        <v>0</v>
      </c>
      <c r="U174">
        <v>0</v>
      </c>
      <c r="V174">
        <v>0</v>
      </c>
      <c r="W174">
        <v>0</v>
      </c>
      <c r="X174" cm="1">
        <f t="array" ref="X174">IF(OR(A174='Nom du personnage'!$H$88:$O$88,'Nom du personnage'!$V$88:$AC$88=Magie!A174),1,)</f>
        <v>0</v>
      </c>
      <c r="Y174" t="e">
        <f ca="1">IF('Nom du personnage'!$AC$59&gt;=Magie!D174,1,)</f>
        <v>#N/A</v>
      </c>
      <c r="Z174">
        <f ca="1">IF(AND(A174='Nom du personnage'!$H$88,_xlfn.AGGREGATE(4,6,'Nom du personnage'!$C$91:$D$109)&gt;=Magie!D171),1,0)</f>
        <v>0</v>
      </c>
      <c r="AA174">
        <f ca="1">IF(AND(A174='Nom du personnage'!$V$88,_xlfn.AGGREGATE(4,6,'Nom du personnage'!$Q$91:$R$109)&gt;=Magie!D171),10,0)</f>
        <v>0</v>
      </c>
      <c r="AB174" t="e">
        <f t="shared" ca="1" si="20"/>
        <v>#N/A</v>
      </c>
      <c r="AC174" t="e">
        <f t="shared" ca="1" si="21"/>
        <v>#N/A</v>
      </c>
      <c r="AD174" t="e">
        <f>IF(VLOOKUP('Nom du personnage'!$U$51,Données!$P$3:$R$30,3,FALSE)=1,VLOOKUP(AC174,B174:C353,2,FALSE)+1,VLOOKUP(AC174,B174:C353,2,FALSE))</f>
        <v>#N/A</v>
      </c>
      <c r="AE174" t="e">
        <f t="shared" ca="1" si="22"/>
        <v>#N/A</v>
      </c>
      <c r="AF174" t="e">
        <f t="shared" ca="1" si="23"/>
        <v>#N/A</v>
      </c>
      <c r="AG174" t="e">
        <f>IF(VLOOKUP('Nom du personnage'!$U$51,Données!$P$3:$R$30,3,FALSE)=1,VLOOKUP(AF174,B174:C353,2,FALSE)+1,VLOOKUP(AF174,B174:C353,2,FALSE))</f>
        <v>#N/A</v>
      </c>
      <c r="AH174" t="e">
        <f t="shared" ca="1" si="24"/>
        <v>#N/A</v>
      </c>
    </row>
    <row r="175" spans="1:34">
      <c r="A175" s="2" t="s">
        <v>57</v>
      </c>
      <c r="B175" s="2" t="s">
        <v>408</v>
      </c>
      <c r="C175">
        <v>4</v>
      </c>
      <c r="D175">
        <v>8</v>
      </c>
      <c r="O175" cm="1">
        <f t="array" ref="O175:W175">'Nom du personnage'!$H$88:$P$88</f>
        <v>0</v>
      </c>
      <c r="P175">
        <v>0</v>
      </c>
      <c r="Q175">
        <v>0</v>
      </c>
      <c r="R175">
        <v>0</v>
      </c>
      <c r="S175">
        <v>0</v>
      </c>
      <c r="T175">
        <v>0</v>
      </c>
      <c r="U175">
        <v>0</v>
      </c>
      <c r="V175">
        <v>0</v>
      </c>
      <c r="W175">
        <v>0</v>
      </c>
      <c r="X175" cm="1">
        <f t="array" ref="X175">IF(OR(A175='Nom du personnage'!$H$88:$O$88,'Nom du personnage'!$V$88:$AC$88=Magie!A175),1,)</f>
        <v>0</v>
      </c>
      <c r="Y175" t="e">
        <f ca="1">IF('Nom du personnage'!$AC$59&gt;=Magie!D175,1,)</f>
        <v>#N/A</v>
      </c>
      <c r="Z175">
        <f ca="1">IF(AND(A175='Nom du personnage'!$H$88,_xlfn.AGGREGATE(4,6,'Nom du personnage'!$C$91:$D$109)&gt;=Magie!D172),1,0)</f>
        <v>0</v>
      </c>
      <c r="AA175">
        <f ca="1">IF(AND(A175='Nom du personnage'!$V$88,_xlfn.AGGREGATE(4,6,'Nom du personnage'!$Q$91:$R$109)&gt;=Magie!D172),10,0)</f>
        <v>0</v>
      </c>
      <c r="AB175" t="e">
        <f t="shared" ca="1" si="20"/>
        <v>#N/A</v>
      </c>
      <c r="AC175" t="e">
        <f t="shared" ca="1" si="21"/>
        <v>#N/A</v>
      </c>
      <c r="AD175" t="e">
        <f>IF(VLOOKUP('Nom du personnage'!$U$51,Données!$P$3:$R$30,3,FALSE)=1,VLOOKUP(AC175,B175:C354,2,FALSE)+1,VLOOKUP(AC175,B175:C354,2,FALSE))</f>
        <v>#N/A</v>
      </c>
      <c r="AE175" t="e">
        <f t="shared" ca="1" si="22"/>
        <v>#N/A</v>
      </c>
      <c r="AF175" t="e">
        <f t="shared" ca="1" si="23"/>
        <v>#N/A</v>
      </c>
      <c r="AG175" t="e">
        <f>IF(VLOOKUP('Nom du personnage'!$U$51,Données!$P$3:$R$30,3,FALSE)=1,VLOOKUP(AF175,B175:C354,2,FALSE)+1,VLOOKUP(AF175,B175:C354,2,FALSE))</f>
        <v>#N/A</v>
      </c>
      <c r="AH175" t="e">
        <f t="shared" ca="1" si="24"/>
        <v>#N/A</v>
      </c>
    </row>
    <row r="176" spans="1:34">
      <c r="A176" s="2" t="s">
        <v>57</v>
      </c>
      <c r="B176" s="2" t="s">
        <v>409</v>
      </c>
      <c r="C176">
        <v>4</v>
      </c>
      <c r="D176">
        <v>8</v>
      </c>
      <c r="O176" cm="1">
        <f t="array" ref="O176:W176">'Nom du personnage'!$H$88:$P$88</f>
        <v>0</v>
      </c>
      <c r="P176">
        <v>0</v>
      </c>
      <c r="Q176">
        <v>0</v>
      </c>
      <c r="R176">
        <v>0</v>
      </c>
      <c r="S176">
        <v>0</v>
      </c>
      <c r="T176">
        <v>0</v>
      </c>
      <c r="U176">
        <v>0</v>
      </c>
      <c r="V176">
        <v>0</v>
      </c>
      <c r="W176">
        <v>0</v>
      </c>
      <c r="X176" cm="1">
        <f t="array" ref="X176">IF(OR(A176='Nom du personnage'!$H$88:$O$88,'Nom du personnage'!$V$88:$AC$88=Magie!A176),1,)</f>
        <v>0</v>
      </c>
      <c r="Y176" t="e">
        <f ca="1">IF('Nom du personnage'!$AC$59&gt;=Magie!D176,1,)</f>
        <v>#N/A</v>
      </c>
      <c r="Z176">
        <f ca="1">IF(AND(A176='Nom du personnage'!$H$88,_xlfn.AGGREGATE(4,6,'Nom du personnage'!$C$91:$D$109)&gt;=Magie!D173),1,0)</f>
        <v>0</v>
      </c>
      <c r="AA176">
        <f ca="1">IF(AND(A176='Nom du personnage'!$V$88,_xlfn.AGGREGATE(4,6,'Nom du personnage'!$Q$91:$R$109)&gt;=Magie!D173),10,0)</f>
        <v>0</v>
      </c>
      <c r="AB176" t="e">
        <f t="shared" ca="1" si="20"/>
        <v>#N/A</v>
      </c>
      <c r="AC176" t="e">
        <f t="shared" ca="1" si="21"/>
        <v>#N/A</v>
      </c>
      <c r="AD176" t="e">
        <f>IF(VLOOKUP('Nom du personnage'!$U$51,Données!$P$3:$R$30,3,FALSE)=1,VLOOKUP(AC176,B176:C355,2,FALSE)+1,VLOOKUP(AC176,B176:C355,2,FALSE))</f>
        <v>#N/A</v>
      </c>
      <c r="AE176" t="e">
        <f t="shared" ca="1" si="22"/>
        <v>#N/A</v>
      </c>
      <c r="AF176" t="e">
        <f t="shared" ca="1" si="23"/>
        <v>#N/A</v>
      </c>
      <c r="AG176" t="e">
        <f>IF(VLOOKUP('Nom du personnage'!$U$51,Données!$P$3:$R$30,3,FALSE)=1,VLOOKUP(AF176,B176:C355,2,FALSE)+1,VLOOKUP(AF176,B176:C355,2,FALSE))</f>
        <v>#N/A</v>
      </c>
      <c r="AH176" t="e">
        <f t="shared" ca="1" si="24"/>
        <v>#N/A</v>
      </c>
    </row>
    <row r="177" spans="1:34">
      <c r="A177" s="2" t="s">
        <v>57</v>
      </c>
      <c r="B177" s="2" t="s">
        <v>410</v>
      </c>
      <c r="C177">
        <v>4</v>
      </c>
      <c r="D177">
        <v>9</v>
      </c>
      <c r="O177" cm="1">
        <f t="array" ref="O177:W177">'Nom du personnage'!$H$88:$P$88</f>
        <v>0</v>
      </c>
      <c r="P177">
        <v>0</v>
      </c>
      <c r="Q177">
        <v>0</v>
      </c>
      <c r="R177">
        <v>0</v>
      </c>
      <c r="S177">
        <v>0</v>
      </c>
      <c r="T177">
        <v>0</v>
      </c>
      <c r="U177">
        <v>0</v>
      </c>
      <c r="V177">
        <v>0</v>
      </c>
      <c r="W177">
        <v>0</v>
      </c>
      <c r="X177" cm="1">
        <f t="array" ref="X177">IF(OR(A177='Nom du personnage'!$H$88:$O$88,'Nom du personnage'!$V$88:$AC$88=Magie!A177),1,)</f>
        <v>0</v>
      </c>
      <c r="Y177" t="e">
        <f ca="1">IF('Nom du personnage'!$AC$59&gt;=Magie!D177,1,)</f>
        <v>#N/A</v>
      </c>
      <c r="Z177">
        <f ca="1">IF(AND(A177='Nom du personnage'!$H$88,_xlfn.AGGREGATE(4,6,'Nom du personnage'!$C$91:$D$109)&gt;=Magie!D174),1,0)</f>
        <v>0</v>
      </c>
      <c r="AA177">
        <f ca="1">IF(AND(A177='Nom du personnage'!$V$88,_xlfn.AGGREGATE(4,6,'Nom du personnage'!$Q$91:$R$109)&gt;=Magie!D174),10,0)</f>
        <v>0</v>
      </c>
      <c r="AB177" t="e">
        <f t="shared" ca="1" si="20"/>
        <v>#N/A</v>
      </c>
      <c r="AC177" t="e">
        <f t="shared" ca="1" si="21"/>
        <v>#N/A</v>
      </c>
      <c r="AD177" t="e">
        <f>IF(VLOOKUP('Nom du personnage'!$U$51,Données!$P$3:$R$30,3,FALSE)=1,VLOOKUP(AC177,B177:C356,2,FALSE)+1,VLOOKUP(AC177,B177:C356,2,FALSE))</f>
        <v>#N/A</v>
      </c>
      <c r="AE177" t="e">
        <f t="shared" ca="1" si="22"/>
        <v>#N/A</v>
      </c>
      <c r="AF177" t="e">
        <f t="shared" ca="1" si="23"/>
        <v>#N/A</v>
      </c>
      <c r="AG177" t="e">
        <f>IF(VLOOKUP('Nom du personnage'!$U$51,Données!$P$3:$R$30,3,FALSE)=1,VLOOKUP(AF177,B177:C356,2,FALSE)+1,VLOOKUP(AF177,B177:C356,2,FALSE))</f>
        <v>#N/A</v>
      </c>
      <c r="AH177" t="e">
        <f t="shared" ca="1" si="24"/>
        <v>#N/A</v>
      </c>
    </row>
    <row r="178" spans="1:34">
      <c r="A178" s="2" t="s">
        <v>57</v>
      </c>
      <c r="B178" s="2" t="s">
        <v>411</v>
      </c>
      <c r="C178">
        <v>4</v>
      </c>
      <c r="D178">
        <v>9</v>
      </c>
      <c r="O178" cm="1">
        <f t="array" ref="O178:W178">'Nom du personnage'!$H$88:$P$88</f>
        <v>0</v>
      </c>
      <c r="P178">
        <v>0</v>
      </c>
      <c r="Q178">
        <v>0</v>
      </c>
      <c r="R178">
        <v>0</v>
      </c>
      <c r="S178">
        <v>0</v>
      </c>
      <c r="T178">
        <v>0</v>
      </c>
      <c r="U178">
        <v>0</v>
      </c>
      <c r="V178">
        <v>0</v>
      </c>
      <c r="W178">
        <v>0</v>
      </c>
      <c r="X178" cm="1">
        <f t="array" ref="X178">IF(OR(A178='Nom du personnage'!$H$88:$O$88,'Nom du personnage'!$V$88:$AC$88=Magie!A178),1,)</f>
        <v>0</v>
      </c>
      <c r="Y178" t="e">
        <f ca="1">IF('Nom du personnage'!$AC$59&gt;=Magie!D178,1,)</f>
        <v>#N/A</v>
      </c>
      <c r="Z178">
        <f ca="1">IF(AND(A178='Nom du personnage'!$H$88,_xlfn.AGGREGATE(4,6,'Nom du personnage'!$C$91:$D$109)&gt;=Magie!D175),1,0)</f>
        <v>0</v>
      </c>
      <c r="AA178">
        <f ca="1">IF(AND(A178='Nom du personnage'!$V$88,_xlfn.AGGREGATE(4,6,'Nom du personnage'!$Q$91:$R$109)&gt;=Magie!D175),10,0)</f>
        <v>0</v>
      </c>
      <c r="AB178" t="e">
        <f t="shared" ca="1" si="20"/>
        <v>#N/A</v>
      </c>
      <c r="AC178" t="e">
        <f t="shared" ca="1" si="21"/>
        <v>#N/A</v>
      </c>
      <c r="AD178" t="e">
        <f>IF(VLOOKUP('Nom du personnage'!$U$51,Données!$P$3:$R$30,3,FALSE)=1,VLOOKUP(AC178,B178:C357,2,FALSE)+1,VLOOKUP(AC178,B178:C357,2,FALSE))</f>
        <v>#N/A</v>
      </c>
      <c r="AE178" t="e">
        <f t="shared" ca="1" si="22"/>
        <v>#N/A</v>
      </c>
      <c r="AF178" t="e">
        <f t="shared" ca="1" si="23"/>
        <v>#N/A</v>
      </c>
      <c r="AG178" t="e">
        <f>IF(VLOOKUP('Nom du personnage'!$U$51,Données!$P$3:$R$30,3,FALSE)=1,VLOOKUP(AF178,B178:C357,2,FALSE)+1,VLOOKUP(AF178,B178:C357,2,FALSE))</f>
        <v>#N/A</v>
      </c>
      <c r="AH178" t="e">
        <f t="shared" ca="1" si="24"/>
        <v>#N/A</v>
      </c>
    </row>
    <row r="179" spans="1:34">
      <c r="A179" s="2" t="s">
        <v>57</v>
      </c>
      <c r="B179" s="2" t="s">
        <v>412</v>
      </c>
      <c r="C179">
        <v>4</v>
      </c>
      <c r="D179">
        <v>9</v>
      </c>
      <c r="O179" cm="1">
        <f t="array" ref="O179:W179">'Nom du personnage'!$H$88:$P$88</f>
        <v>0</v>
      </c>
      <c r="P179">
        <v>0</v>
      </c>
      <c r="Q179">
        <v>0</v>
      </c>
      <c r="R179">
        <v>0</v>
      </c>
      <c r="S179">
        <v>0</v>
      </c>
      <c r="T179">
        <v>0</v>
      </c>
      <c r="U179">
        <v>0</v>
      </c>
      <c r="V179">
        <v>0</v>
      </c>
      <c r="W179">
        <v>0</v>
      </c>
      <c r="X179" cm="1">
        <f t="array" ref="X179">IF(OR(A179='Nom du personnage'!$H$88:$O$88,'Nom du personnage'!$V$88:$AC$88=Magie!A179),1,)</f>
        <v>0</v>
      </c>
      <c r="Y179" t="e">
        <f ca="1">IF('Nom du personnage'!$AC$59&gt;=Magie!D179,1,)</f>
        <v>#N/A</v>
      </c>
      <c r="Z179">
        <f ca="1">IF(AND(A179='Nom du personnage'!$H$88,_xlfn.AGGREGATE(4,6,'Nom du personnage'!$C$91:$D$109)&gt;=Magie!D176),1,0)</f>
        <v>0</v>
      </c>
      <c r="AA179">
        <f ca="1">IF(AND(A179='Nom du personnage'!$V$88,_xlfn.AGGREGATE(4,6,'Nom du personnage'!$Q$91:$R$109)&gt;=Magie!D176),10,0)</f>
        <v>0</v>
      </c>
      <c r="AB179" t="e">
        <f t="shared" ca="1" si="20"/>
        <v>#N/A</v>
      </c>
      <c r="AC179" t="e">
        <f t="shared" ca="1" si="21"/>
        <v>#N/A</v>
      </c>
      <c r="AD179" t="e">
        <f>IF(VLOOKUP('Nom du personnage'!$U$51,Données!$P$3:$R$30,3,FALSE)=1,VLOOKUP(AC179,B179:C358,2,FALSE)+1,VLOOKUP(AC179,B179:C358,2,FALSE))</f>
        <v>#N/A</v>
      </c>
      <c r="AE179" t="e">
        <f t="shared" ca="1" si="22"/>
        <v>#N/A</v>
      </c>
      <c r="AF179" t="e">
        <f t="shared" ca="1" si="23"/>
        <v>#N/A</v>
      </c>
      <c r="AG179" t="e">
        <f>IF(VLOOKUP('Nom du personnage'!$U$51,Données!$P$3:$R$30,3,FALSE)=1,VLOOKUP(AF179,B179:C358,2,FALSE)+1,VLOOKUP(AF179,B179:C358,2,FALSE))</f>
        <v>#N/A</v>
      </c>
      <c r="AH179" t="e">
        <f t="shared" ca="1" si="24"/>
        <v>#N/A</v>
      </c>
    </row>
    <row r="180" spans="1:34">
      <c r="A180" s="2" t="s">
        <v>57</v>
      </c>
      <c r="B180" s="2" t="s">
        <v>413</v>
      </c>
      <c r="C180">
        <v>5</v>
      </c>
      <c r="D180">
        <v>10</v>
      </c>
      <c r="O180" cm="1">
        <f t="array" ref="O180:W180">'Nom du personnage'!$H$88:$P$88</f>
        <v>0</v>
      </c>
      <c r="P180">
        <v>0</v>
      </c>
      <c r="Q180">
        <v>0</v>
      </c>
      <c r="R180">
        <v>0</v>
      </c>
      <c r="S180">
        <v>0</v>
      </c>
      <c r="T180">
        <v>0</v>
      </c>
      <c r="U180">
        <v>0</v>
      </c>
      <c r="V180">
        <v>0</v>
      </c>
      <c r="W180">
        <v>0</v>
      </c>
      <c r="X180" cm="1">
        <f t="array" ref="X180">IF(OR(A180='Nom du personnage'!$H$88:$O$88,'Nom du personnage'!$V$88:$AC$88=Magie!A180),1,)</f>
        <v>0</v>
      </c>
      <c r="Y180" t="e">
        <f ca="1">IF('Nom du personnage'!$AC$59&gt;=Magie!D180,1,)</f>
        <v>#N/A</v>
      </c>
      <c r="Z180">
        <f ca="1">IF(AND(A180='Nom du personnage'!$H$88,_xlfn.AGGREGATE(4,6,'Nom du personnage'!$C$91:$D$109)&gt;=Magie!D177),1,0)</f>
        <v>0</v>
      </c>
      <c r="AA180">
        <f ca="1">IF(AND(A180='Nom du personnage'!$V$88,_xlfn.AGGREGATE(4,6,'Nom du personnage'!$Q$91:$R$109)&gt;=Magie!D177),10,0)</f>
        <v>0</v>
      </c>
      <c r="AB180" t="e">
        <f t="shared" ca="1" si="20"/>
        <v>#N/A</v>
      </c>
      <c r="AC180" t="e">
        <f t="shared" ca="1" si="21"/>
        <v>#N/A</v>
      </c>
      <c r="AD180" t="e">
        <f>IF(VLOOKUP('Nom du personnage'!$U$51,Données!$P$3:$R$30,3,FALSE)=1,VLOOKUP(AC180,B180:C359,2,FALSE)+1,VLOOKUP(AC180,B180:C359,2,FALSE))</f>
        <v>#N/A</v>
      </c>
      <c r="AE180" t="e">
        <f t="shared" ca="1" si="22"/>
        <v>#N/A</v>
      </c>
      <c r="AF180" t="e">
        <f t="shared" ca="1" si="23"/>
        <v>#N/A</v>
      </c>
      <c r="AG180" t="e">
        <f>IF(VLOOKUP('Nom du personnage'!$U$51,Données!$P$3:$R$30,3,FALSE)=1,VLOOKUP(AF180,B180:C359,2,FALSE)+1,VLOOKUP(AF180,B180:C359,2,FALSE))</f>
        <v>#N/A</v>
      </c>
      <c r="AH180" t="e">
        <f t="shared" ca="1" si="24"/>
        <v>#N/A</v>
      </c>
    </row>
    <row r="181" spans="1:34">
      <c r="A181" s="2" t="s">
        <v>57</v>
      </c>
      <c r="B181" s="2" t="s">
        <v>414</v>
      </c>
      <c r="C181">
        <v>5</v>
      </c>
      <c r="D181">
        <v>10</v>
      </c>
      <c r="O181" cm="1">
        <f t="array" ref="O181:W181">'Nom du personnage'!$H$88:$P$88</f>
        <v>0</v>
      </c>
      <c r="P181">
        <v>0</v>
      </c>
      <c r="Q181">
        <v>0</v>
      </c>
      <c r="R181">
        <v>0</v>
      </c>
      <c r="S181">
        <v>0</v>
      </c>
      <c r="T181">
        <v>0</v>
      </c>
      <c r="U181">
        <v>0</v>
      </c>
      <c r="V181">
        <v>0</v>
      </c>
      <c r="W181">
        <v>0</v>
      </c>
      <c r="X181" cm="1">
        <f t="array" ref="X181">IF(OR(A181='Nom du personnage'!$H$88:$O$88,'Nom du personnage'!$V$88:$AC$88=Magie!A181),1,)</f>
        <v>0</v>
      </c>
      <c r="Y181" t="e">
        <f ca="1">IF('Nom du personnage'!$AC$59&gt;=Magie!D181,1,)</f>
        <v>#N/A</v>
      </c>
      <c r="Z181">
        <f ca="1">IF(AND(A181='Nom du personnage'!$H$88,_xlfn.AGGREGATE(4,6,'Nom du personnage'!$C$91:$D$109)&gt;=Magie!D178),1,0)</f>
        <v>0</v>
      </c>
      <c r="AA181">
        <f ca="1">IF(AND(A181='Nom du personnage'!$V$88,_xlfn.AGGREGATE(4,6,'Nom du personnage'!$Q$91:$R$109)&gt;=Magie!D178),10,0)</f>
        <v>0</v>
      </c>
      <c r="AB181" t="e">
        <f t="shared" ca="1" si="20"/>
        <v>#N/A</v>
      </c>
      <c r="AC181" t="e">
        <f t="shared" ca="1" si="21"/>
        <v>#N/A</v>
      </c>
      <c r="AD181" t="e">
        <f>IF(VLOOKUP('Nom du personnage'!$U$51,Données!$P$3:$R$30,3,FALSE)=1,VLOOKUP(AC181,B181:C360,2,FALSE)+1,VLOOKUP(AC181,B181:C360,2,FALSE))</f>
        <v>#N/A</v>
      </c>
      <c r="AE181" t="e">
        <f t="shared" ca="1" si="22"/>
        <v>#N/A</v>
      </c>
      <c r="AF181" t="e">
        <f t="shared" ca="1" si="23"/>
        <v>#N/A</v>
      </c>
      <c r="AG181" t="e">
        <f>IF(VLOOKUP('Nom du personnage'!$U$51,Données!$P$3:$R$30,3,FALSE)=1,VLOOKUP(AF181,B181:C360,2,FALSE)+1,VLOOKUP(AF181,B181:C360,2,FALSE))</f>
        <v>#N/A</v>
      </c>
      <c r="AH181" t="e">
        <f t="shared" ca="1" si="24"/>
        <v>#N/A</v>
      </c>
    </row>
    <row r="182" spans="1:34">
      <c r="A182" s="2" t="s">
        <v>57</v>
      </c>
      <c r="B182" s="2" t="s">
        <v>415</v>
      </c>
      <c r="C182">
        <v>5</v>
      </c>
      <c r="D182">
        <v>10</v>
      </c>
      <c r="O182" cm="1">
        <f t="array" ref="O182:W182">'Nom du personnage'!$H$88:$P$88</f>
        <v>0</v>
      </c>
      <c r="P182">
        <v>0</v>
      </c>
      <c r="Q182">
        <v>0</v>
      </c>
      <c r="R182">
        <v>0</v>
      </c>
      <c r="S182">
        <v>0</v>
      </c>
      <c r="T182">
        <v>0</v>
      </c>
      <c r="U182">
        <v>0</v>
      </c>
      <c r="V182">
        <v>0</v>
      </c>
      <c r="W182">
        <v>0</v>
      </c>
      <c r="X182" cm="1">
        <f t="array" ref="X182">IF(OR(A182='Nom du personnage'!$H$88:$O$88,'Nom du personnage'!$V$88:$AC$88=Magie!A182),1,)</f>
        <v>0</v>
      </c>
      <c r="Y182" t="e">
        <f ca="1">IF('Nom du personnage'!$AC$59&gt;=Magie!D182,1,)</f>
        <v>#N/A</v>
      </c>
      <c r="Z182">
        <f ca="1">IF(AND(A182='Nom du personnage'!$H$88,_xlfn.AGGREGATE(4,6,'Nom du personnage'!$C$91:$D$109)&gt;=Magie!D179),1,0)</f>
        <v>0</v>
      </c>
      <c r="AA182">
        <f ca="1">IF(AND(A182='Nom du personnage'!$V$88,_xlfn.AGGREGATE(4,6,'Nom du personnage'!$Q$91:$R$109)&gt;=Magie!D179),10,0)</f>
        <v>0</v>
      </c>
      <c r="AB182" t="e">
        <f t="shared" ca="1" si="20"/>
        <v>#N/A</v>
      </c>
      <c r="AC182" t="e">
        <f t="shared" ca="1" si="21"/>
        <v>#N/A</v>
      </c>
      <c r="AD182" t="e">
        <f>IF(VLOOKUP('Nom du personnage'!$U$51,Données!$P$3:$R$30,3,FALSE)=1,VLOOKUP(AC182,B182:C361,2,FALSE)+1,VLOOKUP(AC182,B182:C361,2,FALSE))</f>
        <v>#N/A</v>
      </c>
      <c r="AE182" t="e">
        <f t="shared" ca="1" si="22"/>
        <v>#N/A</v>
      </c>
      <c r="AF182" t="e">
        <f t="shared" ca="1" si="23"/>
        <v>#N/A</v>
      </c>
      <c r="AG182" t="e">
        <f>IF(VLOOKUP('Nom du personnage'!$U$51,Données!$P$3:$R$30,3,FALSE)=1,VLOOKUP(AF182,B182:C361,2,FALSE)+1,VLOOKUP(AF182,B182:C361,2,FALSE))</f>
        <v>#N/A</v>
      </c>
      <c r="AH182" t="e">
        <f t="shared" ca="1" si="24"/>
        <v>#N/A</v>
      </c>
    </row>
    <row r="183" spans="1:34">
      <c r="A183" s="2" t="s">
        <v>323</v>
      </c>
      <c r="B183" s="2" t="s">
        <v>513</v>
      </c>
      <c r="C183">
        <v>2</v>
      </c>
      <c r="D183">
        <v>1</v>
      </c>
      <c r="O183" cm="1">
        <f t="array" ref="O183:W183">'Nom du personnage'!$H$88:$P$88</f>
        <v>0</v>
      </c>
      <c r="P183">
        <v>0</v>
      </c>
      <c r="Q183">
        <v>0</v>
      </c>
      <c r="R183">
        <v>0</v>
      </c>
      <c r="S183">
        <v>0</v>
      </c>
      <c r="T183">
        <v>0</v>
      </c>
      <c r="U183">
        <v>0</v>
      </c>
      <c r="V183">
        <v>0</v>
      </c>
      <c r="W183">
        <v>0</v>
      </c>
      <c r="X183" cm="1">
        <f t="array" ref="X183">IF(OR(A183='Nom du personnage'!$H$88:$O$88,'Nom du personnage'!$V$88:$AC$88=Magie!A183),1,)</f>
        <v>0</v>
      </c>
      <c r="Y183" t="e">
        <f ca="1">IF('Nom du personnage'!$AC$59&gt;=Magie!D183,1,)</f>
        <v>#N/A</v>
      </c>
      <c r="Z183">
        <f t="shared" ref="Z183:Z185" si="26">IF(D183=1,1,0)</f>
        <v>1</v>
      </c>
      <c r="AA183">
        <f>IF(A183='Nom du personnage'!$V$88,10,0)</f>
        <v>0</v>
      </c>
      <c r="AB183" t="e">
        <f t="shared" ca="1" si="20"/>
        <v>#N/A</v>
      </c>
      <c r="AC183" t="e">
        <f t="shared" ca="1" si="21"/>
        <v>#N/A</v>
      </c>
      <c r="AD183" t="e">
        <f>IF(VLOOKUP('Nom du personnage'!$U$51,Données!$P$3:$R$30,3,FALSE)=1,VLOOKUP(AC183,B183:C362,2,FALSE)+1,VLOOKUP(AC183,B183:C362,2,FALSE))</f>
        <v>#N/A</v>
      </c>
      <c r="AE183" t="e">
        <f t="shared" ca="1" si="22"/>
        <v>#N/A</v>
      </c>
      <c r="AF183" t="e">
        <f t="shared" ca="1" si="23"/>
        <v>#N/A</v>
      </c>
      <c r="AG183" t="e">
        <f>IF(VLOOKUP('Nom du personnage'!$U$51,Données!$P$3:$R$30,3,FALSE)=1,VLOOKUP(AF183,B183:C362,2,FALSE)+1,VLOOKUP(AF183,B183:C362,2,FALSE))</f>
        <v>#N/A</v>
      </c>
      <c r="AH183" t="e">
        <f t="shared" ca="1" si="24"/>
        <v>#N/A</v>
      </c>
    </row>
    <row r="184" spans="1:34">
      <c r="A184" s="2" t="s">
        <v>323</v>
      </c>
      <c r="B184" s="2" t="s">
        <v>514</v>
      </c>
      <c r="C184">
        <v>2</v>
      </c>
      <c r="D184">
        <v>1</v>
      </c>
      <c r="O184" cm="1">
        <f t="array" ref="O184:W184">'Nom du personnage'!$H$88:$P$88</f>
        <v>0</v>
      </c>
      <c r="P184">
        <v>0</v>
      </c>
      <c r="Q184">
        <v>0</v>
      </c>
      <c r="R184">
        <v>0</v>
      </c>
      <c r="S184">
        <v>0</v>
      </c>
      <c r="T184">
        <v>0</v>
      </c>
      <c r="U184">
        <v>0</v>
      </c>
      <c r="V184">
        <v>0</v>
      </c>
      <c r="W184">
        <v>0</v>
      </c>
      <c r="X184" cm="1">
        <f t="array" ref="X184">IF(OR(A184='Nom du personnage'!$H$88:$O$88,'Nom du personnage'!$V$88:$AC$88=Magie!A184),1,)</f>
        <v>0</v>
      </c>
      <c r="Y184" t="e">
        <f ca="1">IF('Nom du personnage'!$AC$59&gt;=Magie!D184,1,)</f>
        <v>#N/A</v>
      </c>
      <c r="Z184">
        <f t="shared" si="26"/>
        <v>1</v>
      </c>
      <c r="AA184">
        <f>IF(A184='Nom du personnage'!$V$88,10,0)</f>
        <v>0</v>
      </c>
      <c r="AB184" t="e">
        <f t="shared" ca="1" si="20"/>
        <v>#N/A</v>
      </c>
      <c r="AC184" t="e">
        <f t="shared" ca="1" si="21"/>
        <v>#N/A</v>
      </c>
      <c r="AD184" t="e">
        <f>IF(VLOOKUP('Nom du personnage'!$U$51,Données!$P$3:$R$30,3,FALSE)=1,VLOOKUP(AC184,B184:C363,2,FALSE)+1,VLOOKUP(AC184,B184:C363,2,FALSE))</f>
        <v>#N/A</v>
      </c>
      <c r="AE184" t="e">
        <f t="shared" ca="1" si="22"/>
        <v>#N/A</v>
      </c>
      <c r="AF184" t="e">
        <f t="shared" ca="1" si="23"/>
        <v>#N/A</v>
      </c>
      <c r="AG184" t="e">
        <f>IF(VLOOKUP('Nom du personnage'!$U$51,Données!$P$3:$R$30,3,FALSE)=1,VLOOKUP(AF184,B184:C363,2,FALSE)+1,VLOOKUP(AF184,B184:C363,2,FALSE))</f>
        <v>#N/A</v>
      </c>
      <c r="AH184" t="e">
        <f t="shared" ca="1" si="24"/>
        <v>#N/A</v>
      </c>
    </row>
    <row r="185" spans="1:34">
      <c r="A185" s="2" t="s">
        <v>323</v>
      </c>
      <c r="B185" s="2" t="s">
        <v>359</v>
      </c>
      <c r="C185">
        <v>2</v>
      </c>
      <c r="D185">
        <v>1</v>
      </c>
      <c r="O185" cm="1">
        <f t="array" ref="O185:W185">'Nom du personnage'!$H$88:$P$88</f>
        <v>0</v>
      </c>
      <c r="P185">
        <v>0</v>
      </c>
      <c r="Q185">
        <v>0</v>
      </c>
      <c r="R185">
        <v>0</v>
      </c>
      <c r="S185">
        <v>0</v>
      </c>
      <c r="T185">
        <v>0</v>
      </c>
      <c r="U185">
        <v>0</v>
      </c>
      <c r="V185">
        <v>0</v>
      </c>
      <c r="W185">
        <v>0</v>
      </c>
      <c r="X185" cm="1">
        <f t="array" ref="X185">IF(OR(A185='Nom du personnage'!$H$88:$O$88,'Nom du personnage'!$V$88:$AC$88=Magie!A185),1,)</f>
        <v>0</v>
      </c>
      <c r="Y185" t="e">
        <f ca="1">IF('Nom du personnage'!$AC$59&gt;=Magie!D185,1,)</f>
        <v>#N/A</v>
      </c>
      <c r="Z185">
        <f t="shared" si="26"/>
        <v>1</v>
      </c>
      <c r="AA185">
        <f>IF(A185='Nom du personnage'!$V$88,10,0)</f>
        <v>0</v>
      </c>
      <c r="AB185" t="e">
        <f t="shared" ca="1" si="20"/>
        <v>#N/A</v>
      </c>
      <c r="AC185" t="e">
        <f t="shared" ca="1" si="21"/>
        <v>#N/A</v>
      </c>
      <c r="AD185" t="e">
        <f>IF(VLOOKUP('Nom du personnage'!$U$51,Données!$P$3:$R$30,3,FALSE)=1,VLOOKUP(AC185,B185:C364,2,FALSE)+1,VLOOKUP(AC185,B185:C364,2,FALSE))</f>
        <v>#N/A</v>
      </c>
      <c r="AE185" t="e">
        <f t="shared" ca="1" si="22"/>
        <v>#N/A</v>
      </c>
      <c r="AF185" t="e">
        <f t="shared" ca="1" si="23"/>
        <v>#N/A</v>
      </c>
      <c r="AG185" t="e">
        <f>IF(VLOOKUP('Nom du personnage'!$U$51,Données!$P$3:$R$30,3,FALSE)=1,VLOOKUP(AF185,B185:C364,2,FALSE)+1,VLOOKUP(AF185,B185:C364,2,FALSE))</f>
        <v>#N/A</v>
      </c>
      <c r="AH185" t="e">
        <f t="shared" ca="1" si="24"/>
        <v>#N/A</v>
      </c>
    </row>
    <row r="186" spans="1:34">
      <c r="A186" s="2" t="s">
        <v>323</v>
      </c>
      <c r="B186" s="2" t="s">
        <v>515</v>
      </c>
      <c r="C186">
        <v>2</v>
      </c>
      <c r="D186">
        <v>2</v>
      </c>
      <c r="O186" cm="1">
        <f t="array" ref="O186:W186">'Nom du personnage'!$H$88:$P$88</f>
        <v>0</v>
      </c>
      <c r="P186">
        <v>0</v>
      </c>
      <c r="Q186">
        <v>0</v>
      </c>
      <c r="R186">
        <v>0</v>
      </c>
      <c r="S186">
        <v>0</v>
      </c>
      <c r="T186">
        <v>0</v>
      </c>
      <c r="U186">
        <v>0</v>
      </c>
      <c r="V186">
        <v>0</v>
      </c>
      <c r="W186">
        <v>0</v>
      </c>
      <c r="X186" cm="1">
        <f t="array" ref="X186">IF(OR(A186='Nom du personnage'!$H$88:$O$88,'Nom du personnage'!$V$88:$AC$88=Magie!A186),1,)</f>
        <v>0</v>
      </c>
      <c r="Y186" t="e">
        <f ca="1">IF('Nom du personnage'!$AC$59&gt;=Magie!D186,1,)</f>
        <v>#N/A</v>
      </c>
      <c r="Z186">
        <f ca="1">IF(AND(A186='Nom du personnage'!$H$88,_xlfn.AGGREGATE(4,6,'Nom du personnage'!$C$91:$D$109)&gt;=Magie!D183),1,0)</f>
        <v>0</v>
      </c>
      <c r="AA186">
        <f ca="1">IF(AND(A186='Nom du personnage'!$V$88,_xlfn.AGGREGATE(4,6,'Nom du personnage'!$Q$91:$R$109)&gt;=Magie!D183),10,0)</f>
        <v>0</v>
      </c>
      <c r="AB186" t="e">
        <f t="shared" ca="1" si="20"/>
        <v>#N/A</v>
      </c>
      <c r="AC186" t="e">
        <f t="shared" ca="1" si="21"/>
        <v>#N/A</v>
      </c>
      <c r="AD186" t="e">
        <f>IF(VLOOKUP('Nom du personnage'!$U$51,Données!$P$3:$R$30,3,FALSE)=1,VLOOKUP(AC186,B186:C365,2,FALSE)+1,VLOOKUP(AC186,B186:C365,2,FALSE))</f>
        <v>#N/A</v>
      </c>
      <c r="AE186" t="e">
        <f t="shared" ca="1" si="22"/>
        <v>#N/A</v>
      </c>
      <c r="AF186" t="e">
        <f t="shared" ca="1" si="23"/>
        <v>#N/A</v>
      </c>
      <c r="AG186" t="e">
        <f>IF(VLOOKUP('Nom du personnage'!$U$51,Données!$P$3:$R$30,3,FALSE)=1,VLOOKUP(AF186,B186:C365,2,FALSE)+1,VLOOKUP(AF186,B186:C365,2,FALSE))</f>
        <v>#N/A</v>
      </c>
      <c r="AH186" t="e">
        <f t="shared" ca="1" si="24"/>
        <v>#N/A</v>
      </c>
    </row>
    <row r="187" spans="1:34">
      <c r="A187" s="2" t="s">
        <v>323</v>
      </c>
      <c r="B187" s="2" t="s">
        <v>463</v>
      </c>
      <c r="C187">
        <v>2</v>
      </c>
      <c r="D187">
        <v>2</v>
      </c>
      <c r="O187" cm="1">
        <f t="array" ref="O187:W187">'Nom du personnage'!$H$88:$P$88</f>
        <v>0</v>
      </c>
      <c r="P187">
        <v>0</v>
      </c>
      <c r="Q187">
        <v>0</v>
      </c>
      <c r="R187">
        <v>0</v>
      </c>
      <c r="S187">
        <v>0</v>
      </c>
      <c r="T187">
        <v>0</v>
      </c>
      <c r="U187">
        <v>0</v>
      </c>
      <c r="V187">
        <v>0</v>
      </c>
      <c r="W187">
        <v>0</v>
      </c>
      <c r="X187" cm="1">
        <f t="array" ref="X187">IF(OR(A187='Nom du personnage'!$H$88:$O$88,'Nom du personnage'!$V$88:$AC$88=Magie!A187),1,)</f>
        <v>0</v>
      </c>
      <c r="Y187" t="e">
        <f ca="1">IF('Nom du personnage'!$AC$59&gt;=Magie!D187,1,)</f>
        <v>#N/A</v>
      </c>
      <c r="Z187">
        <f ca="1">IF(AND(A187='Nom du personnage'!$H$88,_xlfn.AGGREGATE(4,6,'Nom du personnage'!$C$91:$D$109)&gt;=Magie!D184),1,0)</f>
        <v>0</v>
      </c>
      <c r="AA187">
        <f ca="1">IF(AND(A187='Nom du personnage'!$V$88,_xlfn.AGGREGATE(4,6,'Nom du personnage'!$Q$91:$R$109)&gt;=Magie!D184),10,0)</f>
        <v>0</v>
      </c>
      <c r="AB187" t="e">
        <f t="shared" ca="1" si="20"/>
        <v>#N/A</v>
      </c>
      <c r="AC187" t="e">
        <f t="shared" ca="1" si="21"/>
        <v>#N/A</v>
      </c>
      <c r="AD187" t="e">
        <f>IF(VLOOKUP('Nom du personnage'!$U$51,Données!$P$3:$R$30,3,FALSE)=1,VLOOKUP(AC187,B187:C366,2,FALSE)+1,VLOOKUP(AC187,B187:C366,2,FALSE))</f>
        <v>#N/A</v>
      </c>
      <c r="AE187" t="e">
        <f t="shared" ca="1" si="22"/>
        <v>#N/A</v>
      </c>
      <c r="AF187" t="e">
        <f t="shared" ca="1" si="23"/>
        <v>#N/A</v>
      </c>
      <c r="AG187" t="e">
        <f>IF(VLOOKUP('Nom du personnage'!$U$51,Données!$P$3:$R$30,3,FALSE)=1,VLOOKUP(AF187,B187:C366,2,FALSE)+1,VLOOKUP(AF187,B187:C366,2,FALSE))</f>
        <v>#N/A</v>
      </c>
      <c r="AH187" t="e">
        <f t="shared" ca="1" si="24"/>
        <v>#N/A</v>
      </c>
    </row>
    <row r="188" spans="1:34">
      <c r="A188" s="2" t="s">
        <v>323</v>
      </c>
      <c r="B188" s="2" t="s">
        <v>465</v>
      </c>
      <c r="C188">
        <v>2</v>
      </c>
      <c r="D188">
        <v>2</v>
      </c>
      <c r="O188" cm="1">
        <f t="array" ref="O188:W188">'Nom du personnage'!$H$88:$P$88</f>
        <v>0</v>
      </c>
      <c r="P188">
        <v>0</v>
      </c>
      <c r="Q188">
        <v>0</v>
      </c>
      <c r="R188">
        <v>0</v>
      </c>
      <c r="S188">
        <v>0</v>
      </c>
      <c r="T188">
        <v>0</v>
      </c>
      <c r="U188">
        <v>0</v>
      </c>
      <c r="V188">
        <v>0</v>
      </c>
      <c r="W188">
        <v>0</v>
      </c>
      <c r="X188" cm="1">
        <f t="array" ref="X188">IF(OR(A188='Nom du personnage'!$H$88:$O$88,'Nom du personnage'!$V$88:$AC$88=Magie!A188),1,)</f>
        <v>0</v>
      </c>
      <c r="Y188" t="e">
        <f ca="1">IF('Nom du personnage'!$AC$59&gt;=Magie!D188,1,)</f>
        <v>#N/A</v>
      </c>
      <c r="Z188">
        <f ca="1">IF(AND(A188='Nom du personnage'!$H$88,_xlfn.AGGREGATE(4,6,'Nom du personnage'!$C$91:$D$109)&gt;=Magie!D185),1,0)</f>
        <v>0</v>
      </c>
      <c r="AA188">
        <f ca="1">IF(AND(A188='Nom du personnage'!$V$88,_xlfn.AGGREGATE(4,6,'Nom du personnage'!$Q$91:$R$109)&gt;=Magie!D185),10,0)</f>
        <v>0</v>
      </c>
      <c r="AB188" t="e">
        <f t="shared" ca="1" si="20"/>
        <v>#N/A</v>
      </c>
      <c r="AC188" t="e">
        <f t="shared" ca="1" si="21"/>
        <v>#N/A</v>
      </c>
      <c r="AD188" t="e">
        <f>IF(VLOOKUP('Nom du personnage'!$U$51,Données!$P$3:$R$30,3,FALSE)=1,VLOOKUP(AC188,B188:C367,2,FALSE)+1,VLOOKUP(AC188,B188:C367,2,FALSE))</f>
        <v>#N/A</v>
      </c>
      <c r="AE188" t="e">
        <f t="shared" ca="1" si="22"/>
        <v>#N/A</v>
      </c>
      <c r="AF188" t="e">
        <f t="shared" ca="1" si="23"/>
        <v>#N/A</v>
      </c>
      <c r="AG188" t="e">
        <f>IF(VLOOKUP('Nom du personnage'!$U$51,Données!$P$3:$R$30,3,FALSE)=1,VLOOKUP(AF188,B188:C367,2,FALSE)+1,VLOOKUP(AF188,B188:C367,2,FALSE))</f>
        <v>#N/A</v>
      </c>
      <c r="AH188" t="e">
        <f t="shared" ca="1" si="24"/>
        <v>#N/A</v>
      </c>
    </row>
    <row r="189" spans="1:34">
      <c r="A189" s="2" t="s">
        <v>323</v>
      </c>
      <c r="B189" s="2" t="s">
        <v>516</v>
      </c>
      <c r="C189">
        <v>2</v>
      </c>
      <c r="D189">
        <v>3</v>
      </c>
      <c r="O189" cm="1">
        <f t="array" ref="O189:W189">'Nom du personnage'!$H$88:$P$88</f>
        <v>0</v>
      </c>
      <c r="P189">
        <v>0</v>
      </c>
      <c r="Q189">
        <v>0</v>
      </c>
      <c r="R189">
        <v>0</v>
      </c>
      <c r="S189">
        <v>0</v>
      </c>
      <c r="T189">
        <v>0</v>
      </c>
      <c r="U189">
        <v>0</v>
      </c>
      <c r="V189">
        <v>0</v>
      </c>
      <c r="W189">
        <v>0</v>
      </c>
      <c r="X189" cm="1">
        <f t="array" ref="X189">IF(OR(A189='Nom du personnage'!$H$88:$O$88,'Nom du personnage'!$V$88:$AC$88=Magie!A189),1,)</f>
        <v>0</v>
      </c>
      <c r="Y189" t="e">
        <f ca="1">IF('Nom du personnage'!$AC$59&gt;=Magie!D189,1,)</f>
        <v>#N/A</v>
      </c>
      <c r="Z189">
        <f ca="1">IF(AND(A189='Nom du personnage'!$H$88,_xlfn.AGGREGATE(4,6,'Nom du personnage'!$C$91:$D$109)&gt;=Magie!D186),1,0)</f>
        <v>0</v>
      </c>
      <c r="AA189">
        <f ca="1">IF(AND(A189='Nom du personnage'!$V$88,_xlfn.AGGREGATE(4,6,'Nom du personnage'!$Q$91:$R$109)&gt;=Magie!D186),10,0)</f>
        <v>0</v>
      </c>
      <c r="AB189" t="e">
        <f t="shared" ca="1" si="20"/>
        <v>#N/A</v>
      </c>
      <c r="AC189" t="e">
        <f t="shared" ca="1" si="21"/>
        <v>#N/A</v>
      </c>
      <c r="AD189" t="e">
        <f>IF(VLOOKUP('Nom du personnage'!$U$51,Données!$P$3:$R$30,3,FALSE)=1,VLOOKUP(AC189,B189:C368,2,FALSE)+1,VLOOKUP(AC189,B189:C368,2,FALSE))</f>
        <v>#N/A</v>
      </c>
      <c r="AE189" t="e">
        <f t="shared" ca="1" si="22"/>
        <v>#N/A</v>
      </c>
      <c r="AF189" t="e">
        <f t="shared" ca="1" si="23"/>
        <v>#N/A</v>
      </c>
      <c r="AG189" t="e">
        <f>IF(VLOOKUP('Nom du personnage'!$U$51,Données!$P$3:$R$30,3,FALSE)=1,VLOOKUP(AF189,B189:C368,2,FALSE)+1,VLOOKUP(AF189,B189:C368,2,FALSE))</f>
        <v>#N/A</v>
      </c>
      <c r="AH189" t="e">
        <f t="shared" ca="1" si="24"/>
        <v>#N/A</v>
      </c>
    </row>
    <row r="190" spans="1:34">
      <c r="A190" s="2" t="s">
        <v>323</v>
      </c>
      <c r="B190" s="2" t="s">
        <v>332</v>
      </c>
      <c r="C190">
        <v>2</v>
      </c>
      <c r="D190">
        <v>3</v>
      </c>
      <c r="O190" cm="1">
        <f t="array" ref="O190:W190">'Nom du personnage'!$H$88:$P$88</f>
        <v>0</v>
      </c>
      <c r="P190">
        <v>0</v>
      </c>
      <c r="Q190">
        <v>0</v>
      </c>
      <c r="R190">
        <v>0</v>
      </c>
      <c r="S190">
        <v>0</v>
      </c>
      <c r="T190">
        <v>0</v>
      </c>
      <c r="U190">
        <v>0</v>
      </c>
      <c r="V190">
        <v>0</v>
      </c>
      <c r="W190">
        <v>0</v>
      </c>
      <c r="X190" cm="1">
        <f t="array" ref="X190">IF(OR(A190='Nom du personnage'!$H$88:$O$88,'Nom du personnage'!$V$88:$AC$88=Magie!A190),1,)</f>
        <v>0</v>
      </c>
      <c r="Y190" t="e">
        <f ca="1">IF('Nom du personnage'!$AC$59&gt;=Magie!D190,1,)</f>
        <v>#N/A</v>
      </c>
      <c r="Z190">
        <f ca="1">IF(AND(A190='Nom du personnage'!$H$88,_xlfn.AGGREGATE(4,6,'Nom du personnage'!$C$91:$D$109)&gt;=Magie!D187),1,0)</f>
        <v>0</v>
      </c>
      <c r="AA190">
        <f ca="1">IF(AND(A190='Nom du personnage'!$V$88,_xlfn.AGGREGATE(4,6,'Nom du personnage'!$Q$91:$R$109)&gt;=Magie!D187),10,0)</f>
        <v>0</v>
      </c>
      <c r="AB190" t="e">
        <f t="shared" ca="1" si="20"/>
        <v>#N/A</v>
      </c>
      <c r="AC190" t="e">
        <f t="shared" ca="1" si="21"/>
        <v>#N/A</v>
      </c>
      <c r="AD190" t="e">
        <f>IF(VLOOKUP('Nom du personnage'!$U$51,Données!$P$3:$R$30,3,FALSE)=1,VLOOKUP(AC190,B190:C369,2,FALSE)+1,VLOOKUP(AC190,B190:C369,2,FALSE))</f>
        <v>#N/A</v>
      </c>
      <c r="AE190" t="e">
        <f t="shared" ca="1" si="22"/>
        <v>#N/A</v>
      </c>
      <c r="AF190" t="e">
        <f t="shared" ca="1" si="23"/>
        <v>#N/A</v>
      </c>
      <c r="AG190" t="e">
        <f>IF(VLOOKUP('Nom du personnage'!$U$51,Données!$P$3:$R$30,3,FALSE)=1,VLOOKUP(AF190,B190:C369,2,FALSE)+1,VLOOKUP(AF190,B190:C369,2,FALSE))</f>
        <v>#N/A</v>
      </c>
      <c r="AH190" t="e">
        <f t="shared" ca="1" si="24"/>
        <v>#N/A</v>
      </c>
    </row>
    <row r="191" spans="1:34">
      <c r="A191" s="2" t="s">
        <v>323</v>
      </c>
      <c r="B191" s="2" t="s">
        <v>517</v>
      </c>
      <c r="C191">
        <v>2</v>
      </c>
      <c r="D191">
        <v>3</v>
      </c>
      <c r="O191" cm="1">
        <f t="array" ref="O191:W191">'Nom du personnage'!$H$88:$P$88</f>
        <v>0</v>
      </c>
      <c r="P191">
        <v>0</v>
      </c>
      <c r="Q191">
        <v>0</v>
      </c>
      <c r="R191">
        <v>0</v>
      </c>
      <c r="S191">
        <v>0</v>
      </c>
      <c r="T191">
        <v>0</v>
      </c>
      <c r="U191">
        <v>0</v>
      </c>
      <c r="V191">
        <v>0</v>
      </c>
      <c r="W191">
        <v>0</v>
      </c>
      <c r="X191" cm="1">
        <f t="array" ref="X191">IF(OR(A191='Nom du personnage'!$H$88:$O$88,'Nom du personnage'!$V$88:$AC$88=Magie!A191),1,)</f>
        <v>0</v>
      </c>
      <c r="Y191" t="e">
        <f ca="1">IF('Nom du personnage'!$AC$59&gt;=Magie!D191,1,)</f>
        <v>#N/A</v>
      </c>
      <c r="Z191">
        <f ca="1">IF(AND(A191='Nom du personnage'!$H$88,_xlfn.AGGREGATE(4,6,'Nom du personnage'!$C$91:$D$109)&gt;=Magie!D188),1,0)</f>
        <v>0</v>
      </c>
      <c r="AA191">
        <f ca="1">IF(AND(A191='Nom du personnage'!$V$88,_xlfn.AGGREGATE(4,6,'Nom du personnage'!$Q$91:$R$109)&gt;=Magie!D188),10,0)</f>
        <v>0</v>
      </c>
      <c r="AB191" t="e">
        <f t="shared" ca="1" si="20"/>
        <v>#N/A</v>
      </c>
      <c r="AC191" t="e">
        <f t="shared" ca="1" si="21"/>
        <v>#N/A</v>
      </c>
      <c r="AD191" t="e">
        <f>IF(VLOOKUP('Nom du personnage'!$U$51,Données!$P$3:$R$30,3,FALSE)=1,VLOOKUP(AC191,B191:C370,2,FALSE)+1,VLOOKUP(AC191,B191:C370,2,FALSE))</f>
        <v>#N/A</v>
      </c>
      <c r="AE191" t="e">
        <f t="shared" ca="1" si="22"/>
        <v>#N/A</v>
      </c>
      <c r="AF191" t="e">
        <f t="shared" ca="1" si="23"/>
        <v>#N/A</v>
      </c>
      <c r="AG191" t="e">
        <f>IF(VLOOKUP('Nom du personnage'!$U$51,Données!$P$3:$R$30,3,FALSE)=1,VLOOKUP(AF191,B191:C370,2,FALSE)+1,VLOOKUP(AF191,B191:C370,2,FALSE))</f>
        <v>#N/A</v>
      </c>
      <c r="AH191" t="e">
        <f t="shared" ca="1" si="24"/>
        <v>#N/A</v>
      </c>
    </row>
    <row r="192" spans="1:34">
      <c r="A192" s="2" t="s">
        <v>323</v>
      </c>
      <c r="B192" s="2" t="s">
        <v>518</v>
      </c>
      <c r="C192">
        <v>3</v>
      </c>
      <c r="D192">
        <v>4</v>
      </c>
      <c r="O192" cm="1">
        <f t="array" ref="O192:W192">'Nom du personnage'!$H$88:$P$88</f>
        <v>0</v>
      </c>
      <c r="P192">
        <v>0</v>
      </c>
      <c r="Q192">
        <v>0</v>
      </c>
      <c r="R192">
        <v>0</v>
      </c>
      <c r="S192">
        <v>0</v>
      </c>
      <c r="T192">
        <v>0</v>
      </c>
      <c r="U192">
        <v>0</v>
      </c>
      <c r="V192">
        <v>0</v>
      </c>
      <c r="W192">
        <v>0</v>
      </c>
      <c r="X192" cm="1">
        <f t="array" ref="X192">IF(OR(A192='Nom du personnage'!$H$88:$O$88,'Nom du personnage'!$V$88:$AC$88=Magie!A192),1,)</f>
        <v>0</v>
      </c>
      <c r="Y192" t="e">
        <f ca="1">IF('Nom du personnage'!$AC$59&gt;=Magie!D192,1,)</f>
        <v>#N/A</v>
      </c>
      <c r="Z192">
        <f ca="1">IF(AND(A192='Nom du personnage'!$H$88,_xlfn.AGGREGATE(4,6,'Nom du personnage'!$C$91:$D$109)&gt;=Magie!D189),1,0)</f>
        <v>0</v>
      </c>
      <c r="AA192">
        <f ca="1">IF(AND(A192='Nom du personnage'!$V$88,_xlfn.AGGREGATE(4,6,'Nom du personnage'!$Q$91:$R$109)&gt;=Magie!D189),10,0)</f>
        <v>0</v>
      </c>
      <c r="AB192" t="e">
        <f t="shared" ca="1" si="20"/>
        <v>#N/A</v>
      </c>
      <c r="AC192" t="e">
        <f t="shared" ca="1" si="21"/>
        <v>#N/A</v>
      </c>
      <c r="AD192" t="e">
        <f>IF(VLOOKUP('Nom du personnage'!$U$51,Données!$P$3:$R$30,3,FALSE)=1,VLOOKUP(AC192,B192:C371,2,FALSE)+1,VLOOKUP(AC192,B192:C371,2,FALSE))</f>
        <v>#N/A</v>
      </c>
      <c r="AE192" t="e">
        <f t="shared" ca="1" si="22"/>
        <v>#N/A</v>
      </c>
      <c r="AF192" t="e">
        <f t="shared" ca="1" si="23"/>
        <v>#N/A</v>
      </c>
      <c r="AG192" t="e">
        <f>IF(VLOOKUP('Nom du personnage'!$U$51,Données!$P$3:$R$30,3,FALSE)=1,VLOOKUP(AF192,B192:C371,2,FALSE)+1,VLOOKUP(AF192,B192:C371,2,FALSE))</f>
        <v>#N/A</v>
      </c>
      <c r="AH192" t="e">
        <f t="shared" ca="1" si="24"/>
        <v>#N/A</v>
      </c>
    </row>
    <row r="193" spans="1:34">
      <c r="A193" s="2" t="s">
        <v>323</v>
      </c>
      <c r="B193" s="2" t="s">
        <v>519</v>
      </c>
      <c r="C193">
        <v>3</v>
      </c>
      <c r="D193">
        <v>4</v>
      </c>
      <c r="O193" cm="1">
        <f t="array" ref="O193:W193">'Nom du personnage'!$H$88:$P$88</f>
        <v>0</v>
      </c>
      <c r="P193">
        <v>0</v>
      </c>
      <c r="Q193">
        <v>0</v>
      </c>
      <c r="R193">
        <v>0</v>
      </c>
      <c r="S193">
        <v>0</v>
      </c>
      <c r="T193">
        <v>0</v>
      </c>
      <c r="U193">
        <v>0</v>
      </c>
      <c r="V193">
        <v>0</v>
      </c>
      <c r="W193">
        <v>0</v>
      </c>
      <c r="X193" cm="1">
        <f t="array" ref="X193">IF(OR(A193='Nom du personnage'!$H$88:$O$88,'Nom du personnage'!$V$88:$AC$88=Magie!A193),1,)</f>
        <v>0</v>
      </c>
      <c r="Y193" t="e">
        <f ca="1">IF('Nom du personnage'!$AC$59&gt;=Magie!D193,1,)</f>
        <v>#N/A</v>
      </c>
      <c r="Z193">
        <f ca="1">IF(AND(A193='Nom du personnage'!$H$88,_xlfn.AGGREGATE(4,6,'Nom du personnage'!$C$91:$D$109)&gt;=Magie!D190),1,0)</f>
        <v>0</v>
      </c>
      <c r="AA193">
        <f ca="1">IF(AND(A193='Nom du personnage'!$V$88,_xlfn.AGGREGATE(4,6,'Nom du personnage'!$Q$91:$R$109)&gt;=Magie!D190),10,0)</f>
        <v>0</v>
      </c>
      <c r="AB193" t="e">
        <f t="shared" ca="1" si="20"/>
        <v>#N/A</v>
      </c>
      <c r="AC193" t="e">
        <f t="shared" ca="1" si="21"/>
        <v>#N/A</v>
      </c>
      <c r="AD193" t="e">
        <f>IF(VLOOKUP('Nom du personnage'!$U$51,Données!$P$3:$R$30,3,FALSE)=1,VLOOKUP(AC193,B193:C372,2,FALSE)+1,VLOOKUP(AC193,B193:C372,2,FALSE))</f>
        <v>#N/A</v>
      </c>
      <c r="AE193" t="e">
        <f t="shared" ca="1" si="22"/>
        <v>#N/A</v>
      </c>
      <c r="AF193" t="e">
        <f t="shared" ca="1" si="23"/>
        <v>#N/A</v>
      </c>
      <c r="AG193" t="e">
        <f>IF(VLOOKUP('Nom du personnage'!$U$51,Données!$P$3:$R$30,3,FALSE)=1,VLOOKUP(AF193,B193:C372,2,FALSE)+1,VLOOKUP(AF193,B193:C372,2,FALSE))</f>
        <v>#N/A</v>
      </c>
      <c r="AH193" t="e">
        <f t="shared" ca="1" si="24"/>
        <v>#N/A</v>
      </c>
    </row>
    <row r="194" spans="1:34">
      <c r="A194" s="2" t="s">
        <v>323</v>
      </c>
      <c r="B194" s="2" t="s">
        <v>520</v>
      </c>
      <c r="C194">
        <v>3</v>
      </c>
      <c r="D194">
        <v>4</v>
      </c>
      <c r="O194" cm="1">
        <f t="array" ref="O194:W194">'Nom du personnage'!$H$88:$P$88</f>
        <v>0</v>
      </c>
      <c r="P194">
        <v>0</v>
      </c>
      <c r="Q194">
        <v>0</v>
      </c>
      <c r="R194">
        <v>0</v>
      </c>
      <c r="S194">
        <v>0</v>
      </c>
      <c r="T194">
        <v>0</v>
      </c>
      <c r="U194">
        <v>0</v>
      </c>
      <c r="V194">
        <v>0</v>
      </c>
      <c r="W194">
        <v>0</v>
      </c>
      <c r="X194" cm="1">
        <f t="array" ref="X194">IF(OR(A194='Nom du personnage'!$H$88:$O$88,'Nom du personnage'!$V$88:$AC$88=Magie!A194),1,)</f>
        <v>0</v>
      </c>
      <c r="Y194" t="e">
        <f ca="1">IF('Nom du personnage'!$AC$59&gt;=Magie!D194,1,)</f>
        <v>#N/A</v>
      </c>
      <c r="Z194">
        <f ca="1">IF(AND(A194='Nom du personnage'!$H$88,_xlfn.AGGREGATE(4,6,'Nom du personnage'!$C$91:$D$109)&gt;=Magie!D191),1,0)</f>
        <v>0</v>
      </c>
      <c r="AA194">
        <f ca="1">IF(AND(A194='Nom du personnage'!$V$88,_xlfn.AGGREGATE(4,6,'Nom du personnage'!$Q$91:$R$109)&gt;=Magie!D191),10,0)</f>
        <v>0</v>
      </c>
      <c r="AB194" t="e">
        <f t="shared" ca="1" si="20"/>
        <v>#N/A</v>
      </c>
      <c r="AC194" t="e">
        <f t="shared" ca="1" si="21"/>
        <v>#N/A</v>
      </c>
      <c r="AD194" t="e">
        <f>IF(VLOOKUP('Nom du personnage'!$U$51,Données!$P$3:$R$30,3,FALSE)=1,VLOOKUP(AC194,B194:C373,2,FALSE)+1,VLOOKUP(AC194,B194:C373,2,FALSE))</f>
        <v>#N/A</v>
      </c>
      <c r="AE194" t="e">
        <f t="shared" ca="1" si="22"/>
        <v>#N/A</v>
      </c>
      <c r="AF194" t="e">
        <f t="shared" ca="1" si="23"/>
        <v>#N/A</v>
      </c>
      <c r="AG194" t="e">
        <f>IF(VLOOKUP('Nom du personnage'!$U$51,Données!$P$3:$R$30,3,FALSE)=1,VLOOKUP(AF194,B194:C373,2,FALSE)+1,VLOOKUP(AF194,B194:C373,2,FALSE))</f>
        <v>#N/A</v>
      </c>
      <c r="AH194" t="e">
        <f t="shared" ca="1" si="24"/>
        <v>#N/A</v>
      </c>
    </row>
    <row r="195" spans="1:34">
      <c r="A195" s="2" t="s">
        <v>323</v>
      </c>
      <c r="B195" s="2" t="s">
        <v>521</v>
      </c>
      <c r="C195">
        <v>3</v>
      </c>
      <c r="D195">
        <v>5</v>
      </c>
      <c r="O195" cm="1">
        <f t="array" ref="O195:W195">'Nom du personnage'!$H$88:$P$88</f>
        <v>0</v>
      </c>
      <c r="P195">
        <v>0</v>
      </c>
      <c r="Q195">
        <v>0</v>
      </c>
      <c r="R195">
        <v>0</v>
      </c>
      <c r="S195">
        <v>0</v>
      </c>
      <c r="T195">
        <v>0</v>
      </c>
      <c r="U195">
        <v>0</v>
      </c>
      <c r="V195">
        <v>0</v>
      </c>
      <c r="W195">
        <v>0</v>
      </c>
      <c r="X195" cm="1">
        <f t="array" ref="X195">IF(OR(A195='Nom du personnage'!$H$88:$O$88,'Nom du personnage'!$V$88:$AC$88=Magie!A195),1,)</f>
        <v>0</v>
      </c>
      <c r="Y195" t="e">
        <f ca="1">IF('Nom du personnage'!$AC$59&gt;=Magie!D195,1,)</f>
        <v>#N/A</v>
      </c>
      <c r="Z195">
        <f ca="1">IF(AND(A195='Nom du personnage'!$H$88,_xlfn.AGGREGATE(4,6,'Nom du personnage'!$C$91:$D$109)&gt;=Magie!D192),1,0)</f>
        <v>0</v>
      </c>
      <c r="AA195">
        <f ca="1">IF(AND(A195='Nom du personnage'!$V$88,_xlfn.AGGREGATE(4,6,'Nom du personnage'!$Q$91:$R$109)&gt;=Magie!D192),10,0)</f>
        <v>0</v>
      </c>
      <c r="AB195" t="e">
        <f t="shared" ca="1" si="20"/>
        <v>#N/A</v>
      </c>
      <c r="AC195" t="e">
        <f t="shared" ca="1" si="21"/>
        <v>#N/A</v>
      </c>
      <c r="AD195" t="e">
        <f>IF(VLOOKUP('Nom du personnage'!$U$51,Données!$P$3:$R$30,3,FALSE)=1,VLOOKUP(AC195,B195:C374,2,FALSE)+1,VLOOKUP(AC195,B195:C374,2,FALSE))</f>
        <v>#N/A</v>
      </c>
      <c r="AE195" t="e">
        <f t="shared" ca="1" si="22"/>
        <v>#N/A</v>
      </c>
      <c r="AF195" t="e">
        <f t="shared" ca="1" si="23"/>
        <v>#N/A</v>
      </c>
      <c r="AG195" t="e">
        <f>IF(VLOOKUP('Nom du personnage'!$U$51,Données!$P$3:$R$30,3,FALSE)=1,VLOOKUP(AF195,B195:C374,2,FALSE)+1,VLOOKUP(AF195,B195:C374,2,FALSE))</f>
        <v>#N/A</v>
      </c>
      <c r="AH195" t="e">
        <f t="shared" ca="1" si="24"/>
        <v>#N/A</v>
      </c>
    </row>
    <row r="196" spans="1:34">
      <c r="A196" s="2" t="s">
        <v>323</v>
      </c>
      <c r="B196" s="2" t="s">
        <v>522</v>
      </c>
      <c r="C196">
        <v>3</v>
      </c>
      <c r="D196">
        <v>5</v>
      </c>
      <c r="O196" cm="1">
        <f t="array" ref="O196:W196">'Nom du personnage'!$H$88:$P$88</f>
        <v>0</v>
      </c>
      <c r="P196">
        <v>0</v>
      </c>
      <c r="Q196">
        <v>0</v>
      </c>
      <c r="R196">
        <v>0</v>
      </c>
      <c r="S196">
        <v>0</v>
      </c>
      <c r="T196">
        <v>0</v>
      </c>
      <c r="U196">
        <v>0</v>
      </c>
      <c r="V196">
        <v>0</v>
      </c>
      <c r="W196">
        <v>0</v>
      </c>
      <c r="X196" cm="1">
        <f t="array" ref="X196">IF(OR(A196='Nom du personnage'!$H$88:$O$88,'Nom du personnage'!$V$88:$AC$88=Magie!A196),1,)</f>
        <v>0</v>
      </c>
      <c r="Y196" t="e">
        <f ca="1">IF('Nom du personnage'!$AC$59&gt;=Magie!D196,1,)</f>
        <v>#N/A</v>
      </c>
      <c r="Z196">
        <f ca="1">IF(AND(A196='Nom du personnage'!$H$88,_xlfn.AGGREGATE(4,6,'Nom du personnage'!$C$91:$D$109)&gt;=Magie!D193),1,0)</f>
        <v>0</v>
      </c>
      <c r="AA196">
        <f ca="1">IF(AND(A196='Nom du personnage'!$V$88,_xlfn.AGGREGATE(4,6,'Nom du personnage'!$Q$91:$R$109)&gt;=Magie!D193),10,0)</f>
        <v>0</v>
      </c>
      <c r="AB196" t="e">
        <f t="shared" ref="AB196:AB242" ca="1" si="27">+X196+Y196+Z196+AA196</f>
        <v>#N/A</v>
      </c>
      <c r="AC196" t="e">
        <f t="shared" ref="AC196:AC242" ca="1" si="28">IF(AB196=3,B196,)</f>
        <v>#N/A</v>
      </c>
      <c r="AD196" t="e">
        <f>IF(VLOOKUP('Nom du personnage'!$U$51,Données!$P$3:$R$30,3,FALSE)=1,VLOOKUP(AC196,B196:C375,2,FALSE)+1,VLOOKUP(AC196,B196:C375,2,FALSE))</f>
        <v>#N/A</v>
      </c>
      <c r="AE196" t="e">
        <f t="shared" ref="AE196:AE242" ca="1" si="29">VLOOKUP(AC196,B196:D435,3,FALSE)</f>
        <v>#N/A</v>
      </c>
      <c r="AF196" t="e">
        <f t="shared" ref="AF196:AF242" ca="1" si="30">IF(OR(AB196=13,AB196=12),B196,)</f>
        <v>#N/A</v>
      </c>
      <c r="AG196" t="e">
        <f>IF(VLOOKUP('Nom du personnage'!$U$51,Données!$P$3:$R$30,3,FALSE)=1,VLOOKUP(AF196,B196:C375,2,FALSE)+1,VLOOKUP(AF196,B196:C375,2,FALSE))</f>
        <v>#N/A</v>
      </c>
      <c r="AH196" t="e">
        <f t="shared" ref="AH196:AH242" ca="1" si="31">VLOOKUP(AF196,B196:D435,3,FALSE)</f>
        <v>#N/A</v>
      </c>
    </row>
    <row r="197" spans="1:34">
      <c r="A197" s="2" t="s">
        <v>323</v>
      </c>
      <c r="B197" s="2" t="s">
        <v>523</v>
      </c>
      <c r="C197">
        <v>3</v>
      </c>
      <c r="D197">
        <v>5</v>
      </c>
      <c r="O197" cm="1">
        <f t="array" ref="O197:W197">'Nom du personnage'!$H$88:$P$88</f>
        <v>0</v>
      </c>
      <c r="P197">
        <v>0</v>
      </c>
      <c r="Q197">
        <v>0</v>
      </c>
      <c r="R197">
        <v>0</v>
      </c>
      <c r="S197">
        <v>0</v>
      </c>
      <c r="T197">
        <v>0</v>
      </c>
      <c r="U197">
        <v>0</v>
      </c>
      <c r="V197">
        <v>0</v>
      </c>
      <c r="W197">
        <v>0</v>
      </c>
      <c r="X197" cm="1">
        <f t="array" ref="X197">IF(OR(A197='Nom du personnage'!$H$88:$O$88,'Nom du personnage'!$V$88:$AC$88=Magie!A197),1,)</f>
        <v>0</v>
      </c>
      <c r="Y197" t="e">
        <f ca="1">IF('Nom du personnage'!$AC$59&gt;=Magie!D197,1,)</f>
        <v>#N/A</v>
      </c>
      <c r="Z197">
        <f ca="1">IF(AND(A197='Nom du personnage'!$H$88,_xlfn.AGGREGATE(4,6,'Nom du personnage'!$C$91:$D$109)&gt;=Magie!D194),1,0)</f>
        <v>0</v>
      </c>
      <c r="AA197">
        <f ca="1">IF(AND(A197='Nom du personnage'!$V$88,_xlfn.AGGREGATE(4,6,'Nom du personnage'!$Q$91:$R$109)&gt;=Magie!D194),10,0)</f>
        <v>0</v>
      </c>
      <c r="AB197" t="e">
        <f t="shared" ca="1" si="27"/>
        <v>#N/A</v>
      </c>
      <c r="AC197" t="e">
        <f t="shared" ca="1" si="28"/>
        <v>#N/A</v>
      </c>
      <c r="AD197" t="e">
        <f>IF(VLOOKUP('Nom du personnage'!$U$51,Données!$P$3:$R$30,3,FALSE)=1,VLOOKUP(AC197,B197:C376,2,FALSE)+1,VLOOKUP(AC197,B197:C376,2,FALSE))</f>
        <v>#N/A</v>
      </c>
      <c r="AE197" t="e">
        <f t="shared" ca="1" si="29"/>
        <v>#N/A</v>
      </c>
      <c r="AF197" t="e">
        <f t="shared" ca="1" si="30"/>
        <v>#N/A</v>
      </c>
      <c r="AG197" t="e">
        <f>IF(VLOOKUP('Nom du personnage'!$U$51,Données!$P$3:$R$30,3,FALSE)=1,VLOOKUP(AF197,B197:C376,2,FALSE)+1,VLOOKUP(AF197,B197:C376,2,FALSE))</f>
        <v>#N/A</v>
      </c>
      <c r="AH197" t="e">
        <f t="shared" ca="1" si="31"/>
        <v>#N/A</v>
      </c>
    </row>
    <row r="198" spans="1:34">
      <c r="A198" s="2" t="s">
        <v>323</v>
      </c>
      <c r="B198" s="2" t="s">
        <v>524</v>
      </c>
      <c r="C198">
        <v>3</v>
      </c>
      <c r="D198">
        <v>6</v>
      </c>
      <c r="O198" cm="1">
        <f t="array" ref="O198:W198">'Nom du personnage'!$H$88:$P$88</f>
        <v>0</v>
      </c>
      <c r="P198">
        <v>0</v>
      </c>
      <c r="Q198">
        <v>0</v>
      </c>
      <c r="R198">
        <v>0</v>
      </c>
      <c r="S198">
        <v>0</v>
      </c>
      <c r="T198">
        <v>0</v>
      </c>
      <c r="U198">
        <v>0</v>
      </c>
      <c r="V198">
        <v>0</v>
      </c>
      <c r="W198">
        <v>0</v>
      </c>
      <c r="X198" cm="1">
        <f t="array" ref="X198">IF(OR(A198='Nom du personnage'!$H$88:$O$88,'Nom du personnage'!$V$88:$AC$88=Magie!A198),1,)</f>
        <v>0</v>
      </c>
      <c r="Y198" t="e">
        <f ca="1">IF('Nom du personnage'!$AC$59&gt;=Magie!D198,1,)</f>
        <v>#N/A</v>
      </c>
      <c r="Z198">
        <f ca="1">IF(AND(A198='Nom du personnage'!$H$88,_xlfn.AGGREGATE(4,6,'Nom du personnage'!$C$91:$D$109)&gt;=Magie!D195),1,0)</f>
        <v>0</v>
      </c>
      <c r="AA198">
        <f ca="1">IF(AND(A198='Nom du personnage'!$V$88,_xlfn.AGGREGATE(4,6,'Nom du personnage'!$Q$91:$R$109)&gt;=Magie!D195),10,0)</f>
        <v>0</v>
      </c>
      <c r="AB198" t="e">
        <f t="shared" ca="1" si="27"/>
        <v>#N/A</v>
      </c>
      <c r="AC198" t="e">
        <f t="shared" ca="1" si="28"/>
        <v>#N/A</v>
      </c>
      <c r="AD198" t="e">
        <f>IF(VLOOKUP('Nom du personnage'!$U$51,Données!$P$3:$R$30,3,FALSE)=1,VLOOKUP(AC198,B198:C377,2,FALSE)+1,VLOOKUP(AC198,B198:C377,2,FALSE))</f>
        <v>#N/A</v>
      </c>
      <c r="AE198" t="e">
        <f t="shared" ca="1" si="29"/>
        <v>#N/A</v>
      </c>
      <c r="AF198" t="e">
        <f t="shared" ca="1" si="30"/>
        <v>#N/A</v>
      </c>
      <c r="AG198" t="e">
        <f>IF(VLOOKUP('Nom du personnage'!$U$51,Données!$P$3:$R$30,3,FALSE)=1,VLOOKUP(AF198,B198:C377,2,FALSE)+1,VLOOKUP(AF198,B198:C377,2,FALSE))</f>
        <v>#N/A</v>
      </c>
      <c r="AH198" t="e">
        <f t="shared" ca="1" si="31"/>
        <v>#N/A</v>
      </c>
    </row>
    <row r="199" spans="1:34">
      <c r="A199" s="2" t="s">
        <v>323</v>
      </c>
      <c r="B199" s="2" t="s">
        <v>342</v>
      </c>
      <c r="C199">
        <v>3</v>
      </c>
      <c r="D199">
        <v>6</v>
      </c>
      <c r="O199" cm="1">
        <f t="array" ref="O199:W199">'Nom du personnage'!$H$88:$P$88</f>
        <v>0</v>
      </c>
      <c r="P199">
        <v>0</v>
      </c>
      <c r="Q199">
        <v>0</v>
      </c>
      <c r="R199">
        <v>0</v>
      </c>
      <c r="S199">
        <v>0</v>
      </c>
      <c r="T199">
        <v>0</v>
      </c>
      <c r="U199">
        <v>0</v>
      </c>
      <c r="V199">
        <v>0</v>
      </c>
      <c r="W199">
        <v>0</v>
      </c>
      <c r="X199" cm="1">
        <f t="array" ref="X199">IF(OR(A199='Nom du personnage'!$H$88:$O$88,'Nom du personnage'!$V$88:$AC$88=Magie!A199),1,)</f>
        <v>0</v>
      </c>
      <c r="Y199" t="e">
        <f ca="1">IF('Nom du personnage'!$AC$59&gt;=Magie!D199,1,)</f>
        <v>#N/A</v>
      </c>
      <c r="Z199">
        <f ca="1">IF(AND(A199='Nom du personnage'!$H$88,_xlfn.AGGREGATE(4,6,'Nom du personnage'!$C$91:$D$109)&gt;=Magie!D196),1,0)</f>
        <v>0</v>
      </c>
      <c r="AA199">
        <f ca="1">IF(AND(A199='Nom du personnage'!$V$88,_xlfn.AGGREGATE(4,6,'Nom du personnage'!$Q$91:$R$109)&gt;=Magie!D196),10,0)</f>
        <v>0</v>
      </c>
      <c r="AB199" t="e">
        <f t="shared" ca="1" si="27"/>
        <v>#N/A</v>
      </c>
      <c r="AC199" t="e">
        <f t="shared" ca="1" si="28"/>
        <v>#N/A</v>
      </c>
      <c r="AD199" t="e">
        <f>IF(VLOOKUP('Nom du personnage'!$U$51,Données!$P$3:$R$30,3,FALSE)=1,VLOOKUP(AC199,B199:C378,2,FALSE)+1,VLOOKUP(AC199,B199:C378,2,FALSE))</f>
        <v>#N/A</v>
      </c>
      <c r="AE199" t="e">
        <f t="shared" ca="1" si="29"/>
        <v>#N/A</v>
      </c>
      <c r="AF199" t="e">
        <f t="shared" ca="1" si="30"/>
        <v>#N/A</v>
      </c>
      <c r="AG199" t="e">
        <f>IF(VLOOKUP('Nom du personnage'!$U$51,Données!$P$3:$R$30,3,FALSE)=1,VLOOKUP(AF199,B199:C378,2,FALSE)+1,VLOOKUP(AF199,B199:C378,2,FALSE))</f>
        <v>#N/A</v>
      </c>
      <c r="AH199" t="e">
        <f t="shared" ca="1" si="31"/>
        <v>#N/A</v>
      </c>
    </row>
    <row r="200" spans="1:34">
      <c r="A200" s="2" t="s">
        <v>323</v>
      </c>
      <c r="B200" s="2" t="s">
        <v>525</v>
      </c>
      <c r="C200">
        <v>3</v>
      </c>
      <c r="D200">
        <v>6</v>
      </c>
      <c r="O200" cm="1">
        <f t="array" ref="O200:W200">'Nom du personnage'!$H$88:$P$88</f>
        <v>0</v>
      </c>
      <c r="P200">
        <v>0</v>
      </c>
      <c r="Q200">
        <v>0</v>
      </c>
      <c r="R200">
        <v>0</v>
      </c>
      <c r="S200">
        <v>0</v>
      </c>
      <c r="T200">
        <v>0</v>
      </c>
      <c r="U200">
        <v>0</v>
      </c>
      <c r="V200">
        <v>0</v>
      </c>
      <c r="W200">
        <v>0</v>
      </c>
      <c r="X200" cm="1">
        <f t="array" ref="X200">IF(OR(A200='Nom du personnage'!$H$88:$O$88,'Nom du personnage'!$V$88:$AC$88=Magie!A200),1,)</f>
        <v>0</v>
      </c>
      <c r="Y200" t="e">
        <f ca="1">IF('Nom du personnage'!$AC$59&gt;=Magie!D200,1,)</f>
        <v>#N/A</v>
      </c>
      <c r="Z200">
        <f ca="1">IF(AND(A200='Nom du personnage'!$H$88,_xlfn.AGGREGATE(4,6,'Nom du personnage'!$C$91:$D$109)&gt;=Magie!D197),1,0)</f>
        <v>0</v>
      </c>
      <c r="AA200">
        <f ca="1">IF(AND(A200='Nom du personnage'!$V$88,_xlfn.AGGREGATE(4,6,'Nom du personnage'!$Q$91:$R$109)&gt;=Magie!D197),10,0)</f>
        <v>0</v>
      </c>
      <c r="AB200" t="e">
        <f t="shared" ca="1" si="27"/>
        <v>#N/A</v>
      </c>
      <c r="AC200" t="e">
        <f t="shared" ca="1" si="28"/>
        <v>#N/A</v>
      </c>
      <c r="AD200" t="e">
        <f>IF(VLOOKUP('Nom du personnage'!$U$51,Données!$P$3:$R$30,3,FALSE)=1,VLOOKUP(AC200,B200:C379,2,FALSE)+1,VLOOKUP(AC200,B200:C379,2,FALSE))</f>
        <v>#N/A</v>
      </c>
      <c r="AE200" t="e">
        <f t="shared" ca="1" si="29"/>
        <v>#N/A</v>
      </c>
      <c r="AF200" t="e">
        <f t="shared" ca="1" si="30"/>
        <v>#N/A</v>
      </c>
      <c r="AG200" t="e">
        <f>IF(VLOOKUP('Nom du personnage'!$U$51,Données!$P$3:$R$30,3,FALSE)=1,VLOOKUP(AF200,B200:C379,2,FALSE)+1,VLOOKUP(AF200,B200:C379,2,FALSE))</f>
        <v>#N/A</v>
      </c>
      <c r="AH200" t="e">
        <f t="shared" ca="1" si="31"/>
        <v>#N/A</v>
      </c>
    </row>
    <row r="201" spans="1:34">
      <c r="A201" s="2" t="s">
        <v>323</v>
      </c>
      <c r="B201" s="2" t="s">
        <v>526</v>
      </c>
      <c r="C201">
        <v>4</v>
      </c>
      <c r="D201">
        <v>7</v>
      </c>
      <c r="O201" cm="1">
        <f t="array" ref="O201:W201">'Nom du personnage'!$H$88:$P$88</f>
        <v>0</v>
      </c>
      <c r="P201">
        <v>0</v>
      </c>
      <c r="Q201">
        <v>0</v>
      </c>
      <c r="R201">
        <v>0</v>
      </c>
      <c r="S201">
        <v>0</v>
      </c>
      <c r="T201">
        <v>0</v>
      </c>
      <c r="U201">
        <v>0</v>
      </c>
      <c r="V201">
        <v>0</v>
      </c>
      <c r="W201">
        <v>0</v>
      </c>
      <c r="X201" cm="1">
        <f t="array" ref="X201">IF(OR(A201='Nom du personnage'!$H$88:$O$88,'Nom du personnage'!$V$88:$AC$88=Magie!A201),1,)</f>
        <v>0</v>
      </c>
      <c r="Y201" t="e">
        <f ca="1">IF('Nom du personnage'!$AC$59&gt;=Magie!D201,1,)</f>
        <v>#N/A</v>
      </c>
      <c r="Z201">
        <f ca="1">IF(AND(A201='Nom du personnage'!$H$88,_xlfn.AGGREGATE(4,6,'Nom du personnage'!$C$91:$D$109)&gt;=Magie!D198),1,0)</f>
        <v>0</v>
      </c>
      <c r="AA201">
        <f ca="1">IF(AND(A201='Nom du personnage'!$V$88,_xlfn.AGGREGATE(4,6,'Nom du personnage'!$Q$91:$R$109)&gt;=Magie!D198),10,0)</f>
        <v>0</v>
      </c>
      <c r="AB201" t="e">
        <f t="shared" ca="1" si="27"/>
        <v>#N/A</v>
      </c>
      <c r="AC201" t="e">
        <f t="shared" ca="1" si="28"/>
        <v>#N/A</v>
      </c>
      <c r="AD201" t="e">
        <f>IF(VLOOKUP('Nom du personnage'!$U$51,Données!$P$3:$R$30,3,FALSE)=1,VLOOKUP(AC201,B201:C380,2,FALSE)+1,VLOOKUP(AC201,B201:C380,2,FALSE))</f>
        <v>#N/A</v>
      </c>
      <c r="AE201" t="e">
        <f t="shared" ca="1" si="29"/>
        <v>#N/A</v>
      </c>
      <c r="AF201" t="e">
        <f t="shared" ca="1" si="30"/>
        <v>#N/A</v>
      </c>
      <c r="AG201" t="e">
        <f>IF(VLOOKUP('Nom du personnage'!$U$51,Données!$P$3:$R$30,3,FALSE)=1,VLOOKUP(AF201,B201:C380,2,FALSE)+1,VLOOKUP(AF201,B201:C380,2,FALSE))</f>
        <v>#N/A</v>
      </c>
      <c r="AH201" t="e">
        <f t="shared" ca="1" si="31"/>
        <v>#N/A</v>
      </c>
    </row>
    <row r="202" spans="1:34">
      <c r="A202" s="2" t="s">
        <v>323</v>
      </c>
      <c r="B202" s="2" t="s">
        <v>527</v>
      </c>
      <c r="C202">
        <v>4</v>
      </c>
      <c r="D202">
        <v>7</v>
      </c>
      <c r="O202" cm="1">
        <f t="array" ref="O202:W202">'Nom du personnage'!$H$88:$P$88</f>
        <v>0</v>
      </c>
      <c r="P202">
        <v>0</v>
      </c>
      <c r="Q202">
        <v>0</v>
      </c>
      <c r="R202">
        <v>0</v>
      </c>
      <c r="S202">
        <v>0</v>
      </c>
      <c r="T202">
        <v>0</v>
      </c>
      <c r="U202">
        <v>0</v>
      </c>
      <c r="V202">
        <v>0</v>
      </c>
      <c r="W202">
        <v>0</v>
      </c>
      <c r="X202" cm="1">
        <f t="array" ref="X202">IF(OR(A202='Nom du personnage'!$H$88:$O$88,'Nom du personnage'!$V$88:$AC$88=Magie!A202),1,)</f>
        <v>0</v>
      </c>
      <c r="Y202" t="e">
        <f ca="1">IF('Nom du personnage'!$AC$59&gt;=Magie!D202,1,)</f>
        <v>#N/A</v>
      </c>
      <c r="Z202">
        <f ca="1">IF(AND(A202='Nom du personnage'!$H$88,_xlfn.AGGREGATE(4,6,'Nom du personnage'!$C$91:$D$109)&gt;=Magie!D199),1,0)</f>
        <v>0</v>
      </c>
      <c r="AA202">
        <f ca="1">IF(AND(A202='Nom du personnage'!$V$88,_xlfn.AGGREGATE(4,6,'Nom du personnage'!$Q$91:$R$109)&gt;=Magie!D199),10,0)</f>
        <v>0</v>
      </c>
      <c r="AB202" t="e">
        <f t="shared" ca="1" si="27"/>
        <v>#N/A</v>
      </c>
      <c r="AC202" t="e">
        <f t="shared" ca="1" si="28"/>
        <v>#N/A</v>
      </c>
      <c r="AD202" t="e">
        <f>IF(VLOOKUP('Nom du personnage'!$U$51,Données!$P$3:$R$30,3,FALSE)=1,VLOOKUP(AC202,B202:C381,2,FALSE)+1,VLOOKUP(AC202,B202:C381,2,FALSE))</f>
        <v>#N/A</v>
      </c>
      <c r="AE202" t="e">
        <f t="shared" ca="1" si="29"/>
        <v>#N/A</v>
      </c>
      <c r="AF202" t="e">
        <f t="shared" ca="1" si="30"/>
        <v>#N/A</v>
      </c>
      <c r="AG202" t="e">
        <f>IF(VLOOKUP('Nom du personnage'!$U$51,Données!$P$3:$R$30,3,FALSE)=1,VLOOKUP(AF202,B202:C381,2,FALSE)+1,VLOOKUP(AF202,B202:C381,2,FALSE))</f>
        <v>#N/A</v>
      </c>
      <c r="AH202" t="e">
        <f t="shared" ca="1" si="31"/>
        <v>#N/A</v>
      </c>
    </row>
    <row r="203" spans="1:34">
      <c r="A203" s="2" t="s">
        <v>323</v>
      </c>
      <c r="B203" s="2" t="s">
        <v>474</v>
      </c>
      <c r="C203">
        <v>4</v>
      </c>
      <c r="D203">
        <v>7</v>
      </c>
      <c r="O203" cm="1">
        <f t="array" ref="O203:W203">'Nom du personnage'!$H$88:$P$88</f>
        <v>0</v>
      </c>
      <c r="P203">
        <v>0</v>
      </c>
      <c r="Q203">
        <v>0</v>
      </c>
      <c r="R203">
        <v>0</v>
      </c>
      <c r="S203">
        <v>0</v>
      </c>
      <c r="T203">
        <v>0</v>
      </c>
      <c r="U203">
        <v>0</v>
      </c>
      <c r="V203">
        <v>0</v>
      </c>
      <c r="W203">
        <v>0</v>
      </c>
      <c r="X203" cm="1">
        <f t="array" ref="X203">IF(OR(A203='Nom du personnage'!$H$88:$O$88,'Nom du personnage'!$V$88:$AC$88=Magie!A203),1,)</f>
        <v>0</v>
      </c>
      <c r="Y203" t="e">
        <f ca="1">IF('Nom du personnage'!$AC$59&gt;=Magie!D203,1,)</f>
        <v>#N/A</v>
      </c>
      <c r="Z203">
        <f ca="1">IF(AND(A203='Nom du personnage'!$H$88,_xlfn.AGGREGATE(4,6,'Nom du personnage'!$C$91:$D$109)&gt;=Magie!D200),1,0)</f>
        <v>0</v>
      </c>
      <c r="AA203">
        <f ca="1">IF(AND(A203='Nom du personnage'!$V$88,_xlfn.AGGREGATE(4,6,'Nom du personnage'!$Q$91:$R$109)&gt;=Magie!D200),10,0)</f>
        <v>0</v>
      </c>
      <c r="AB203" t="e">
        <f t="shared" ca="1" si="27"/>
        <v>#N/A</v>
      </c>
      <c r="AC203" t="e">
        <f t="shared" ca="1" si="28"/>
        <v>#N/A</v>
      </c>
      <c r="AD203" t="e">
        <f>IF(VLOOKUP('Nom du personnage'!$U$51,Données!$P$3:$R$30,3,FALSE)=1,VLOOKUP(AC203,B203:C382,2,FALSE)+1,VLOOKUP(AC203,B203:C382,2,FALSE))</f>
        <v>#N/A</v>
      </c>
      <c r="AE203" t="e">
        <f t="shared" ca="1" si="29"/>
        <v>#N/A</v>
      </c>
      <c r="AF203" t="e">
        <f t="shared" ca="1" si="30"/>
        <v>#N/A</v>
      </c>
      <c r="AG203" t="e">
        <f>IF(VLOOKUP('Nom du personnage'!$U$51,Données!$P$3:$R$30,3,FALSE)=1,VLOOKUP(AF203,B203:C382,2,FALSE)+1,VLOOKUP(AF203,B203:C382,2,FALSE))</f>
        <v>#N/A</v>
      </c>
      <c r="AH203" t="e">
        <f t="shared" ca="1" si="31"/>
        <v>#N/A</v>
      </c>
    </row>
    <row r="204" spans="1:34">
      <c r="A204" s="2" t="s">
        <v>323</v>
      </c>
      <c r="B204" s="2" t="s">
        <v>528</v>
      </c>
      <c r="C204">
        <v>4</v>
      </c>
      <c r="D204">
        <v>8</v>
      </c>
      <c r="O204" cm="1">
        <f t="array" ref="O204:W204">'Nom du personnage'!$H$88:$P$88</f>
        <v>0</v>
      </c>
      <c r="P204">
        <v>0</v>
      </c>
      <c r="Q204">
        <v>0</v>
      </c>
      <c r="R204">
        <v>0</v>
      </c>
      <c r="S204">
        <v>0</v>
      </c>
      <c r="T204">
        <v>0</v>
      </c>
      <c r="U204">
        <v>0</v>
      </c>
      <c r="V204">
        <v>0</v>
      </c>
      <c r="W204">
        <v>0</v>
      </c>
      <c r="X204" cm="1">
        <f t="array" ref="X204">IF(OR(A204='Nom du personnage'!$H$88:$O$88,'Nom du personnage'!$V$88:$AC$88=Magie!A204),1,)</f>
        <v>0</v>
      </c>
      <c r="Y204" t="e">
        <f ca="1">IF('Nom du personnage'!$AC$59&gt;=Magie!D204,1,)</f>
        <v>#N/A</v>
      </c>
      <c r="Z204">
        <f ca="1">IF(AND(A204='Nom du personnage'!$H$88,_xlfn.AGGREGATE(4,6,'Nom du personnage'!$C$91:$D$109)&gt;=Magie!D201),1,0)</f>
        <v>0</v>
      </c>
      <c r="AA204">
        <f ca="1">IF(AND(A204='Nom du personnage'!$V$88,_xlfn.AGGREGATE(4,6,'Nom du personnage'!$Q$91:$R$109)&gt;=Magie!D201),10,0)</f>
        <v>0</v>
      </c>
      <c r="AB204" t="e">
        <f t="shared" ca="1" si="27"/>
        <v>#N/A</v>
      </c>
      <c r="AC204" t="e">
        <f t="shared" ca="1" si="28"/>
        <v>#N/A</v>
      </c>
      <c r="AD204" t="e">
        <f>IF(VLOOKUP('Nom du personnage'!$U$51,Données!$P$3:$R$30,3,FALSE)=1,VLOOKUP(AC204,B204:C383,2,FALSE)+1,VLOOKUP(AC204,B204:C383,2,FALSE))</f>
        <v>#N/A</v>
      </c>
      <c r="AE204" t="e">
        <f t="shared" ca="1" si="29"/>
        <v>#N/A</v>
      </c>
      <c r="AF204" t="e">
        <f t="shared" ca="1" si="30"/>
        <v>#N/A</v>
      </c>
      <c r="AG204" t="e">
        <f>IF(VLOOKUP('Nom du personnage'!$U$51,Données!$P$3:$R$30,3,FALSE)=1,VLOOKUP(AF204,B204:C383,2,FALSE)+1,VLOOKUP(AF204,B204:C383,2,FALSE))</f>
        <v>#N/A</v>
      </c>
      <c r="AH204" t="e">
        <f t="shared" ca="1" si="31"/>
        <v>#N/A</v>
      </c>
    </row>
    <row r="205" spans="1:34">
      <c r="A205" s="2" t="s">
        <v>323</v>
      </c>
      <c r="B205" s="2" t="s">
        <v>529</v>
      </c>
      <c r="C205">
        <v>4</v>
      </c>
      <c r="D205">
        <v>8</v>
      </c>
      <c r="O205" cm="1">
        <f t="array" ref="O205:W205">'Nom du personnage'!$H$88:$P$88</f>
        <v>0</v>
      </c>
      <c r="P205">
        <v>0</v>
      </c>
      <c r="Q205">
        <v>0</v>
      </c>
      <c r="R205">
        <v>0</v>
      </c>
      <c r="S205">
        <v>0</v>
      </c>
      <c r="T205">
        <v>0</v>
      </c>
      <c r="U205">
        <v>0</v>
      </c>
      <c r="V205">
        <v>0</v>
      </c>
      <c r="W205">
        <v>0</v>
      </c>
      <c r="X205" cm="1">
        <f t="array" ref="X205">IF(OR(A205='Nom du personnage'!$H$88:$O$88,'Nom du personnage'!$V$88:$AC$88=Magie!A205),1,)</f>
        <v>0</v>
      </c>
      <c r="Y205" t="e">
        <f ca="1">IF('Nom du personnage'!$AC$59&gt;=Magie!D205,1,)</f>
        <v>#N/A</v>
      </c>
      <c r="Z205">
        <f ca="1">IF(AND(A205='Nom du personnage'!$H$88,_xlfn.AGGREGATE(4,6,'Nom du personnage'!$C$91:$D$109)&gt;=Magie!D202),1,0)</f>
        <v>0</v>
      </c>
      <c r="AA205">
        <f ca="1">IF(AND(A205='Nom du personnage'!$V$88,_xlfn.AGGREGATE(4,6,'Nom du personnage'!$Q$91:$R$109)&gt;=Magie!D202),10,0)</f>
        <v>0</v>
      </c>
      <c r="AB205" t="e">
        <f t="shared" ca="1" si="27"/>
        <v>#N/A</v>
      </c>
      <c r="AC205" t="e">
        <f t="shared" ca="1" si="28"/>
        <v>#N/A</v>
      </c>
      <c r="AD205" t="e">
        <f>IF(VLOOKUP('Nom du personnage'!$U$51,Données!$P$3:$R$30,3,FALSE)=1,VLOOKUP(AC205,B205:C384,2,FALSE)+1,VLOOKUP(AC205,B205:C384,2,FALSE))</f>
        <v>#N/A</v>
      </c>
      <c r="AE205" t="e">
        <f t="shared" ca="1" si="29"/>
        <v>#N/A</v>
      </c>
      <c r="AF205" t="e">
        <f t="shared" ca="1" si="30"/>
        <v>#N/A</v>
      </c>
      <c r="AG205" t="e">
        <f>IF(VLOOKUP('Nom du personnage'!$U$51,Données!$P$3:$R$30,3,FALSE)=1,VLOOKUP(AF205,B205:C384,2,FALSE)+1,VLOOKUP(AF205,B205:C384,2,FALSE))</f>
        <v>#N/A</v>
      </c>
      <c r="AH205" t="e">
        <f t="shared" ca="1" si="31"/>
        <v>#N/A</v>
      </c>
    </row>
    <row r="206" spans="1:34">
      <c r="A206" s="2" t="s">
        <v>323</v>
      </c>
      <c r="B206" s="2" t="s">
        <v>530</v>
      </c>
      <c r="C206">
        <v>4</v>
      </c>
      <c r="D206">
        <v>8</v>
      </c>
      <c r="O206" cm="1">
        <f t="array" ref="O206:W206">'Nom du personnage'!$H$88:$P$88</f>
        <v>0</v>
      </c>
      <c r="P206">
        <v>0</v>
      </c>
      <c r="Q206">
        <v>0</v>
      </c>
      <c r="R206">
        <v>0</v>
      </c>
      <c r="S206">
        <v>0</v>
      </c>
      <c r="T206">
        <v>0</v>
      </c>
      <c r="U206">
        <v>0</v>
      </c>
      <c r="V206">
        <v>0</v>
      </c>
      <c r="W206">
        <v>0</v>
      </c>
      <c r="X206" cm="1">
        <f t="array" ref="X206">IF(OR(A206='Nom du personnage'!$H$88:$O$88,'Nom du personnage'!$V$88:$AC$88=Magie!A206),1,)</f>
        <v>0</v>
      </c>
      <c r="Y206" t="e">
        <f ca="1">IF('Nom du personnage'!$AC$59&gt;=Magie!D206,1,)</f>
        <v>#N/A</v>
      </c>
      <c r="Z206">
        <f ca="1">IF(AND(A206='Nom du personnage'!$H$88,_xlfn.AGGREGATE(4,6,'Nom du personnage'!$C$91:$D$109)&gt;=Magie!D203),1,0)</f>
        <v>0</v>
      </c>
      <c r="AA206">
        <f ca="1">IF(AND(A206='Nom du personnage'!$V$88,_xlfn.AGGREGATE(4,6,'Nom du personnage'!$Q$91:$R$109)&gt;=Magie!D203),10,0)</f>
        <v>0</v>
      </c>
      <c r="AB206" t="e">
        <f t="shared" ca="1" si="27"/>
        <v>#N/A</v>
      </c>
      <c r="AC206" t="e">
        <f t="shared" ca="1" si="28"/>
        <v>#N/A</v>
      </c>
      <c r="AD206" t="e">
        <f>IF(VLOOKUP('Nom du personnage'!$U$51,Données!$P$3:$R$30,3,FALSE)=1,VLOOKUP(AC206,B206:C385,2,FALSE)+1,VLOOKUP(AC206,B206:C385,2,FALSE))</f>
        <v>#N/A</v>
      </c>
      <c r="AE206" t="e">
        <f t="shared" ca="1" si="29"/>
        <v>#N/A</v>
      </c>
      <c r="AF206" t="e">
        <f t="shared" ca="1" si="30"/>
        <v>#N/A</v>
      </c>
      <c r="AG206" t="e">
        <f>IF(VLOOKUP('Nom du personnage'!$U$51,Données!$P$3:$R$30,3,FALSE)=1,VLOOKUP(AF206,B206:C385,2,FALSE)+1,VLOOKUP(AF206,B206:C385,2,FALSE))</f>
        <v>#N/A</v>
      </c>
      <c r="AH206" t="e">
        <f t="shared" ca="1" si="31"/>
        <v>#N/A</v>
      </c>
    </row>
    <row r="207" spans="1:34">
      <c r="A207" s="2" t="s">
        <v>323</v>
      </c>
      <c r="B207" s="2" t="s">
        <v>408</v>
      </c>
      <c r="C207">
        <v>4</v>
      </c>
      <c r="D207">
        <v>9</v>
      </c>
      <c r="O207" cm="1">
        <f t="array" ref="O207:W207">'Nom du personnage'!$H$88:$P$88</f>
        <v>0</v>
      </c>
      <c r="P207">
        <v>0</v>
      </c>
      <c r="Q207">
        <v>0</v>
      </c>
      <c r="R207">
        <v>0</v>
      </c>
      <c r="S207">
        <v>0</v>
      </c>
      <c r="T207">
        <v>0</v>
      </c>
      <c r="U207">
        <v>0</v>
      </c>
      <c r="V207">
        <v>0</v>
      </c>
      <c r="W207">
        <v>0</v>
      </c>
      <c r="X207" cm="1">
        <f t="array" ref="X207">IF(OR(A207='Nom du personnage'!$H$88:$O$88,'Nom du personnage'!$V$88:$AC$88=Magie!A207),1,)</f>
        <v>0</v>
      </c>
      <c r="Y207" t="e">
        <f ca="1">IF('Nom du personnage'!$AC$59&gt;=Magie!D207,1,)</f>
        <v>#N/A</v>
      </c>
      <c r="Z207">
        <f ca="1">IF(AND(A207='Nom du personnage'!$H$88,_xlfn.AGGREGATE(4,6,'Nom du personnage'!$C$91:$D$109)&gt;=Magie!D204),1,0)</f>
        <v>0</v>
      </c>
      <c r="AA207">
        <f ca="1">IF(AND(A207='Nom du personnage'!$V$88,_xlfn.AGGREGATE(4,6,'Nom du personnage'!$Q$91:$R$109)&gt;=Magie!D204),10,0)</f>
        <v>0</v>
      </c>
      <c r="AB207" t="e">
        <f t="shared" ca="1" si="27"/>
        <v>#N/A</v>
      </c>
      <c r="AC207" t="e">
        <f t="shared" ca="1" si="28"/>
        <v>#N/A</v>
      </c>
      <c r="AD207" t="e">
        <f>IF(VLOOKUP('Nom du personnage'!$U$51,Données!$P$3:$R$30,3,FALSE)=1,VLOOKUP(AC207,B207:C386,2,FALSE)+1,VLOOKUP(AC207,B207:C386,2,FALSE))</f>
        <v>#N/A</v>
      </c>
      <c r="AE207" t="e">
        <f t="shared" ca="1" si="29"/>
        <v>#N/A</v>
      </c>
      <c r="AF207" t="e">
        <f t="shared" ca="1" si="30"/>
        <v>#N/A</v>
      </c>
      <c r="AG207" t="e">
        <f>IF(VLOOKUP('Nom du personnage'!$U$51,Données!$P$3:$R$30,3,FALSE)=1,VLOOKUP(AF207,B207:C386,2,FALSE)+1,VLOOKUP(AF207,B207:C386,2,FALSE))</f>
        <v>#N/A</v>
      </c>
      <c r="AH207" t="e">
        <f t="shared" ca="1" si="31"/>
        <v>#N/A</v>
      </c>
    </row>
    <row r="208" spans="1:34">
      <c r="A208" s="2" t="s">
        <v>323</v>
      </c>
      <c r="B208" s="2" t="s">
        <v>531</v>
      </c>
      <c r="C208">
        <v>4</v>
      </c>
      <c r="D208">
        <v>9</v>
      </c>
      <c r="O208" cm="1">
        <f t="array" ref="O208:W208">'Nom du personnage'!$H$88:$P$88</f>
        <v>0</v>
      </c>
      <c r="P208">
        <v>0</v>
      </c>
      <c r="Q208">
        <v>0</v>
      </c>
      <c r="R208">
        <v>0</v>
      </c>
      <c r="S208">
        <v>0</v>
      </c>
      <c r="T208">
        <v>0</v>
      </c>
      <c r="U208">
        <v>0</v>
      </c>
      <c r="V208">
        <v>0</v>
      </c>
      <c r="W208">
        <v>0</v>
      </c>
      <c r="X208" cm="1">
        <f t="array" ref="X208">IF(OR(A208='Nom du personnage'!$H$88:$O$88,'Nom du personnage'!$V$88:$AC$88=Magie!A208),1,)</f>
        <v>0</v>
      </c>
      <c r="Y208" t="e">
        <f ca="1">IF('Nom du personnage'!$AC$59&gt;=Magie!D208,1,)</f>
        <v>#N/A</v>
      </c>
      <c r="Z208">
        <f ca="1">IF(AND(A208='Nom du personnage'!$H$88,_xlfn.AGGREGATE(4,6,'Nom du personnage'!$C$91:$D$109)&gt;=Magie!D205),1,0)</f>
        <v>0</v>
      </c>
      <c r="AA208">
        <f ca="1">IF(AND(A208='Nom du personnage'!$V$88,_xlfn.AGGREGATE(4,6,'Nom du personnage'!$Q$91:$R$109)&gt;=Magie!D205),10,0)</f>
        <v>0</v>
      </c>
      <c r="AB208" t="e">
        <f t="shared" ca="1" si="27"/>
        <v>#N/A</v>
      </c>
      <c r="AC208" t="e">
        <f t="shared" ca="1" si="28"/>
        <v>#N/A</v>
      </c>
      <c r="AD208" t="e">
        <f>IF(VLOOKUP('Nom du personnage'!$U$51,Données!$P$3:$R$30,3,FALSE)=1,VLOOKUP(AC208,B208:C387,2,FALSE)+1,VLOOKUP(AC208,B208:C387,2,FALSE))</f>
        <v>#N/A</v>
      </c>
      <c r="AE208" t="e">
        <f t="shared" ca="1" si="29"/>
        <v>#N/A</v>
      </c>
      <c r="AF208" t="e">
        <f t="shared" ca="1" si="30"/>
        <v>#N/A</v>
      </c>
      <c r="AG208" t="e">
        <f>IF(VLOOKUP('Nom du personnage'!$U$51,Données!$P$3:$R$30,3,FALSE)=1,VLOOKUP(AF208,B208:C387,2,FALSE)+1,VLOOKUP(AF208,B208:C387,2,FALSE))</f>
        <v>#N/A</v>
      </c>
      <c r="AH208" t="e">
        <f t="shared" ca="1" si="31"/>
        <v>#N/A</v>
      </c>
    </row>
    <row r="209" spans="1:34">
      <c r="A209" s="2" t="s">
        <v>323</v>
      </c>
      <c r="B209" s="2" t="s">
        <v>532</v>
      </c>
      <c r="C209">
        <v>4</v>
      </c>
      <c r="D209">
        <v>9</v>
      </c>
      <c r="O209" cm="1">
        <f t="array" ref="O209:W209">'Nom du personnage'!$H$88:$P$88</f>
        <v>0</v>
      </c>
      <c r="P209">
        <v>0</v>
      </c>
      <c r="Q209">
        <v>0</v>
      </c>
      <c r="R209">
        <v>0</v>
      </c>
      <c r="S209">
        <v>0</v>
      </c>
      <c r="T209">
        <v>0</v>
      </c>
      <c r="U209">
        <v>0</v>
      </c>
      <c r="V209">
        <v>0</v>
      </c>
      <c r="W209">
        <v>0</v>
      </c>
      <c r="X209" cm="1">
        <f t="array" ref="X209">IF(OR(A209='Nom du personnage'!$H$88:$O$88,'Nom du personnage'!$V$88:$AC$88=Magie!A209),1,)</f>
        <v>0</v>
      </c>
      <c r="Y209" t="e">
        <f ca="1">IF('Nom du personnage'!$AC$59&gt;=Magie!D209,1,)</f>
        <v>#N/A</v>
      </c>
      <c r="Z209">
        <f ca="1">IF(AND(A209='Nom du personnage'!$H$88,_xlfn.AGGREGATE(4,6,'Nom du personnage'!$C$91:$D$109)&gt;=Magie!D206),1,0)</f>
        <v>0</v>
      </c>
      <c r="AA209">
        <f ca="1">IF(AND(A209='Nom du personnage'!$V$88,_xlfn.AGGREGATE(4,6,'Nom du personnage'!$Q$91:$R$109)&gt;=Magie!D206),10,0)</f>
        <v>0</v>
      </c>
      <c r="AB209" t="e">
        <f t="shared" ca="1" si="27"/>
        <v>#N/A</v>
      </c>
      <c r="AC209" t="e">
        <f t="shared" ca="1" si="28"/>
        <v>#N/A</v>
      </c>
      <c r="AD209" t="e">
        <f>IF(VLOOKUP('Nom du personnage'!$U$51,Données!$P$3:$R$30,3,FALSE)=1,VLOOKUP(AC209,B209:C388,2,FALSE)+1,VLOOKUP(AC209,B209:C388,2,FALSE))</f>
        <v>#N/A</v>
      </c>
      <c r="AE209" t="e">
        <f t="shared" ca="1" si="29"/>
        <v>#N/A</v>
      </c>
      <c r="AF209" t="e">
        <f t="shared" ca="1" si="30"/>
        <v>#N/A</v>
      </c>
      <c r="AG209" t="e">
        <f>IF(VLOOKUP('Nom du personnage'!$U$51,Données!$P$3:$R$30,3,FALSE)=1,VLOOKUP(AF209,B209:C388,2,FALSE)+1,VLOOKUP(AF209,B209:C388,2,FALSE))</f>
        <v>#N/A</v>
      </c>
      <c r="AH209" t="e">
        <f t="shared" ca="1" si="31"/>
        <v>#N/A</v>
      </c>
    </row>
    <row r="210" spans="1:34">
      <c r="A210" s="2" t="s">
        <v>323</v>
      </c>
      <c r="B210" s="2" t="s">
        <v>533</v>
      </c>
      <c r="C210">
        <v>5</v>
      </c>
      <c r="D210">
        <v>10</v>
      </c>
      <c r="O210" cm="1">
        <f t="array" ref="O210:W210">'Nom du personnage'!$H$88:$P$88</f>
        <v>0</v>
      </c>
      <c r="P210">
        <v>0</v>
      </c>
      <c r="Q210">
        <v>0</v>
      </c>
      <c r="R210">
        <v>0</v>
      </c>
      <c r="S210">
        <v>0</v>
      </c>
      <c r="T210">
        <v>0</v>
      </c>
      <c r="U210">
        <v>0</v>
      </c>
      <c r="V210">
        <v>0</v>
      </c>
      <c r="W210">
        <v>0</v>
      </c>
      <c r="X210" cm="1">
        <f t="array" ref="X210">IF(OR(A210='Nom du personnage'!$H$88:$O$88,'Nom du personnage'!$V$88:$AC$88=Magie!A210),1,)</f>
        <v>0</v>
      </c>
      <c r="Y210" t="e">
        <f ca="1">IF('Nom du personnage'!$AC$59&gt;=Magie!D210,1,)</f>
        <v>#N/A</v>
      </c>
      <c r="Z210">
        <f ca="1">IF(AND(A210='Nom du personnage'!$H$88,_xlfn.AGGREGATE(4,6,'Nom du personnage'!$C$91:$D$109)&gt;=Magie!D207),1,0)</f>
        <v>0</v>
      </c>
      <c r="AA210">
        <f ca="1">IF(AND(A210='Nom du personnage'!$V$88,_xlfn.AGGREGATE(4,6,'Nom du personnage'!$Q$91:$R$109)&gt;=Magie!D207),10,0)</f>
        <v>0</v>
      </c>
      <c r="AB210" t="e">
        <f t="shared" ca="1" si="27"/>
        <v>#N/A</v>
      </c>
      <c r="AC210" t="e">
        <f t="shared" ca="1" si="28"/>
        <v>#N/A</v>
      </c>
      <c r="AD210" t="e">
        <f>IF(VLOOKUP('Nom du personnage'!$U$51,Données!$P$3:$R$30,3,FALSE)=1,VLOOKUP(AC210,B210:C389,2,FALSE)+1,VLOOKUP(AC210,B210:C389,2,FALSE))</f>
        <v>#N/A</v>
      </c>
      <c r="AE210" t="e">
        <f t="shared" ca="1" si="29"/>
        <v>#N/A</v>
      </c>
      <c r="AF210" t="e">
        <f t="shared" ca="1" si="30"/>
        <v>#N/A</v>
      </c>
      <c r="AG210" t="e">
        <f>IF(VLOOKUP('Nom du personnage'!$U$51,Données!$P$3:$R$30,3,FALSE)=1,VLOOKUP(AF210,B210:C389,2,FALSE)+1,VLOOKUP(AF210,B210:C389,2,FALSE))</f>
        <v>#N/A</v>
      </c>
      <c r="AH210" t="e">
        <f t="shared" ca="1" si="31"/>
        <v>#N/A</v>
      </c>
    </row>
    <row r="211" spans="1:34">
      <c r="A211" s="2" t="s">
        <v>323</v>
      </c>
      <c r="B211" s="2" t="s">
        <v>534</v>
      </c>
      <c r="C211">
        <v>5</v>
      </c>
      <c r="D211">
        <v>10</v>
      </c>
      <c r="O211" cm="1">
        <f t="array" ref="O211:W211">'Nom du personnage'!$H$88:$P$88</f>
        <v>0</v>
      </c>
      <c r="P211">
        <v>0</v>
      </c>
      <c r="Q211">
        <v>0</v>
      </c>
      <c r="R211">
        <v>0</v>
      </c>
      <c r="S211">
        <v>0</v>
      </c>
      <c r="T211">
        <v>0</v>
      </c>
      <c r="U211">
        <v>0</v>
      </c>
      <c r="V211">
        <v>0</v>
      </c>
      <c r="W211">
        <v>0</v>
      </c>
      <c r="X211" cm="1">
        <f t="array" ref="X211">IF(OR(A211='Nom du personnage'!$H$88:$O$88,'Nom du personnage'!$V$88:$AC$88=Magie!A211),1,)</f>
        <v>0</v>
      </c>
      <c r="Y211" t="e">
        <f ca="1">IF('Nom du personnage'!$AC$59&gt;=Magie!D211,1,)</f>
        <v>#N/A</v>
      </c>
      <c r="Z211">
        <f ca="1">IF(AND(A211='Nom du personnage'!$H$88,_xlfn.AGGREGATE(4,6,'Nom du personnage'!$C$91:$D$109)&gt;=Magie!D208),1,0)</f>
        <v>0</v>
      </c>
      <c r="AA211">
        <f ca="1">IF(AND(A211='Nom du personnage'!$V$88,_xlfn.AGGREGATE(4,6,'Nom du personnage'!$Q$91:$R$109)&gt;=Magie!D208),10,0)</f>
        <v>0</v>
      </c>
      <c r="AB211" t="e">
        <f t="shared" ca="1" si="27"/>
        <v>#N/A</v>
      </c>
      <c r="AC211" t="e">
        <f t="shared" ca="1" si="28"/>
        <v>#N/A</v>
      </c>
      <c r="AD211" t="e">
        <f>IF(VLOOKUP('Nom du personnage'!$U$51,Données!$P$3:$R$30,3,FALSE)=1,VLOOKUP(AC211,B211:C390,2,FALSE)+1,VLOOKUP(AC211,B211:C390,2,FALSE))</f>
        <v>#N/A</v>
      </c>
      <c r="AE211" t="e">
        <f t="shared" ca="1" si="29"/>
        <v>#N/A</v>
      </c>
      <c r="AF211" t="e">
        <f t="shared" ca="1" si="30"/>
        <v>#N/A</v>
      </c>
      <c r="AG211" t="e">
        <f>IF(VLOOKUP('Nom du personnage'!$U$51,Données!$P$3:$R$30,3,FALSE)=1,VLOOKUP(AF211,B211:C390,2,FALSE)+1,VLOOKUP(AF211,B211:C390,2,FALSE))</f>
        <v>#N/A</v>
      </c>
      <c r="AH211" t="e">
        <f t="shared" ca="1" si="31"/>
        <v>#N/A</v>
      </c>
    </row>
    <row r="212" spans="1:34">
      <c r="A212" s="2" t="s">
        <v>323</v>
      </c>
      <c r="B212" s="2" t="s">
        <v>535</v>
      </c>
      <c r="C212">
        <v>5</v>
      </c>
      <c r="D212">
        <v>10</v>
      </c>
      <c r="O212" cm="1">
        <f t="array" ref="O212:W212">'Nom du personnage'!$H$88:$P$88</f>
        <v>0</v>
      </c>
      <c r="P212">
        <v>0</v>
      </c>
      <c r="Q212">
        <v>0</v>
      </c>
      <c r="R212">
        <v>0</v>
      </c>
      <c r="S212">
        <v>0</v>
      </c>
      <c r="T212">
        <v>0</v>
      </c>
      <c r="U212">
        <v>0</v>
      </c>
      <c r="V212">
        <v>0</v>
      </c>
      <c r="W212">
        <v>0</v>
      </c>
      <c r="X212" cm="1">
        <f t="array" ref="X212">IF(OR(A212='Nom du personnage'!$H$88:$O$88,'Nom du personnage'!$V$88:$AC$88=Magie!A212),1,)</f>
        <v>0</v>
      </c>
      <c r="Y212" t="e">
        <f ca="1">IF('Nom du personnage'!$AC$59&gt;=Magie!D212,1,)</f>
        <v>#N/A</v>
      </c>
      <c r="Z212">
        <f ca="1">IF(AND(A212='Nom du personnage'!$H$88,_xlfn.AGGREGATE(4,6,'Nom du personnage'!$C$91:$D$109)&gt;=Magie!D209),1,0)</f>
        <v>0</v>
      </c>
      <c r="AA212">
        <f ca="1">IF(AND(A212='Nom du personnage'!$V$88,_xlfn.AGGREGATE(4,6,'Nom du personnage'!$Q$91:$R$109)&gt;=Magie!D209),10,0)</f>
        <v>0</v>
      </c>
      <c r="AB212" t="e">
        <f t="shared" ca="1" si="27"/>
        <v>#N/A</v>
      </c>
      <c r="AC212" t="e">
        <f t="shared" ca="1" si="28"/>
        <v>#N/A</v>
      </c>
      <c r="AD212" t="e">
        <f>IF(VLOOKUP('Nom du personnage'!$U$51,Données!$P$3:$R$30,3,FALSE)=1,VLOOKUP(AC212,B212:C391,2,FALSE)+1,VLOOKUP(AC212,B212:C391,2,FALSE))</f>
        <v>#N/A</v>
      </c>
      <c r="AE212" t="e">
        <f t="shared" ca="1" si="29"/>
        <v>#N/A</v>
      </c>
      <c r="AF212" t="e">
        <f t="shared" ca="1" si="30"/>
        <v>#N/A</v>
      </c>
      <c r="AG212" t="e">
        <f>IF(VLOOKUP('Nom du personnage'!$U$51,Données!$P$3:$R$30,3,FALSE)=1,VLOOKUP(AF212,B212:C391,2,FALSE)+1,VLOOKUP(AF212,B212:C391,2,FALSE))</f>
        <v>#N/A</v>
      </c>
      <c r="AH212" t="e">
        <f t="shared" ca="1" si="31"/>
        <v>#N/A</v>
      </c>
    </row>
    <row r="213" spans="1:34">
      <c r="A213" s="2" t="s">
        <v>326</v>
      </c>
      <c r="B213" s="2" t="s">
        <v>329</v>
      </c>
      <c r="C213">
        <v>2</v>
      </c>
      <c r="D213">
        <v>1</v>
      </c>
      <c r="O213" cm="1">
        <f t="array" ref="O213:W213">'Nom du personnage'!$H$88:$P$88</f>
        <v>0</v>
      </c>
      <c r="P213">
        <v>0</v>
      </c>
      <c r="Q213">
        <v>0</v>
      </c>
      <c r="R213">
        <v>0</v>
      </c>
      <c r="S213">
        <v>0</v>
      </c>
      <c r="T213">
        <v>0</v>
      </c>
      <c r="U213">
        <v>0</v>
      </c>
      <c r="V213">
        <v>0</v>
      </c>
      <c r="W213">
        <v>0</v>
      </c>
      <c r="X213" cm="1">
        <f t="array" ref="X213">IF(OR(A213='Nom du personnage'!$H$88:$O$88,'Nom du personnage'!$V$88:$AC$88=Magie!A213),1,)</f>
        <v>0</v>
      </c>
      <c r="Y213" t="e">
        <f ca="1">IF('Nom du personnage'!$AC$59&gt;=Magie!D213,1,)</f>
        <v>#N/A</v>
      </c>
      <c r="Z213">
        <f t="shared" ref="Z213:Z215" si="32">IF(D213=1,1,0)</f>
        <v>1</v>
      </c>
      <c r="AA213">
        <f>IF(A213='Nom du personnage'!$V$88,10,0)</f>
        <v>0</v>
      </c>
      <c r="AB213" t="e">
        <f t="shared" ca="1" si="27"/>
        <v>#N/A</v>
      </c>
      <c r="AC213" t="e">
        <f t="shared" ca="1" si="28"/>
        <v>#N/A</v>
      </c>
      <c r="AD213" t="e">
        <f>IF(VLOOKUP('Nom du personnage'!$U$51,Données!$P$3:$R$30,3,FALSE)=1,VLOOKUP(AC213,B213:C392,2,FALSE)+1,VLOOKUP(AC213,B213:C392,2,FALSE))</f>
        <v>#N/A</v>
      </c>
      <c r="AE213" t="e">
        <f t="shared" ca="1" si="29"/>
        <v>#N/A</v>
      </c>
      <c r="AF213" t="e">
        <f t="shared" ca="1" si="30"/>
        <v>#N/A</v>
      </c>
      <c r="AG213" t="e">
        <f>IF(VLOOKUP('Nom du personnage'!$U$51,Données!$P$3:$R$30,3,FALSE)=1,VLOOKUP(AF213,B213:C392,2,FALSE)+1,VLOOKUP(AF213,B213:C392,2,FALSE))</f>
        <v>#N/A</v>
      </c>
      <c r="AH213" t="e">
        <f t="shared" ca="1" si="31"/>
        <v>#N/A</v>
      </c>
    </row>
    <row r="214" spans="1:34">
      <c r="A214" s="2" t="s">
        <v>326</v>
      </c>
      <c r="B214" s="2" t="s">
        <v>536</v>
      </c>
      <c r="C214">
        <v>2</v>
      </c>
      <c r="D214">
        <v>1</v>
      </c>
      <c r="O214" cm="1">
        <f t="array" ref="O214:W214">'Nom du personnage'!$H$88:$P$88</f>
        <v>0</v>
      </c>
      <c r="P214">
        <v>0</v>
      </c>
      <c r="Q214">
        <v>0</v>
      </c>
      <c r="R214">
        <v>0</v>
      </c>
      <c r="S214">
        <v>0</v>
      </c>
      <c r="T214">
        <v>0</v>
      </c>
      <c r="U214">
        <v>0</v>
      </c>
      <c r="V214">
        <v>0</v>
      </c>
      <c r="W214">
        <v>0</v>
      </c>
      <c r="X214" cm="1">
        <f t="array" ref="X214">IF(OR(A214='Nom du personnage'!$H$88:$O$88,'Nom du personnage'!$V$88:$AC$88=Magie!A214),1,)</f>
        <v>0</v>
      </c>
      <c r="Y214" t="e">
        <f ca="1">IF('Nom du personnage'!$AC$59&gt;=Magie!D214,1,)</f>
        <v>#N/A</v>
      </c>
      <c r="Z214">
        <f t="shared" si="32"/>
        <v>1</v>
      </c>
      <c r="AA214">
        <f>IF(A214='Nom du personnage'!$V$88,10,0)</f>
        <v>0</v>
      </c>
      <c r="AB214" t="e">
        <f t="shared" ca="1" si="27"/>
        <v>#N/A</v>
      </c>
      <c r="AC214" t="e">
        <f t="shared" ca="1" si="28"/>
        <v>#N/A</v>
      </c>
      <c r="AD214" t="e">
        <f>IF(VLOOKUP('Nom du personnage'!$U$51,Données!$P$3:$R$30,3,FALSE)=1,VLOOKUP(AC214,B214:C393,2,FALSE)+1,VLOOKUP(AC214,B214:C393,2,FALSE))</f>
        <v>#N/A</v>
      </c>
      <c r="AE214" t="e">
        <f t="shared" ca="1" si="29"/>
        <v>#N/A</v>
      </c>
      <c r="AF214" t="e">
        <f t="shared" ca="1" si="30"/>
        <v>#N/A</v>
      </c>
      <c r="AG214" t="e">
        <f>IF(VLOOKUP('Nom du personnage'!$U$51,Données!$P$3:$R$30,3,FALSE)=1,VLOOKUP(AF214,B214:C393,2,FALSE)+1,VLOOKUP(AF214,B214:C393,2,FALSE))</f>
        <v>#N/A</v>
      </c>
      <c r="AH214" t="e">
        <f t="shared" ca="1" si="31"/>
        <v>#N/A</v>
      </c>
    </row>
    <row r="215" spans="1:34">
      <c r="A215" s="2" t="s">
        <v>326</v>
      </c>
      <c r="B215" s="2" t="s">
        <v>331</v>
      </c>
      <c r="C215">
        <v>2</v>
      </c>
      <c r="D215">
        <v>1</v>
      </c>
      <c r="O215" cm="1">
        <f t="array" ref="O215:W215">'Nom du personnage'!$H$88:$P$88</f>
        <v>0</v>
      </c>
      <c r="P215">
        <v>0</v>
      </c>
      <c r="Q215">
        <v>0</v>
      </c>
      <c r="R215">
        <v>0</v>
      </c>
      <c r="S215">
        <v>0</v>
      </c>
      <c r="T215">
        <v>0</v>
      </c>
      <c r="U215">
        <v>0</v>
      </c>
      <c r="V215">
        <v>0</v>
      </c>
      <c r="W215">
        <v>0</v>
      </c>
      <c r="X215" cm="1">
        <f t="array" ref="X215">IF(OR(A215='Nom du personnage'!$H$88:$O$88,'Nom du personnage'!$V$88:$AC$88=Magie!A215),1,)</f>
        <v>0</v>
      </c>
      <c r="Y215" t="e">
        <f ca="1">IF('Nom du personnage'!$AC$59&gt;=Magie!D215,1,)</f>
        <v>#N/A</v>
      </c>
      <c r="Z215">
        <f t="shared" si="32"/>
        <v>1</v>
      </c>
      <c r="AA215">
        <f>IF(A215='Nom du personnage'!$V$88,10,0)</f>
        <v>0</v>
      </c>
      <c r="AB215" t="e">
        <f t="shared" ca="1" si="27"/>
        <v>#N/A</v>
      </c>
      <c r="AC215" t="e">
        <f t="shared" ca="1" si="28"/>
        <v>#N/A</v>
      </c>
      <c r="AD215" t="e">
        <f>IF(VLOOKUP('Nom du personnage'!$U$51,Données!$P$3:$R$30,3,FALSE)=1,VLOOKUP(AC215,B215:C394,2,FALSE)+1,VLOOKUP(AC215,B215:C394,2,FALSE))</f>
        <v>#N/A</v>
      </c>
      <c r="AE215" t="e">
        <f t="shared" ca="1" si="29"/>
        <v>#N/A</v>
      </c>
      <c r="AF215" t="e">
        <f t="shared" ca="1" si="30"/>
        <v>#N/A</v>
      </c>
      <c r="AG215" t="e">
        <f>IF(VLOOKUP('Nom du personnage'!$U$51,Données!$P$3:$R$30,3,FALSE)=1,VLOOKUP(AF215,B215:C394,2,FALSE)+1,VLOOKUP(AF215,B215:C394,2,FALSE))</f>
        <v>#N/A</v>
      </c>
      <c r="AH215" t="e">
        <f t="shared" ca="1" si="31"/>
        <v>#N/A</v>
      </c>
    </row>
    <row r="216" spans="1:34">
      <c r="A216" s="2" t="s">
        <v>326</v>
      </c>
      <c r="B216" s="2" t="s">
        <v>334</v>
      </c>
      <c r="C216">
        <v>2</v>
      </c>
      <c r="D216">
        <v>2</v>
      </c>
      <c r="O216" cm="1">
        <f t="array" ref="O216:W216">'Nom du personnage'!$H$88:$P$88</f>
        <v>0</v>
      </c>
      <c r="P216">
        <v>0</v>
      </c>
      <c r="Q216">
        <v>0</v>
      </c>
      <c r="R216">
        <v>0</v>
      </c>
      <c r="S216">
        <v>0</v>
      </c>
      <c r="T216">
        <v>0</v>
      </c>
      <c r="U216">
        <v>0</v>
      </c>
      <c r="V216">
        <v>0</v>
      </c>
      <c r="W216">
        <v>0</v>
      </c>
      <c r="X216" cm="1">
        <f t="array" ref="X216">IF(OR(A216='Nom du personnage'!$H$88:$O$88,'Nom du personnage'!$V$88:$AC$88=Magie!A216),1,)</f>
        <v>0</v>
      </c>
      <c r="Y216" t="e">
        <f ca="1">IF('Nom du personnage'!$AC$59&gt;=Magie!D216,1,)</f>
        <v>#N/A</v>
      </c>
      <c r="Z216">
        <f ca="1">IF(AND(A216='Nom du personnage'!$H$88,_xlfn.AGGREGATE(4,6,'Nom du personnage'!$C$91:$D$109)&gt;=Magie!D213),1,0)</f>
        <v>0</v>
      </c>
      <c r="AA216">
        <f ca="1">IF(AND(A216='Nom du personnage'!$V$88,_xlfn.AGGREGATE(4,6,'Nom du personnage'!$Q$91:$R$109)&gt;=Magie!D213),10,0)</f>
        <v>0</v>
      </c>
      <c r="AB216" t="e">
        <f t="shared" ca="1" si="27"/>
        <v>#N/A</v>
      </c>
      <c r="AC216" t="e">
        <f t="shared" ca="1" si="28"/>
        <v>#N/A</v>
      </c>
      <c r="AD216" t="e">
        <f>IF(VLOOKUP('Nom du personnage'!$U$51,Données!$P$3:$R$30,3,FALSE)=1,VLOOKUP(AC216,B216:C395,2,FALSE)+1,VLOOKUP(AC216,B216:C395,2,FALSE))</f>
        <v>#N/A</v>
      </c>
      <c r="AE216" t="e">
        <f t="shared" ca="1" si="29"/>
        <v>#N/A</v>
      </c>
      <c r="AF216" t="e">
        <f t="shared" ca="1" si="30"/>
        <v>#N/A</v>
      </c>
      <c r="AG216" t="e">
        <f>IF(VLOOKUP('Nom du personnage'!$U$51,Données!$P$3:$R$30,3,FALSE)=1,VLOOKUP(AF216,B216:C395,2,FALSE)+1,VLOOKUP(AF216,B216:C395,2,FALSE))</f>
        <v>#N/A</v>
      </c>
      <c r="AH216" t="e">
        <f t="shared" ca="1" si="31"/>
        <v>#N/A</v>
      </c>
    </row>
    <row r="217" spans="1:34">
      <c r="A217" s="2" t="s">
        <v>326</v>
      </c>
      <c r="B217" s="2" t="s">
        <v>336</v>
      </c>
      <c r="C217">
        <v>2</v>
      </c>
      <c r="D217">
        <v>2</v>
      </c>
      <c r="O217" cm="1">
        <f t="array" ref="O217:W217">'Nom du personnage'!$H$88:$P$88</f>
        <v>0</v>
      </c>
      <c r="P217">
        <v>0</v>
      </c>
      <c r="Q217">
        <v>0</v>
      </c>
      <c r="R217">
        <v>0</v>
      </c>
      <c r="S217">
        <v>0</v>
      </c>
      <c r="T217">
        <v>0</v>
      </c>
      <c r="U217">
        <v>0</v>
      </c>
      <c r="V217">
        <v>0</v>
      </c>
      <c r="W217">
        <v>0</v>
      </c>
      <c r="X217" cm="1">
        <f t="array" ref="X217">IF(OR(A217='Nom du personnage'!$H$88:$O$88,'Nom du personnage'!$V$88:$AC$88=Magie!A217),1,)</f>
        <v>0</v>
      </c>
      <c r="Y217" t="e">
        <f ca="1">IF('Nom du personnage'!$AC$59&gt;=Magie!D217,1,)</f>
        <v>#N/A</v>
      </c>
      <c r="Z217">
        <f ca="1">IF(AND(A217='Nom du personnage'!$H$88,_xlfn.AGGREGATE(4,6,'Nom du personnage'!$C$91:$D$109)&gt;=Magie!D214),1,0)</f>
        <v>0</v>
      </c>
      <c r="AA217">
        <f ca="1">IF(AND(A217='Nom du personnage'!$V$88,_xlfn.AGGREGATE(4,6,'Nom du personnage'!$Q$91:$R$109)&gt;=Magie!D214),10,0)</f>
        <v>0</v>
      </c>
      <c r="AB217" t="e">
        <f t="shared" ca="1" si="27"/>
        <v>#N/A</v>
      </c>
      <c r="AC217" t="e">
        <f t="shared" ca="1" si="28"/>
        <v>#N/A</v>
      </c>
      <c r="AD217" t="e">
        <f>IF(VLOOKUP('Nom du personnage'!$U$51,Données!$P$3:$R$30,3,FALSE)=1,VLOOKUP(AC217,B217:C396,2,FALSE)+1,VLOOKUP(AC217,B217:C396,2,FALSE))</f>
        <v>#N/A</v>
      </c>
      <c r="AE217" t="e">
        <f t="shared" ca="1" si="29"/>
        <v>#N/A</v>
      </c>
      <c r="AF217" t="e">
        <f t="shared" ca="1" si="30"/>
        <v>#N/A</v>
      </c>
      <c r="AG217" t="e">
        <f>IF(VLOOKUP('Nom du personnage'!$U$51,Données!$P$3:$R$30,3,FALSE)=1,VLOOKUP(AF217,B217:C396,2,FALSE)+1,VLOOKUP(AF217,B217:C396,2,FALSE))</f>
        <v>#N/A</v>
      </c>
      <c r="AH217" t="e">
        <f t="shared" ca="1" si="31"/>
        <v>#N/A</v>
      </c>
    </row>
    <row r="218" spans="1:34">
      <c r="A218" s="2" t="s">
        <v>326</v>
      </c>
      <c r="B218" s="2" t="s">
        <v>537</v>
      </c>
      <c r="C218">
        <v>2</v>
      </c>
      <c r="D218">
        <v>2</v>
      </c>
      <c r="O218" cm="1">
        <f t="array" ref="O218:W218">'Nom du personnage'!$H$88:$P$88</f>
        <v>0</v>
      </c>
      <c r="P218">
        <v>0</v>
      </c>
      <c r="Q218">
        <v>0</v>
      </c>
      <c r="R218">
        <v>0</v>
      </c>
      <c r="S218">
        <v>0</v>
      </c>
      <c r="T218">
        <v>0</v>
      </c>
      <c r="U218">
        <v>0</v>
      </c>
      <c r="V218">
        <v>0</v>
      </c>
      <c r="W218">
        <v>0</v>
      </c>
      <c r="X218" cm="1">
        <f t="array" ref="X218">IF(OR(A218='Nom du personnage'!$H$88:$O$88,'Nom du personnage'!$V$88:$AC$88=Magie!A218),1,)</f>
        <v>0</v>
      </c>
      <c r="Y218" t="e">
        <f ca="1">IF('Nom du personnage'!$AC$59&gt;=Magie!D218,1,)</f>
        <v>#N/A</v>
      </c>
      <c r="Z218">
        <f ca="1">IF(AND(A218='Nom du personnage'!$H$88,_xlfn.AGGREGATE(4,6,'Nom du personnage'!$C$91:$D$109)&gt;=Magie!D215),1,0)</f>
        <v>0</v>
      </c>
      <c r="AA218">
        <f ca="1">IF(AND(A218='Nom du personnage'!$V$88,_xlfn.AGGREGATE(4,6,'Nom du personnage'!$Q$91:$R$109)&gt;=Magie!D215),10,0)</f>
        <v>0</v>
      </c>
      <c r="AB218" t="e">
        <f t="shared" ca="1" si="27"/>
        <v>#N/A</v>
      </c>
      <c r="AC218" t="e">
        <f t="shared" ca="1" si="28"/>
        <v>#N/A</v>
      </c>
      <c r="AD218" t="e">
        <f>IF(VLOOKUP('Nom du personnage'!$U$51,Données!$P$3:$R$30,3,FALSE)=1,VLOOKUP(AC218,B218:C397,2,FALSE)+1,VLOOKUP(AC218,B218:C397,2,FALSE))</f>
        <v>#N/A</v>
      </c>
      <c r="AE218" t="e">
        <f t="shared" ca="1" si="29"/>
        <v>#N/A</v>
      </c>
      <c r="AF218" t="e">
        <f t="shared" ca="1" si="30"/>
        <v>#N/A</v>
      </c>
      <c r="AG218" t="e">
        <f>IF(VLOOKUP('Nom du personnage'!$U$51,Données!$P$3:$R$30,3,FALSE)=1,VLOOKUP(AF218,B218:C397,2,FALSE)+1,VLOOKUP(AF218,B218:C397,2,FALSE))</f>
        <v>#N/A</v>
      </c>
      <c r="AH218" t="e">
        <f t="shared" ca="1" si="31"/>
        <v>#N/A</v>
      </c>
    </row>
    <row r="219" spans="1:34">
      <c r="A219" s="2" t="s">
        <v>326</v>
      </c>
      <c r="B219" s="2" t="s">
        <v>538</v>
      </c>
      <c r="C219">
        <v>2</v>
      </c>
      <c r="D219">
        <v>3</v>
      </c>
      <c r="O219" cm="1">
        <f t="array" ref="O219:W219">'Nom du personnage'!$H$88:$P$88</f>
        <v>0</v>
      </c>
      <c r="P219">
        <v>0</v>
      </c>
      <c r="Q219">
        <v>0</v>
      </c>
      <c r="R219">
        <v>0</v>
      </c>
      <c r="S219">
        <v>0</v>
      </c>
      <c r="T219">
        <v>0</v>
      </c>
      <c r="U219">
        <v>0</v>
      </c>
      <c r="V219">
        <v>0</v>
      </c>
      <c r="W219">
        <v>0</v>
      </c>
      <c r="X219" cm="1">
        <f t="array" ref="X219">IF(OR(A219='Nom du personnage'!$H$88:$O$88,'Nom du personnage'!$V$88:$AC$88=Magie!A219),1,)</f>
        <v>0</v>
      </c>
      <c r="Y219" t="e">
        <f ca="1">IF('Nom du personnage'!$AC$59&gt;=Magie!D219,1,)</f>
        <v>#N/A</v>
      </c>
      <c r="Z219">
        <f ca="1">IF(AND(A219='Nom du personnage'!$H$88,_xlfn.AGGREGATE(4,6,'Nom du personnage'!$C$91:$D$109)&gt;=Magie!D216),1,0)</f>
        <v>0</v>
      </c>
      <c r="AA219">
        <f ca="1">IF(AND(A219='Nom du personnage'!$V$88,_xlfn.AGGREGATE(4,6,'Nom du personnage'!$Q$91:$R$109)&gt;=Magie!D216),10,0)</f>
        <v>0</v>
      </c>
      <c r="AB219" t="e">
        <f t="shared" ca="1" si="27"/>
        <v>#N/A</v>
      </c>
      <c r="AC219" t="e">
        <f t="shared" ca="1" si="28"/>
        <v>#N/A</v>
      </c>
      <c r="AD219" t="e">
        <f>IF(VLOOKUP('Nom du personnage'!$U$51,Données!$P$3:$R$30,3,FALSE)=1,VLOOKUP(AC219,B219:C398,2,FALSE)+1,VLOOKUP(AC219,B219:C398,2,FALSE))</f>
        <v>#N/A</v>
      </c>
      <c r="AE219" t="e">
        <f t="shared" ca="1" si="29"/>
        <v>#N/A</v>
      </c>
      <c r="AF219" t="e">
        <f t="shared" ca="1" si="30"/>
        <v>#N/A</v>
      </c>
      <c r="AG219" t="e">
        <f>IF(VLOOKUP('Nom du personnage'!$U$51,Données!$P$3:$R$30,3,FALSE)=1,VLOOKUP(AF219,B219:C398,2,FALSE)+1,VLOOKUP(AF219,B219:C398,2,FALSE))</f>
        <v>#N/A</v>
      </c>
      <c r="AH219" t="e">
        <f t="shared" ca="1" si="31"/>
        <v>#N/A</v>
      </c>
    </row>
    <row r="220" spans="1:34">
      <c r="A220" s="2" t="s">
        <v>326</v>
      </c>
      <c r="B220" s="2" t="s">
        <v>332</v>
      </c>
      <c r="C220">
        <v>2</v>
      </c>
      <c r="D220">
        <v>3</v>
      </c>
      <c r="O220" cm="1">
        <f t="array" ref="O220:W220">'Nom du personnage'!$H$88:$P$88</f>
        <v>0</v>
      </c>
      <c r="P220">
        <v>0</v>
      </c>
      <c r="Q220">
        <v>0</v>
      </c>
      <c r="R220">
        <v>0</v>
      </c>
      <c r="S220">
        <v>0</v>
      </c>
      <c r="T220">
        <v>0</v>
      </c>
      <c r="U220">
        <v>0</v>
      </c>
      <c r="V220">
        <v>0</v>
      </c>
      <c r="W220">
        <v>0</v>
      </c>
      <c r="X220" cm="1">
        <f t="array" ref="X220">IF(OR(A220='Nom du personnage'!$H$88:$O$88,'Nom du personnage'!$V$88:$AC$88=Magie!A220),1,)</f>
        <v>0</v>
      </c>
      <c r="Y220" t="e">
        <f ca="1">IF('Nom du personnage'!$AC$59&gt;=Magie!D220,1,)</f>
        <v>#N/A</v>
      </c>
      <c r="Z220">
        <f ca="1">IF(AND(A220='Nom du personnage'!$H$88,_xlfn.AGGREGATE(4,6,'Nom du personnage'!$C$91:$D$109)&gt;=Magie!D217),1,0)</f>
        <v>0</v>
      </c>
      <c r="AA220">
        <f ca="1">IF(AND(A220='Nom du personnage'!$V$88,_xlfn.AGGREGATE(4,6,'Nom du personnage'!$Q$91:$R$109)&gt;=Magie!D217),10,0)</f>
        <v>0</v>
      </c>
      <c r="AB220" t="e">
        <f t="shared" ca="1" si="27"/>
        <v>#N/A</v>
      </c>
      <c r="AC220" t="e">
        <f t="shared" ca="1" si="28"/>
        <v>#N/A</v>
      </c>
      <c r="AD220" t="e">
        <f>IF(VLOOKUP('Nom du personnage'!$U$51,Données!$P$3:$R$30,3,FALSE)=1,VLOOKUP(AC220,B220:C399,2,FALSE)+1,VLOOKUP(AC220,B220:C399,2,FALSE))</f>
        <v>#N/A</v>
      </c>
      <c r="AE220" t="e">
        <f t="shared" ca="1" si="29"/>
        <v>#N/A</v>
      </c>
      <c r="AF220" t="e">
        <f t="shared" ca="1" si="30"/>
        <v>#N/A</v>
      </c>
      <c r="AG220" t="e">
        <f>IF(VLOOKUP('Nom du personnage'!$U$51,Données!$P$3:$R$30,3,FALSE)=1,VLOOKUP(AF220,B220:C399,2,FALSE)+1,VLOOKUP(AF220,B220:C399,2,FALSE))</f>
        <v>#N/A</v>
      </c>
      <c r="AH220" t="e">
        <f t="shared" ca="1" si="31"/>
        <v>#N/A</v>
      </c>
    </row>
    <row r="221" spans="1:34">
      <c r="A221" s="2" t="s">
        <v>326</v>
      </c>
      <c r="B221" s="2" t="s">
        <v>539</v>
      </c>
      <c r="C221">
        <v>2</v>
      </c>
      <c r="D221">
        <v>3</v>
      </c>
      <c r="O221" cm="1">
        <f t="array" ref="O221:W221">'Nom du personnage'!$H$88:$P$88</f>
        <v>0</v>
      </c>
      <c r="P221">
        <v>0</v>
      </c>
      <c r="Q221">
        <v>0</v>
      </c>
      <c r="R221">
        <v>0</v>
      </c>
      <c r="S221">
        <v>0</v>
      </c>
      <c r="T221">
        <v>0</v>
      </c>
      <c r="U221">
        <v>0</v>
      </c>
      <c r="V221">
        <v>0</v>
      </c>
      <c r="W221">
        <v>0</v>
      </c>
      <c r="X221" cm="1">
        <f t="array" ref="X221">IF(OR(A221='Nom du personnage'!$H$88:$O$88,'Nom du personnage'!$V$88:$AC$88=Magie!A221),1,)</f>
        <v>0</v>
      </c>
      <c r="Y221" t="e">
        <f ca="1">IF('Nom du personnage'!$AC$59&gt;=Magie!D221,1,)</f>
        <v>#N/A</v>
      </c>
      <c r="Z221">
        <f ca="1">IF(AND(A221='Nom du personnage'!$H$88,_xlfn.AGGREGATE(4,6,'Nom du personnage'!$C$91:$D$109)&gt;=Magie!D218),1,0)</f>
        <v>0</v>
      </c>
      <c r="AA221">
        <f ca="1">IF(AND(A221='Nom du personnage'!$V$88,_xlfn.AGGREGATE(4,6,'Nom du personnage'!$Q$91:$R$109)&gt;=Magie!D218),10,0)</f>
        <v>0</v>
      </c>
      <c r="AB221" t="e">
        <f t="shared" ca="1" si="27"/>
        <v>#N/A</v>
      </c>
      <c r="AC221" t="e">
        <f t="shared" ca="1" si="28"/>
        <v>#N/A</v>
      </c>
      <c r="AD221" t="e">
        <f>IF(VLOOKUP('Nom du personnage'!$U$51,Données!$P$3:$R$30,3,FALSE)=1,VLOOKUP(AC221,B221:C400,2,FALSE)+1,VLOOKUP(AC221,B221:C400,2,FALSE))</f>
        <v>#N/A</v>
      </c>
      <c r="AE221" t="e">
        <f t="shared" ca="1" si="29"/>
        <v>#N/A</v>
      </c>
      <c r="AF221" t="e">
        <f t="shared" ca="1" si="30"/>
        <v>#N/A</v>
      </c>
      <c r="AG221" t="e">
        <f>IF(VLOOKUP('Nom du personnage'!$U$51,Données!$P$3:$R$30,3,FALSE)=1,VLOOKUP(AF221,B221:C400,2,FALSE)+1,VLOOKUP(AF221,B221:C400,2,FALSE))</f>
        <v>#N/A</v>
      </c>
      <c r="AH221" t="e">
        <f t="shared" ca="1" si="31"/>
        <v>#N/A</v>
      </c>
    </row>
    <row r="222" spans="1:34">
      <c r="A222" s="2" t="s">
        <v>326</v>
      </c>
      <c r="B222" s="2" t="s">
        <v>540</v>
      </c>
      <c r="C222">
        <v>3</v>
      </c>
      <c r="D222">
        <v>4</v>
      </c>
      <c r="O222" cm="1">
        <f t="array" ref="O222:W222">'Nom du personnage'!$H$88:$P$88</f>
        <v>0</v>
      </c>
      <c r="P222">
        <v>0</v>
      </c>
      <c r="Q222">
        <v>0</v>
      </c>
      <c r="R222">
        <v>0</v>
      </c>
      <c r="S222">
        <v>0</v>
      </c>
      <c r="T222">
        <v>0</v>
      </c>
      <c r="U222">
        <v>0</v>
      </c>
      <c r="V222">
        <v>0</v>
      </c>
      <c r="W222">
        <v>0</v>
      </c>
      <c r="X222" cm="1">
        <f t="array" ref="X222">IF(OR(A222='Nom du personnage'!$H$88:$O$88,'Nom du personnage'!$V$88:$AC$88=Magie!A222),1,)</f>
        <v>0</v>
      </c>
      <c r="Y222" t="e">
        <f ca="1">IF('Nom du personnage'!$AC$59&gt;=Magie!D222,1,)</f>
        <v>#N/A</v>
      </c>
      <c r="Z222">
        <f ca="1">IF(AND(A222='Nom du personnage'!$H$88,_xlfn.AGGREGATE(4,6,'Nom du personnage'!$C$91:$D$109)&gt;=Magie!D219),1,0)</f>
        <v>0</v>
      </c>
      <c r="AA222">
        <f ca="1">IF(AND(A222='Nom du personnage'!$V$88,_xlfn.AGGREGATE(4,6,'Nom du personnage'!$Q$91:$R$109)&gt;=Magie!D219),10,0)</f>
        <v>0</v>
      </c>
      <c r="AB222" t="e">
        <f t="shared" ca="1" si="27"/>
        <v>#N/A</v>
      </c>
      <c r="AC222" t="e">
        <f t="shared" ca="1" si="28"/>
        <v>#N/A</v>
      </c>
      <c r="AD222" t="e">
        <f>IF(VLOOKUP('Nom du personnage'!$U$51,Données!$P$3:$R$30,3,FALSE)=1,VLOOKUP(AC222,B222:C401,2,FALSE)+1,VLOOKUP(AC222,B222:C401,2,FALSE))</f>
        <v>#N/A</v>
      </c>
      <c r="AE222" t="e">
        <f t="shared" ca="1" si="29"/>
        <v>#N/A</v>
      </c>
      <c r="AF222" t="e">
        <f t="shared" ca="1" si="30"/>
        <v>#N/A</v>
      </c>
      <c r="AG222" t="e">
        <f>IF(VLOOKUP('Nom du personnage'!$U$51,Données!$P$3:$R$30,3,FALSE)=1,VLOOKUP(AF222,B222:C401,2,FALSE)+1,VLOOKUP(AF222,B222:C401,2,FALSE))</f>
        <v>#N/A</v>
      </c>
      <c r="AH222" t="e">
        <f t="shared" ca="1" si="31"/>
        <v>#N/A</v>
      </c>
    </row>
    <row r="223" spans="1:34">
      <c r="A223" s="2" t="s">
        <v>326</v>
      </c>
      <c r="B223" s="2" t="s">
        <v>541</v>
      </c>
      <c r="C223">
        <v>3</v>
      </c>
      <c r="D223">
        <v>4</v>
      </c>
      <c r="O223" cm="1">
        <f t="array" ref="O223:W223">'Nom du personnage'!$H$88:$P$88</f>
        <v>0</v>
      </c>
      <c r="P223">
        <v>0</v>
      </c>
      <c r="Q223">
        <v>0</v>
      </c>
      <c r="R223">
        <v>0</v>
      </c>
      <c r="S223">
        <v>0</v>
      </c>
      <c r="T223">
        <v>0</v>
      </c>
      <c r="U223">
        <v>0</v>
      </c>
      <c r="V223">
        <v>0</v>
      </c>
      <c r="W223">
        <v>0</v>
      </c>
      <c r="X223" cm="1">
        <f t="array" ref="X223">IF(OR(A223='Nom du personnage'!$H$88:$O$88,'Nom du personnage'!$V$88:$AC$88=Magie!A223),1,)</f>
        <v>0</v>
      </c>
      <c r="Y223" t="e">
        <f ca="1">IF('Nom du personnage'!$AC$59&gt;=Magie!D223,1,)</f>
        <v>#N/A</v>
      </c>
      <c r="Z223">
        <f ca="1">IF(AND(A223='Nom du personnage'!$H$88,_xlfn.AGGREGATE(4,6,'Nom du personnage'!$C$91:$D$109)&gt;=Magie!D220),1,0)</f>
        <v>0</v>
      </c>
      <c r="AA223">
        <f ca="1">IF(AND(A223='Nom du personnage'!$V$88,_xlfn.AGGREGATE(4,6,'Nom du personnage'!$Q$91:$R$109)&gt;=Magie!D220),10,0)</f>
        <v>0</v>
      </c>
      <c r="AB223" t="e">
        <f t="shared" ca="1" si="27"/>
        <v>#N/A</v>
      </c>
      <c r="AC223" t="e">
        <f t="shared" ca="1" si="28"/>
        <v>#N/A</v>
      </c>
      <c r="AD223" t="e">
        <f>IF(VLOOKUP('Nom du personnage'!$U$51,Données!$P$3:$R$30,3,FALSE)=1,VLOOKUP(AC223,B223:C402,2,FALSE)+1,VLOOKUP(AC223,B223:C402,2,FALSE))</f>
        <v>#N/A</v>
      </c>
      <c r="AE223" t="e">
        <f t="shared" ca="1" si="29"/>
        <v>#N/A</v>
      </c>
      <c r="AF223" t="e">
        <f t="shared" ca="1" si="30"/>
        <v>#N/A</v>
      </c>
      <c r="AG223" t="e">
        <f>IF(VLOOKUP('Nom du personnage'!$U$51,Données!$P$3:$R$30,3,FALSE)=1,VLOOKUP(AF223,B223:C402,2,FALSE)+1,VLOOKUP(AF223,B223:C402,2,FALSE))</f>
        <v>#N/A</v>
      </c>
      <c r="AH223" t="e">
        <f t="shared" ca="1" si="31"/>
        <v>#N/A</v>
      </c>
    </row>
    <row r="224" spans="1:34">
      <c r="A224" s="2" t="s">
        <v>326</v>
      </c>
      <c r="B224" s="2" t="s">
        <v>542</v>
      </c>
      <c r="C224">
        <v>3</v>
      </c>
      <c r="D224">
        <v>4</v>
      </c>
      <c r="O224" cm="1">
        <f t="array" ref="O224:W224">'Nom du personnage'!$H$88:$P$88</f>
        <v>0</v>
      </c>
      <c r="P224">
        <v>0</v>
      </c>
      <c r="Q224">
        <v>0</v>
      </c>
      <c r="R224">
        <v>0</v>
      </c>
      <c r="S224">
        <v>0</v>
      </c>
      <c r="T224">
        <v>0</v>
      </c>
      <c r="U224">
        <v>0</v>
      </c>
      <c r="V224">
        <v>0</v>
      </c>
      <c r="W224">
        <v>0</v>
      </c>
      <c r="X224" cm="1">
        <f t="array" ref="X224">IF(OR(A224='Nom du personnage'!$H$88:$O$88,'Nom du personnage'!$V$88:$AC$88=Magie!A224),1,)</f>
        <v>0</v>
      </c>
      <c r="Y224" t="e">
        <f ca="1">IF('Nom du personnage'!$AC$59&gt;=Magie!D224,1,)</f>
        <v>#N/A</v>
      </c>
      <c r="Z224">
        <f ca="1">IF(AND(A224='Nom du personnage'!$H$88,_xlfn.AGGREGATE(4,6,'Nom du personnage'!$C$91:$D$109)&gt;=Magie!D221),1,0)</f>
        <v>0</v>
      </c>
      <c r="AA224">
        <f ca="1">IF(AND(A224='Nom du personnage'!$V$88,_xlfn.AGGREGATE(4,6,'Nom du personnage'!$Q$91:$R$109)&gt;=Magie!D221),10,0)</f>
        <v>0</v>
      </c>
      <c r="AB224" t="e">
        <f t="shared" ca="1" si="27"/>
        <v>#N/A</v>
      </c>
      <c r="AC224" t="e">
        <f t="shared" ca="1" si="28"/>
        <v>#N/A</v>
      </c>
      <c r="AD224" t="e">
        <f>IF(VLOOKUP('Nom du personnage'!$U$51,Données!$P$3:$R$30,3,FALSE)=1,VLOOKUP(AC224,B224:C403,2,FALSE)+1,VLOOKUP(AC224,B224:C403,2,FALSE))</f>
        <v>#N/A</v>
      </c>
      <c r="AE224" t="e">
        <f t="shared" ca="1" si="29"/>
        <v>#N/A</v>
      </c>
      <c r="AF224" t="e">
        <f t="shared" ca="1" si="30"/>
        <v>#N/A</v>
      </c>
      <c r="AG224" t="e">
        <f>IF(VLOOKUP('Nom du personnage'!$U$51,Données!$P$3:$R$30,3,FALSE)=1,VLOOKUP(AF224,B224:C403,2,FALSE)+1,VLOOKUP(AF224,B224:C403,2,FALSE))</f>
        <v>#N/A</v>
      </c>
      <c r="AH224" t="e">
        <f t="shared" ca="1" si="31"/>
        <v>#N/A</v>
      </c>
    </row>
    <row r="225" spans="1:34">
      <c r="A225" s="2" t="s">
        <v>326</v>
      </c>
      <c r="B225" s="2" t="s">
        <v>348</v>
      </c>
      <c r="C225">
        <v>3</v>
      </c>
      <c r="D225">
        <v>5</v>
      </c>
      <c r="O225" cm="1">
        <f t="array" ref="O225:W225">'Nom du personnage'!$H$88:$P$88</f>
        <v>0</v>
      </c>
      <c r="P225">
        <v>0</v>
      </c>
      <c r="Q225">
        <v>0</v>
      </c>
      <c r="R225">
        <v>0</v>
      </c>
      <c r="S225">
        <v>0</v>
      </c>
      <c r="T225">
        <v>0</v>
      </c>
      <c r="U225">
        <v>0</v>
      </c>
      <c r="V225">
        <v>0</v>
      </c>
      <c r="W225">
        <v>0</v>
      </c>
      <c r="X225" cm="1">
        <f t="array" ref="X225">IF(OR(A225='Nom du personnage'!$H$88:$O$88,'Nom du personnage'!$V$88:$AC$88=Magie!A225),1,)</f>
        <v>0</v>
      </c>
      <c r="Y225" t="e">
        <f ca="1">IF('Nom du personnage'!$AC$59&gt;=Magie!D225,1,)</f>
        <v>#N/A</v>
      </c>
      <c r="Z225">
        <f ca="1">IF(AND(A225='Nom du personnage'!$H$88,_xlfn.AGGREGATE(4,6,'Nom du personnage'!$C$91:$D$109)&gt;=Magie!D222),1,0)</f>
        <v>0</v>
      </c>
      <c r="AA225">
        <f ca="1">IF(AND(A225='Nom du personnage'!$V$88,_xlfn.AGGREGATE(4,6,'Nom du personnage'!$Q$91:$R$109)&gt;=Magie!D222),10,0)</f>
        <v>0</v>
      </c>
      <c r="AB225" t="e">
        <f t="shared" ca="1" si="27"/>
        <v>#N/A</v>
      </c>
      <c r="AC225" t="e">
        <f t="shared" ca="1" si="28"/>
        <v>#N/A</v>
      </c>
      <c r="AD225" t="e">
        <f>IF(VLOOKUP('Nom du personnage'!$U$51,Données!$P$3:$R$30,3,FALSE)=1,VLOOKUP(AC225,B225:C404,2,FALSE)+1,VLOOKUP(AC225,B225:C404,2,FALSE))</f>
        <v>#N/A</v>
      </c>
      <c r="AE225" t="e">
        <f t="shared" ca="1" si="29"/>
        <v>#N/A</v>
      </c>
      <c r="AF225" t="e">
        <f t="shared" ca="1" si="30"/>
        <v>#N/A</v>
      </c>
      <c r="AG225" t="e">
        <f>IF(VLOOKUP('Nom du personnage'!$U$51,Données!$P$3:$R$30,3,FALSE)=1,VLOOKUP(AF225,B225:C404,2,FALSE)+1,VLOOKUP(AF225,B225:C404,2,FALSE))</f>
        <v>#N/A</v>
      </c>
      <c r="AH225" t="e">
        <f t="shared" ca="1" si="31"/>
        <v>#N/A</v>
      </c>
    </row>
    <row r="226" spans="1:34">
      <c r="A226" s="2" t="s">
        <v>326</v>
      </c>
      <c r="B226" s="2" t="s">
        <v>543</v>
      </c>
      <c r="C226">
        <v>3</v>
      </c>
      <c r="D226">
        <v>5</v>
      </c>
      <c r="O226" cm="1">
        <f t="array" ref="O226:W226">'Nom du personnage'!$H$88:$P$88</f>
        <v>0</v>
      </c>
      <c r="P226">
        <v>0</v>
      </c>
      <c r="Q226">
        <v>0</v>
      </c>
      <c r="R226">
        <v>0</v>
      </c>
      <c r="S226">
        <v>0</v>
      </c>
      <c r="T226">
        <v>0</v>
      </c>
      <c r="U226">
        <v>0</v>
      </c>
      <c r="V226">
        <v>0</v>
      </c>
      <c r="W226">
        <v>0</v>
      </c>
      <c r="X226" cm="1">
        <f t="array" ref="X226">IF(OR(A226='Nom du personnage'!$H$88:$O$88,'Nom du personnage'!$V$88:$AC$88=Magie!A226),1,)</f>
        <v>0</v>
      </c>
      <c r="Y226" t="e">
        <f ca="1">IF('Nom du personnage'!$AC$59&gt;=Magie!D226,1,)</f>
        <v>#N/A</v>
      </c>
      <c r="Z226">
        <f ca="1">IF(AND(A226='Nom du personnage'!$H$88,_xlfn.AGGREGATE(4,6,'Nom du personnage'!$C$91:$D$109)&gt;=Magie!D223),1,0)</f>
        <v>0</v>
      </c>
      <c r="AA226">
        <f ca="1">IF(AND(A226='Nom du personnage'!$V$88,_xlfn.AGGREGATE(4,6,'Nom du personnage'!$Q$91:$R$109)&gt;=Magie!D223),10,0)</f>
        <v>0</v>
      </c>
      <c r="AB226" t="e">
        <f t="shared" ca="1" si="27"/>
        <v>#N/A</v>
      </c>
      <c r="AC226" t="e">
        <f t="shared" ca="1" si="28"/>
        <v>#N/A</v>
      </c>
      <c r="AD226" t="e">
        <f>IF(VLOOKUP('Nom du personnage'!$U$51,Données!$P$3:$R$30,3,FALSE)=1,VLOOKUP(AC226,B226:C405,2,FALSE)+1,VLOOKUP(AC226,B226:C405,2,FALSE))</f>
        <v>#N/A</v>
      </c>
      <c r="AE226" t="e">
        <f t="shared" ca="1" si="29"/>
        <v>#N/A</v>
      </c>
      <c r="AF226" t="e">
        <f t="shared" ca="1" si="30"/>
        <v>#N/A</v>
      </c>
      <c r="AG226" t="e">
        <f>IF(VLOOKUP('Nom du personnage'!$U$51,Données!$P$3:$R$30,3,FALSE)=1,VLOOKUP(AF226,B226:C405,2,FALSE)+1,VLOOKUP(AF226,B226:C405,2,FALSE))</f>
        <v>#N/A</v>
      </c>
      <c r="AH226" t="e">
        <f t="shared" ca="1" si="31"/>
        <v>#N/A</v>
      </c>
    </row>
    <row r="227" spans="1:34">
      <c r="A227" s="2" t="s">
        <v>326</v>
      </c>
      <c r="B227" s="2" t="s">
        <v>544</v>
      </c>
      <c r="C227">
        <v>3</v>
      </c>
      <c r="D227">
        <v>5</v>
      </c>
      <c r="O227" cm="1">
        <f t="array" ref="O227:W227">'Nom du personnage'!$H$88:$P$88</f>
        <v>0</v>
      </c>
      <c r="P227">
        <v>0</v>
      </c>
      <c r="Q227">
        <v>0</v>
      </c>
      <c r="R227">
        <v>0</v>
      </c>
      <c r="S227">
        <v>0</v>
      </c>
      <c r="T227">
        <v>0</v>
      </c>
      <c r="U227">
        <v>0</v>
      </c>
      <c r="V227">
        <v>0</v>
      </c>
      <c r="W227">
        <v>0</v>
      </c>
      <c r="X227" cm="1">
        <f t="array" ref="X227">IF(OR(A227='Nom du personnage'!$H$88:$O$88,'Nom du personnage'!$V$88:$AC$88=Magie!A227),1,)</f>
        <v>0</v>
      </c>
      <c r="Y227" t="e">
        <f ca="1">IF('Nom du personnage'!$AC$59&gt;=Magie!D227,1,)</f>
        <v>#N/A</v>
      </c>
      <c r="Z227">
        <f ca="1">IF(AND(A227='Nom du personnage'!$H$88,_xlfn.AGGREGATE(4,6,'Nom du personnage'!$C$91:$D$109)&gt;=Magie!D224),1,0)</f>
        <v>0</v>
      </c>
      <c r="AA227">
        <f ca="1">IF(AND(A227='Nom du personnage'!$V$88,_xlfn.AGGREGATE(4,6,'Nom du personnage'!$Q$91:$R$109)&gt;=Magie!D224),10,0)</f>
        <v>0</v>
      </c>
      <c r="AB227" t="e">
        <f t="shared" ca="1" si="27"/>
        <v>#N/A</v>
      </c>
      <c r="AC227" t="e">
        <f t="shared" ca="1" si="28"/>
        <v>#N/A</v>
      </c>
      <c r="AD227" t="e">
        <f>IF(VLOOKUP('Nom du personnage'!$U$51,Données!$P$3:$R$30,3,FALSE)=1,VLOOKUP(AC227,B227:C406,2,FALSE)+1,VLOOKUP(AC227,B227:C406,2,FALSE))</f>
        <v>#N/A</v>
      </c>
      <c r="AE227" t="e">
        <f t="shared" ca="1" si="29"/>
        <v>#N/A</v>
      </c>
      <c r="AF227" t="e">
        <f t="shared" ca="1" si="30"/>
        <v>#N/A</v>
      </c>
      <c r="AG227" t="e">
        <f>IF(VLOOKUP('Nom du personnage'!$U$51,Données!$P$3:$R$30,3,FALSE)=1,VLOOKUP(AF227,B227:C406,2,FALSE)+1,VLOOKUP(AF227,B227:C406,2,FALSE))</f>
        <v>#N/A</v>
      </c>
      <c r="AH227" t="e">
        <f t="shared" ca="1" si="31"/>
        <v>#N/A</v>
      </c>
    </row>
    <row r="228" spans="1:34">
      <c r="A228" s="2" t="s">
        <v>326</v>
      </c>
      <c r="B228" s="2" t="s">
        <v>342</v>
      </c>
      <c r="C228">
        <v>3</v>
      </c>
      <c r="D228">
        <v>6</v>
      </c>
      <c r="O228" cm="1">
        <f t="array" ref="O228:W228">'Nom du personnage'!$H$88:$P$88</f>
        <v>0</v>
      </c>
      <c r="P228">
        <v>0</v>
      </c>
      <c r="Q228">
        <v>0</v>
      </c>
      <c r="R228">
        <v>0</v>
      </c>
      <c r="S228">
        <v>0</v>
      </c>
      <c r="T228">
        <v>0</v>
      </c>
      <c r="U228">
        <v>0</v>
      </c>
      <c r="V228">
        <v>0</v>
      </c>
      <c r="W228">
        <v>0</v>
      </c>
      <c r="X228" cm="1">
        <f t="array" ref="X228">IF(OR(A228='Nom du personnage'!$H$88:$O$88,'Nom du personnage'!$V$88:$AC$88=Magie!A228),1,)</f>
        <v>0</v>
      </c>
      <c r="Y228" t="e">
        <f ca="1">IF('Nom du personnage'!$AC$59&gt;=Magie!D228,1,)</f>
        <v>#N/A</v>
      </c>
      <c r="Z228">
        <f ca="1">IF(AND(A228='Nom du personnage'!$H$88,_xlfn.AGGREGATE(4,6,'Nom du personnage'!$C$91:$D$109)&gt;=Magie!D225),1,0)</f>
        <v>0</v>
      </c>
      <c r="AA228">
        <f ca="1">IF(AND(A228='Nom du personnage'!$V$88,_xlfn.AGGREGATE(4,6,'Nom du personnage'!$Q$91:$R$109)&gt;=Magie!D225),10,0)</f>
        <v>0</v>
      </c>
      <c r="AB228" t="e">
        <f t="shared" ca="1" si="27"/>
        <v>#N/A</v>
      </c>
      <c r="AC228" t="e">
        <f t="shared" ca="1" si="28"/>
        <v>#N/A</v>
      </c>
      <c r="AD228" t="e">
        <f>IF(VLOOKUP('Nom du personnage'!$U$51,Données!$P$3:$R$30,3,FALSE)=1,VLOOKUP(AC228,B228:C407,2,FALSE)+1,VLOOKUP(AC228,B228:C407,2,FALSE))</f>
        <v>#N/A</v>
      </c>
      <c r="AE228" t="e">
        <f t="shared" ca="1" si="29"/>
        <v>#N/A</v>
      </c>
      <c r="AF228" t="e">
        <f t="shared" ca="1" si="30"/>
        <v>#N/A</v>
      </c>
      <c r="AG228" t="e">
        <f>IF(VLOOKUP('Nom du personnage'!$U$51,Données!$P$3:$R$30,3,FALSE)=1,VLOOKUP(AF228,B228:C407,2,FALSE)+1,VLOOKUP(AF228,B228:C407,2,FALSE))</f>
        <v>#N/A</v>
      </c>
      <c r="AH228" t="e">
        <f t="shared" ca="1" si="31"/>
        <v>#N/A</v>
      </c>
    </row>
    <row r="229" spans="1:34">
      <c r="A229" s="2" t="s">
        <v>326</v>
      </c>
      <c r="B229" s="2" t="s">
        <v>545</v>
      </c>
      <c r="C229">
        <v>3</v>
      </c>
      <c r="D229">
        <v>6</v>
      </c>
      <c r="O229" cm="1">
        <f t="array" ref="O229:W229">'Nom du personnage'!$H$88:$P$88</f>
        <v>0</v>
      </c>
      <c r="P229">
        <v>0</v>
      </c>
      <c r="Q229">
        <v>0</v>
      </c>
      <c r="R229">
        <v>0</v>
      </c>
      <c r="S229">
        <v>0</v>
      </c>
      <c r="T229">
        <v>0</v>
      </c>
      <c r="U229">
        <v>0</v>
      </c>
      <c r="V229">
        <v>0</v>
      </c>
      <c r="W229">
        <v>0</v>
      </c>
      <c r="X229" cm="1">
        <f t="array" ref="X229">IF(OR(A229='Nom du personnage'!$H$88:$O$88,'Nom du personnage'!$V$88:$AC$88=Magie!A229),1,)</f>
        <v>0</v>
      </c>
      <c r="Y229" t="e">
        <f ca="1">IF('Nom du personnage'!$AC$59&gt;=Magie!D229,1,)</f>
        <v>#N/A</v>
      </c>
      <c r="Z229">
        <f ca="1">IF(AND(A229='Nom du personnage'!$H$88,_xlfn.AGGREGATE(4,6,'Nom du personnage'!$C$91:$D$109)&gt;=Magie!D226),1,0)</f>
        <v>0</v>
      </c>
      <c r="AA229">
        <f ca="1">IF(AND(A229='Nom du personnage'!$V$88,_xlfn.AGGREGATE(4,6,'Nom du personnage'!$Q$91:$R$109)&gt;=Magie!D226),10,0)</f>
        <v>0</v>
      </c>
      <c r="AB229" t="e">
        <f t="shared" ca="1" si="27"/>
        <v>#N/A</v>
      </c>
      <c r="AC229" t="e">
        <f t="shared" ca="1" si="28"/>
        <v>#N/A</v>
      </c>
      <c r="AD229" t="e">
        <f>IF(VLOOKUP('Nom du personnage'!$U$51,Données!$P$3:$R$30,3,FALSE)=1,VLOOKUP(AC229,B229:C408,2,FALSE)+1,VLOOKUP(AC229,B229:C408,2,FALSE))</f>
        <v>#N/A</v>
      </c>
      <c r="AE229" t="e">
        <f t="shared" ca="1" si="29"/>
        <v>#N/A</v>
      </c>
      <c r="AF229" t="e">
        <f t="shared" ca="1" si="30"/>
        <v>#N/A</v>
      </c>
      <c r="AG229" t="e">
        <f>IF(VLOOKUP('Nom du personnage'!$U$51,Données!$P$3:$R$30,3,FALSE)=1,VLOOKUP(AF229,B229:C408,2,FALSE)+1,VLOOKUP(AF229,B229:C408,2,FALSE))</f>
        <v>#N/A</v>
      </c>
      <c r="AH229" t="e">
        <f t="shared" ca="1" si="31"/>
        <v>#N/A</v>
      </c>
    </row>
    <row r="230" spans="1:34">
      <c r="A230" s="2" t="s">
        <v>326</v>
      </c>
      <c r="B230" s="2" t="s">
        <v>546</v>
      </c>
      <c r="C230">
        <v>3</v>
      </c>
      <c r="D230">
        <v>6</v>
      </c>
      <c r="O230" cm="1">
        <f t="array" ref="O230:W230">'Nom du personnage'!$H$88:$P$88</f>
        <v>0</v>
      </c>
      <c r="P230">
        <v>0</v>
      </c>
      <c r="Q230">
        <v>0</v>
      </c>
      <c r="R230">
        <v>0</v>
      </c>
      <c r="S230">
        <v>0</v>
      </c>
      <c r="T230">
        <v>0</v>
      </c>
      <c r="U230">
        <v>0</v>
      </c>
      <c r="V230">
        <v>0</v>
      </c>
      <c r="W230">
        <v>0</v>
      </c>
      <c r="X230" cm="1">
        <f t="array" ref="X230">IF(OR(A230='Nom du personnage'!$H$88:$O$88,'Nom du personnage'!$V$88:$AC$88=Magie!A230),1,)</f>
        <v>0</v>
      </c>
      <c r="Y230" t="e">
        <f ca="1">IF('Nom du personnage'!$AC$59&gt;=Magie!D230,1,)</f>
        <v>#N/A</v>
      </c>
      <c r="Z230">
        <f ca="1">IF(AND(A230='Nom du personnage'!$H$88,_xlfn.AGGREGATE(4,6,'Nom du personnage'!$C$91:$D$109)&gt;=Magie!D227),1,0)</f>
        <v>0</v>
      </c>
      <c r="AA230">
        <f ca="1">IF(AND(A230='Nom du personnage'!$V$88,_xlfn.AGGREGATE(4,6,'Nom du personnage'!$Q$91:$R$109)&gt;=Magie!D227),10,0)</f>
        <v>0</v>
      </c>
      <c r="AB230" t="e">
        <f t="shared" ca="1" si="27"/>
        <v>#N/A</v>
      </c>
      <c r="AC230" t="e">
        <f t="shared" ca="1" si="28"/>
        <v>#N/A</v>
      </c>
      <c r="AD230" t="e">
        <f>IF(VLOOKUP('Nom du personnage'!$U$51,Données!$P$3:$R$30,3,FALSE)=1,VLOOKUP(AC230,B230:C409,2,FALSE)+1,VLOOKUP(AC230,B230:C409,2,FALSE))</f>
        <v>#N/A</v>
      </c>
      <c r="AE230" t="e">
        <f t="shared" ca="1" si="29"/>
        <v>#N/A</v>
      </c>
      <c r="AF230" t="e">
        <f t="shared" ca="1" si="30"/>
        <v>#N/A</v>
      </c>
      <c r="AG230" t="e">
        <f>IF(VLOOKUP('Nom du personnage'!$U$51,Données!$P$3:$R$30,3,FALSE)=1,VLOOKUP(AF230,B230:C409,2,FALSE)+1,VLOOKUP(AF230,B230:C409,2,FALSE))</f>
        <v>#N/A</v>
      </c>
      <c r="AH230" t="e">
        <f t="shared" ca="1" si="31"/>
        <v>#N/A</v>
      </c>
    </row>
    <row r="231" spans="1:34">
      <c r="A231" s="2" t="s">
        <v>326</v>
      </c>
      <c r="B231" s="2" t="s">
        <v>353</v>
      </c>
      <c r="C231">
        <v>4</v>
      </c>
      <c r="D231">
        <v>7</v>
      </c>
      <c r="O231" cm="1">
        <f t="array" ref="O231:W231">'Nom du personnage'!$H$88:$P$88</f>
        <v>0</v>
      </c>
      <c r="P231">
        <v>0</v>
      </c>
      <c r="Q231">
        <v>0</v>
      </c>
      <c r="R231">
        <v>0</v>
      </c>
      <c r="S231">
        <v>0</v>
      </c>
      <c r="T231">
        <v>0</v>
      </c>
      <c r="U231">
        <v>0</v>
      </c>
      <c r="V231">
        <v>0</v>
      </c>
      <c r="W231">
        <v>0</v>
      </c>
      <c r="X231" cm="1">
        <f t="array" ref="X231">IF(OR(A231='Nom du personnage'!$H$88:$O$88,'Nom du personnage'!$V$88:$AC$88=Magie!A231),1,)</f>
        <v>0</v>
      </c>
      <c r="Y231" t="e">
        <f ca="1">IF('Nom du personnage'!$AC$59&gt;=Magie!D231,1,)</f>
        <v>#N/A</v>
      </c>
      <c r="Z231">
        <f ca="1">IF(AND(A231='Nom du personnage'!$H$88,_xlfn.AGGREGATE(4,6,'Nom du personnage'!$C$91:$D$109)&gt;=Magie!D228),1,0)</f>
        <v>0</v>
      </c>
      <c r="AA231">
        <f ca="1">IF(AND(A231='Nom du personnage'!$V$88,_xlfn.AGGREGATE(4,6,'Nom du personnage'!$Q$91:$R$109)&gt;=Magie!D228),10,0)</f>
        <v>0</v>
      </c>
      <c r="AB231" t="e">
        <f t="shared" ca="1" si="27"/>
        <v>#N/A</v>
      </c>
      <c r="AC231" t="e">
        <f t="shared" ca="1" si="28"/>
        <v>#N/A</v>
      </c>
      <c r="AD231" t="e">
        <f>IF(VLOOKUP('Nom du personnage'!$U$51,Données!$P$3:$R$30,3,FALSE)=1,VLOOKUP(AC231,B231:C410,2,FALSE)+1,VLOOKUP(AC231,B231:C410,2,FALSE))</f>
        <v>#N/A</v>
      </c>
      <c r="AE231" t="e">
        <f t="shared" ca="1" si="29"/>
        <v>#N/A</v>
      </c>
      <c r="AF231" t="e">
        <f t="shared" ca="1" si="30"/>
        <v>#N/A</v>
      </c>
      <c r="AG231" t="e">
        <f>IF(VLOOKUP('Nom du personnage'!$U$51,Données!$P$3:$R$30,3,FALSE)=1,VLOOKUP(AF231,B231:C410,2,FALSE)+1,VLOOKUP(AF231,B231:C410,2,FALSE))</f>
        <v>#N/A</v>
      </c>
      <c r="AH231" t="e">
        <f t="shared" ca="1" si="31"/>
        <v>#N/A</v>
      </c>
    </row>
    <row r="232" spans="1:34">
      <c r="A232" s="2" t="s">
        <v>326</v>
      </c>
      <c r="B232" s="2" t="s">
        <v>346</v>
      </c>
      <c r="C232">
        <v>4</v>
      </c>
      <c r="D232">
        <v>7</v>
      </c>
      <c r="O232" cm="1">
        <f t="array" ref="O232:W232">'Nom du personnage'!$H$88:$P$88</f>
        <v>0</v>
      </c>
      <c r="P232">
        <v>0</v>
      </c>
      <c r="Q232">
        <v>0</v>
      </c>
      <c r="R232">
        <v>0</v>
      </c>
      <c r="S232">
        <v>0</v>
      </c>
      <c r="T232">
        <v>0</v>
      </c>
      <c r="U232">
        <v>0</v>
      </c>
      <c r="V232">
        <v>0</v>
      </c>
      <c r="W232">
        <v>0</v>
      </c>
      <c r="X232" cm="1">
        <f t="array" ref="X232">IF(OR(A232='Nom du personnage'!$H$88:$O$88,'Nom du personnage'!$V$88:$AC$88=Magie!A232),1,)</f>
        <v>0</v>
      </c>
      <c r="Y232" t="e">
        <f ca="1">IF('Nom du personnage'!$AC$59&gt;=Magie!D232,1,)</f>
        <v>#N/A</v>
      </c>
      <c r="Z232">
        <f ca="1">IF(AND(A232='Nom du personnage'!$H$88,_xlfn.AGGREGATE(4,6,'Nom du personnage'!$C$91:$D$109)&gt;=Magie!D229),1,0)</f>
        <v>0</v>
      </c>
      <c r="AA232">
        <f ca="1">IF(AND(A232='Nom du personnage'!$V$88,_xlfn.AGGREGATE(4,6,'Nom du personnage'!$Q$91:$R$109)&gt;=Magie!D229),10,0)</f>
        <v>0</v>
      </c>
      <c r="AB232" t="e">
        <f t="shared" ca="1" si="27"/>
        <v>#N/A</v>
      </c>
      <c r="AC232" t="e">
        <f t="shared" ca="1" si="28"/>
        <v>#N/A</v>
      </c>
      <c r="AD232" t="e">
        <f>IF(VLOOKUP('Nom du personnage'!$U$51,Données!$P$3:$R$30,3,FALSE)=1,VLOOKUP(AC232,B232:C411,2,FALSE)+1,VLOOKUP(AC232,B232:C411,2,FALSE))</f>
        <v>#N/A</v>
      </c>
      <c r="AE232" t="e">
        <f t="shared" ca="1" si="29"/>
        <v>#N/A</v>
      </c>
      <c r="AF232" t="e">
        <f t="shared" ca="1" si="30"/>
        <v>#N/A</v>
      </c>
      <c r="AG232" t="e">
        <f>IF(VLOOKUP('Nom du personnage'!$U$51,Données!$P$3:$R$30,3,FALSE)=1,VLOOKUP(AF232,B232:C411,2,FALSE)+1,VLOOKUP(AF232,B232:C411,2,FALSE))</f>
        <v>#N/A</v>
      </c>
      <c r="AH232" t="e">
        <f t="shared" ca="1" si="31"/>
        <v>#N/A</v>
      </c>
    </row>
    <row r="233" spans="1:34">
      <c r="A233" s="2" t="s">
        <v>326</v>
      </c>
      <c r="B233" s="2" t="s">
        <v>547</v>
      </c>
      <c r="C233">
        <v>4</v>
      </c>
      <c r="D233">
        <v>7</v>
      </c>
      <c r="O233" cm="1">
        <f t="array" ref="O233:W233">'Nom du personnage'!$H$88:$P$88</f>
        <v>0</v>
      </c>
      <c r="P233">
        <v>0</v>
      </c>
      <c r="Q233">
        <v>0</v>
      </c>
      <c r="R233">
        <v>0</v>
      </c>
      <c r="S233">
        <v>0</v>
      </c>
      <c r="T233">
        <v>0</v>
      </c>
      <c r="U233">
        <v>0</v>
      </c>
      <c r="V233">
        <v>0</v>
      </c>
      <c r="W233">
        <v>0</v>
      </c>
      <c r="X233" cm="1">
        <f t="array" ref="X233">IF(OR(A233='Nom du personnage'!$H$88:$O$88,'Nom du personnage'!$V$88:$AC$88=Magie!A233),1,)</f>
        <v>0</v>
      </c>
      <c r="Y233" t="e">
        <f ca="1">IF('Nom du personnage'!$AC$59&gt;=Magie!D233,1,)</f>
        <v>#N/A</v>
      </c>
      <c r="Z233">
        <f ca="1">IF(AND(A233='Nom du personnage'!$H$88,_xlfn.AGGREGATE(4,6,'Nom du personnage'!$C$91:$D$109)&gt;=Magie!D230),1,0)</f>
        <v>0</v>
      </c>
      <c r="AA233">
        <f ca="1">IF(AND(A233='Nom du personnage'!$V$88,_xlfn.AGGREGATE(4,6,'Nom du personnage'!$Q$91:$R$109)&gt;=Magie!D230),10,0)</f>
        <v>0</v>
      </c>
      <c r="AB233" t="e">
        <f t="shared" ca="1" si="27"/>
        <v>#N/A</v>
      </c>
      <c r="AC233" t="e">
        <f t="shared" ca="1" si="28"/>
        <v>#N/A</v>
      </c>
      <c r="AD233" t="e">
        <f>IF(VLOOKUP('Nom du personnage'!$U$51,Données!$P$3:$R$30,3,FALSE)=1,VLOOKUP(AC233,B233:C412,2,FALSE)+1,VLOOKUP(AC233,B233:C412,2,FALSE))</f>
        <v>#N/A</v>
      </c>
      <c r="AE233" t="e">
        <f t="shared" ca="1" si="29"/>
        <v>#N/A</v>
      </c>
      <c r="AF233" t="e">
        <f t="shared" ca="1" si="30"/>
        <v>#N/A</v>
      </c>
      <c r="AG233" t="e">
        <f>IF(VLOOKUP('Nom du personnage'!$U$51,Données!$P$3:$R$30,3,FALSE)=1,VLOOKUP(AF233,B233:C412,2,FALSE)+1,VLOOKUP(AF233,B233:C412,2,FALSE))</f>
        <v>#N/A</v>
      </c>
      <c r="AH233" t="e">
        <f t="shared" ca="1" si="31"/>
        <v>#N/A</v>
      </c>
    </row>
    <row r="234" spans="1:34">
      <c r="A234" s="2" t="s">
        <v>326</v>
      </c>
      <c r="B234" s="2" t="s">
        <v>548</v>
      </c>
      <c r="C234">
        <v>4</v>
      </c>
      <c r="D234">
        <v>8</v>
      </c>
      <c r="O234" cm="1">
        <f t="array" ref="O234:W234">'Nom du personnage'!$H$88:$P$88</f>
        <v>0</v>
      </c>
      <c r="P234">
        <v>0</v>
      </c>
      <c r="Q234">
        <v>0</v>
      </c>
      <c r="R234">
        <v>0</v>
      </c>
      <c r="S234">
        <v>0</v>
      </c>
      <c r="T234">
        <v>0</v>
      </c>
      <c r="U234">
        <v>0</v>
      </c>
      <c r="V234">
        <v>0</v>
      </c>
      <c r="W234">
        <v>0</v>
      </c>
      <c r="X234" cm="1">
        <f t="array" ref="X234">IF(OR(A234='Nom du personnage'!$H$88:$O$88,'Nom du personnage'!$V$88:$AC$88=Magie!A234),1,)</f>
        <v>0</v>
      </c>
      <c r="Y234" t="e">
        <f ca="1">IF('Nom du personnage'!$AC$59&gt;=Magie!D234,1,)</f>
        <v>#N/A</v>
      </c>
      <c r="Z234">
        <f ca="1">IF(AND(A234='Nom du personnage'!$H$88,_xlfn.AGGREGATE(4,6,'Nom du personnage'!$C$91:$D$109)&gt;=Magie!D231),1,0)</f>
        <v>0</v>
      </c>
      <c r="AA234">
        <f ca="1">IF(AND(A234='Nom du personnage'!$V$88,_xlfn.AGGREGATE(4,6,'Nom du personnage'!$Q$91:$R$109)&gt;=Magie!D231),10,0)</f>
        <v>0</v>
      </c>
      <c r="AB234" t="e">
        <f t="shared" ca="1" si="27"/>
        <v>#N/A</v>
      </c>
      <c r="AC234" t="e">
        <f t="shared" ca="1" si="28"/>
        <v>#N/A</v>
      </c>
      <c r="AD234" t="e">
        <f>IF(VLOOKUP('Nom du personnage'!$U$51,Données!$P$3:$R$30,3,FALSE)=1,VLOOKUP(AC234,B234:C413,2,FALSE)+1,VLOOKUP(AC234,B234:C413,2,FALSE))</f>
        <v>#N/A</v>
      </c>
      <c r="AE234" t="e">
        <f t="shared" ca="1" si="29"/>
        <v>#N/A</v>
      </c>
      <c r="AF234" t="e">
        <f t="shared" ca="1" si="30"/>
        <v>#N/A</v>
      </c>
      <c r="AG234" t="e">
        <f>IF(VLOOKUP('Nom du personnage'!$U$51,Données!$P$3:$R$30,3,FALSE)=1,VLOOKUP(AF234,B234:C413,2,FALSE)+1,VLOOKUP(AF234,B234:C413,2,FALSE))</f>
        <v>#N/A</v>
      </c>
      <c r="AH234" t="e">
        <f t="shared" ca="1" si="31"/>
        <v>#N/A</v>
      </c>
    </row>
    <row r="235" spans="1:34">
      <c r="A235" s="2" t="s">
        <v>326</v>
      </c>
      <c r="B235" s="2" t="s">
        <v>529</v>
      </c>
      <c r="C235">
        <v>4</v>
      </c>
      <c r="D235">
        <v>8</v>
      </c>
      <c r="O235" cm="1">
        <f t="array" ref="O235:W235">'Nom du personnage'!$H$88:$P$88</f>
        <v>0</v>
      </c>
      <c r="P235">
        <v>0</v>
      </c>
      <c r="Q235">
        <v>0</v>
      </c>
      <c r="R235">
        <v>0</v>
      </c>
      <c r="S235">
        <v>0</v>
      </c>
      <c r="T235">
        <v>0</v>
      </c>
      <c r="U235">
        <v>0</v>
      </c>
      <c r="V235">
        <v>0</v>
      </c>
      <c r="W235">
        <v>0</v>
      </c>
      <c r="X235" cm="1">
        <f t="array" ref="X235">IF(OR(A235='Nom du personnage'!$H$88:$O$88,'Nom du personnage'!$V$88:$AC$88=Magie!A235),1,)</f>
        <v>0</v>
      </c>
      <c r="Y235" t="e">
        <f ca="1">IF('Nom du personnage'!$AC$59&gt;=Magie!D235,1,)</f>
        <v>#N/A</v>
      </c>
      <c r="Z235">
        <f ca="1">IF(AND(A235='Nom du personnage'!$H$88,_xlfn.AGGREGATE(4,6,'Nom du personnage'!$C$91:$D$109)&gt;=Magie!D232),1,0)</f>
        <v>0</v>
      </c>
      <c r="AA235">
        <f ca="1">IF(AND(A235='Nom du personnage'!$V$88,_xlfn.AGGREGATE(4,6,'Nom du personnage'!$Q$91:$R$109)&gt;=Magie!D232),10,0)</f>
        <v>0</v>
      </c>
      <c r="AB235" t="e">
        <f t="shared" ca="1" si="27"/>
        <v>#N/A</v>
      </c>
      <c r="AC235" t="e">
        <f t="shared" ca="1" si="28"/>
        <v>#N/A</v>
      </c>
      <c r="AD235" t="e">
        <f>IF(VLOOKUP('Nom du personnage'!$U$51,Données!$P$3:$R$30,3,FALSE)=1,VLOOKUP(AC235,B235:C414,2,FALSE)+1,VLOOKUP(AC235,B235:C414,2,FALSE))</f>
        <v>#N/A</v>
      </c>
      <c r="AE235" t="e">
        <f t="shared" ca="1" si="29"/>
        <v>#N/A</v>
      </c>
      <c r="AF235" t="e">
        <f t="shared" ca="1" si="30"/>
        <v>#N/A</v>
      </c>
      <c r="AG235" t="e">
        <f>IF(VLOOKUP('Nom du personnage'!$U$51,Données!$P$3:$R$30,3,FALSE)=1,VLOOKUP(AF235,B235:C414,2,FALSE)+1,VLOOKUP(AF235,B235:C414,2,FALSE))</f>
        <v>#N/A</v>
      </c>
      <c r="AH235" t="e">
        <f t="shared" ca="1" si="31"/>
        <v>#N/A</v>
      </c>
    </row>
    <row r="236" spans="1:34">
      <c r="A236" s="2" t="s">
        <v>326</v>
      </c>
      <c r="B236" s="2" t="s">
        <v>549</v>
      </c>
      <c r="C236">
        <v>4</v>
      </c>
      <c r="D236">
        <v>8</v>
      </c>
      <c r="O236" cm="1">
        <f t="array" ref="O236:W236">'Nom du personnage'!$H$88:$P$88</f>
        <v>0</v>
      </c>
      <c r="P236">
        <v>0</v>
      </c>
      <c r="Q236">
        <v>0</v>
      </c>
      <c r="R236">
        <v>0</v>
      </c>
      <c r="S236">
        <v>0</v>
      </c>
      <c r="T236">
        <v>0</v>
      </c>
      <c r="U236">
        <v>0</v>
      </c>
      <c r="V236">
        <v>0</v>
      </c>
      <c r="W236">
        <v>0</v>
      </c>
      <c r="X236" cm="1">
        <f t="array" ref="X236">IF(OR(A236='Nom du personnage'!$H$88:$O$88,'Nom du personnage'!$V$88:$AC$88=Magie!A236),1,)</f>
        <v>0</v>
      </c>
      <c r="Y236" t="e">
        <f ca="1">IF('Nom du personnage'!$AC$59&gt;=Magie!D236,1,)</f>
        <v>#N/A</v>
      </c>
      <c r="Z236">
        <f ca="1">IF(AND(A236='Nom du personnage'!$H$88,_xlfn.AGGREGATE(4,6,'Nom du personnage'!$C$91:$D$109)&gt;=Magie!D233),1,0)</f>
        <v>0</v>
      </c>
      <c r="AA236">
        <f ca="1">IF(AND(A236='Nom du personnage'!$V$88,_xlfn.AGGREGATE(4,6,'Nom du personnage'!$Q$91:$R$109)&gt;=Magie!D233),10,0)</f>
        <v>0</v>
      </c>
      <c r="AB236" t="e">
        <f t="shared" ca="1" si="27"/>
        <v>#N/A</v>
      </c>
      <c r="AC236" t="e">
        <f t="shared" ca="1" si="28"/>
        <v>#N/A</v>
      </c>
      <c r="AD236" t="e">
        <f>IF(VLOOKUP('Nom du personnage'!$U$51,Données!$P$3:$R$30,3,FALSE)=1,VLOOKUP(AC236,B236:C415,2,FALSE)+1,VLOOKUP(AC236,B236:C415,2,FALSE))</f>
        <v>#N/A</v>
      </c>
      <c r="AE236" t="e">
        <f t="shared" ca="1" si="29"/>
        <v>#N/A</v>
      </c>
      <c r="AF236" t="e">
        <f t="shared" ca="1" si="30"/>
        <v>#N/A</v>
      </c>
      <c r="AG236" t="e">
        <f>IF(VLOOKUP('Nom du personnage'!$U$51,Données!$P$3:$R$30,3,FALSE)=1,VLOOKUP(AF236,B236:C415,2,FALSE)+1,VLOOKUP(AF236,B236:C415,2,FALSE))</f>
        <v>#N/A</v>
      </c>
      <c r="AH236" t="e">
        <f t="shared" ca="1" si="31"/>
        <v>#N/A</v>
      </c>
    </row>
    <row r="237" spans="1:34">
      <c r="A237" s="2" t="s">
        <v>326</v>
      </c>
      <c r="B237" s="2" t="s">
        <v>550</v>
      </c>
      <c r="C237">
        <v>4</v>
      </c>
      <c r="D237">
        <v>9</v>
      </c>
      <c r="O237" cm="1">
        <f t="array" ref="O237:W237">'Nom du personnage'!$H$88:$P$88</f>
        <v>0</v>
      </c>
      <c r="P237">
        <v>0</v>
      </c>
      <c r="Q237">
        <v>0</v>
      </c>
      <c r="R237">
        <v>0</v>
      </c>
      <c r="S237">
        <v>0</v>
      </c>
      <c r="T237">
        <v>0</v>
      </c>
      <c r="U237">
        <v>0</v>
      </c>
      <c r="V237">
        <v>0</v>
      </c>
      <c r="W237">
        <v>0</v>
      </c>
      <c r="X237" cm="1">
        <f t="array" ref="X237">IF(OR(A237='Nom du personnage'!$H$88:$O$88,'Nom du personnage'!$V$88:$AC$88=Magie!A237),1,)</f>
        <v>0</v>
      </c>
      <c r="Y237" t="e">
        <f ca="1">IF('Nom du personnage'!$AC$59&gt;=Magie!D237,1,)</f>
        <v>#N/A</v>
      </c>
      <c r="Z237">
        <f ca="1">IF(AND(A237='Nom du personnage'!$H$88,_xlfn.AGGREGATE(4,6,'Nom du personnage'!$C$91:$D$109)&gt;=Magie!D234),1,0)</f>
        <v>0</v>
      </c>
      <c r="AA237">
        <f ca="1">IF(AND(A237='Nom du personnage'!$V$88,_xlfn.AGGREGATE(4,6,'Nom du personnage'!$Q$91:$R$109)&gt;=Magie!D234),10,0)</f>
        <v>0</v>
      </c>
      <c r="AB237" t="e">
        <f t="shared" ca="1" si="27"/>
        <v>#N/A</v>
      </c>
      <c r="AC237" t="e">
        <f t="shared" ca="1" si="28"/>
        <v>#N/A</v>
      </c>
      <c r="AD237" t="e">
        <f>IF(VLOOKUP('Nom du personnage'!$U$51,Données!$P$3:$R$30,3,FALSE)=1,VLOOKUP(AC237,B237:C416,2,FALSE)+1,VLOOKUP(AC237,B237:C416,2,FALSE))</f>
        <v>#N/A</v>
      </c>
      <c r="AE237" t="e">
        <f t="shared" ca="1" si="29"/>
        <v>#N/A</v>
      </c>
      <c r="AF237" t="e">
        <f t="shared" ca="1" si="30"/>
        <v>#N/A</v>
      </c>
      <c r="AG237" t="e">
        <f>IF(VLOOKUP('Nom du personnage'!$U$51,Données!$P$3:$R$30,3,FALSE)=1,VLOOKUP(AF237,B237:C416,2,FALSE)+1,VLOOKUP(AF237,B237:C416,2,FALSE))</f>
        <v>#N/A</v>
      </c>
      <c r="AH237" t="e">
        <f t="shared" ca="1" si="31"/>
        <v>#N/A</v>
      </c>
    </row>
    <row r="238" spans="1:34">
      <c r="A238" s="2" t="s">
        <v>326</v>
      </c>
      <c r="B238" s="2" t="s">
        <v>551</v>
      </c>
      <c r="C238">
        <v>4</v>
      </c>
      <c r="D238">
        <v>9</v>
      </c>
      <c r="O238" cm="1">
        <f t="array" ref="O238:W238">'Nom du personnage'!$H$88:$P$88</f>
        <v>0</v>
      </c>
      <c r="P238">
        <v>0</v>
      </c>
      <c r="Q238">
        <v>0</v>
      </c>
      <c r="R238">
        <v>0</v>
      </c>
      <c r="S238">
        <v>0</v>
      </c>
      <c r="T238">
        <v>0</v>
      </c>
      <c r="U238">
        <v>0</v>
      </c>
      <c r="V238">
        <v>0</v>
      </c>
      <c r="W238">
        <v>0</v>
      </c>
      <c r="X238" cm="1">
        <f t="array" ref="X238">IF(OR(A238='Nom du personnage'!$H$88:$O$88,'Nom du personnage'!$V$88:$AC$88=Magie!A238),1,)</f>
        <v>0</v>
      </c>
      <c r="Y238" t="e">
        <f ca="1">IF('Nom du personnage'!$AC$59&gt;=Magie!D238,1,)</f>
        <v>#N/A</v>
      </c>
      <c r="Z238">
        <f ca="1">IF(AND(A238='Nom du personnage'!$H$88,_xlfn.AGGREGATE(4,6,'Nom du personnage'!$C$91:$D$109)&gt;=Magie!D235),1,0)</f>
        <v>0</v>
      </c>
      <c r="AA238">
        <f ca="1">IF(AND(A238='Nom du personnage'!$V$88,_xlfn.AGGREGATE(4,6,'Nom du personnage'!$Q$91:$R$109)&gt;=Magie!D235),10,0)</f>
        <v>0</v>
      </c>
      <c r="AB238" t="e">
        <f t="shared" ca="1" si="27"/>
        <v>#N/A</v>
      </c>
      <c r="AC238" t="e">
        <f t="shared" ca="1" si="28"/>
        <v>#N/A</v>
      </c>
      <c r="AD238" t="e">
        <f>IF(VLOOKUP('Nom du personnage'!$U$51,Données!$P$3:$R$30,3,FALSE)=1,VLOOKUP(AC238,B238:C417,2,FALSE)+1,VLOOKUP(AC238,B238:C417,2,FALSE))</f>
        <v>#N/A</v>
      </c>
      <c r="AE238" t="e">
        <f t="shared" ca="1" si="29"/>
        <v>#N/A</v>
      </c>
      <c r="AF238" t="e">
        <f t="shared" ca="1" si="30"/>
        <v>#N/A</v>
      </c>
      <c r="AG238" t="e">
        <f>IF(VLOOKUP('Nom du personnage'!$U$51,Données!$P$3:$R$30,3,FALSE)=1,VLOOKUP(AF238,B238:C417,2,FALSE)+1,VLOOKUP(AF238,B238:C417,2,FALSE))</f>
        <v>#N/A</v>
      </c>
      <c r="AH238" t="e">
        <f t="shared" ca="1" si="31"/>
        <v>#N/A</v>
      </c>
    </row>
    <row r="239" spans="1:34">
      <c r="A239" s="2" t="s">
        <v>326</v>
      </c>
      <c r="B239" s="2" t="s">
        <v>552</v>
      </c>
      <c r="C239">
        <v>4</v>
      </c>
      <c r="D239">
        <v>9</v>
      </c>
      <c r="O239" cm="1">
        <f t="array" ref="O239:W239">'Nom du personnage'!$H$88:$P$88</f>
        <v>0</v>
      </c>
      <c r="P239">
        <v>0</v>
      </c>
      <c r="Q239">
        <v>0</v>
      </c>
      <c r="R239">
        <v>0</v>
      </c>
      <c r="S239">
        <v>0</v>
      </c>
      <c r="T239">
        <v>0</v>
      </c>
      <c r="U239">
        <v>0</v>
      </c>
      <c r="V239">
        <v>0</v>
      </c>
      <c r="W239">
        <v>0</v>
      </c>
      <c r="X239" cm="1">
        <f t="array" ref="X239">IF(OR(A239='Nom du personnage'!$H$88:$O$88,'Nom du personnage'!$V$88:$AC$88=Magie!A239),1,)</f>
        <v>0</v>
      </c>
      <c r="Y239" t="e">
        <f ca="1">IF('Nom du personnage'!$AC$59&gt;=Magie!D239,1,)</f>
        <v>#N/A</v>
      </c>
      <c r="Z239">
        <f ca="1">IF(AND(A239='Nom du personnage'!$H$88,_xlfn.AGGREGATE(4,6,'Nom du personnage'!$C$91:$D$109)&gt;=Magie!D236),1,0)</f>
        <v>0</v>
      </c>
      <c r="AA239">
        <f ca="1">IF(AND(A239='Nom du personnage'!$V$88,_xlfn.AGGREGATE(4,6,'Nom du personnage'!$Q$91:$R$109)&gt;=Magie!D236),10,0)</f>
        <v>0</v>
      </c>
      <c r="AB239" t="e">
        <f t="shared" ca="1" si="27"/>
        <v>#N/A</v>
      </c>
      <c r="AC239" t="e">
        <f t="shared" ca="1" si="28"/>
        <v>#N/A</v>
      </c>
      <c r="AD239" t="e">
        <f>IF(VLOOKUP('Nom du personnage'!$U$51,Données!$P$3:$R$30,3,FALSE)=1,VLOOKUP(AC239,B239:C418,2,FALSE)+1,VLOOKUP(AC239,B239:C418,2,FALSE))</f>
        <v>#N/A</v>
      </c>
      <c r="AE239" t="e">
        <f t="shared" ca="1" si="29"/>
        <v>#N/A</v>
      </c>
      <c r="AF239" t="e">
        <f t="shared" ca="1" si="30"/>
        <v>#N/A</v>
      </c>
      <c r="AG239" t="e">
        <f>IF(VLOOKUP('Nom du personnage'!$U$51,Données!$P$3:$R$30,3,FALSE)=1,VLOOKUP(AF239,B239:C418,2,FALSE)+1,VLOOKUP(AF239,B239:C418,2,FALSE))</f>
        <v>#N/A</v>
      </c>
      <c r="AH239" t="e">
        <f t="shared" ca="1" si="31"/>
        <v>#N/A</v>
      </c>
    </row>
    <row r="240" spans="1:34">
      <c r="A240" s="2" t="s">
        <v>326</v>
      </c>
      <c r="B240" s="2" t="s">
        <v>553</v>
      </c>
      <c r="C240">
        <v>5</v>
      </c>
      <c r="D240">
        <v>10</v>
      </c>
      <c r="O240" cm="1">
        <f t="array" ref="O240:W240">'Nom du personnage'!$H$88:$P$88</f>
        <v>0</v>
      </c>
      <c r="P240">
        <v>0</v>
      </c>
      <c r="Q240">
        <v>0</v>
      </c>
      <c r="R240">
        <v>0</v>
      </c>
      <c r="S240">
        <v>0</v>
      </c>
      <c r="T240">
        <v>0</v>
      </c>
      <c r="U240">
        <v>0</v>
      </c>
      <c r="V240">
        <v>0</v>
      </c>
      <c r="W240">
        <v>0</v>
      </c>
      <c r="X240" cm="1">
        <f t="array" ref="X240">IF(OR(A240='Nom du personnage'!$H$88:$O$88,'Nom du personnage'!$V$88:$AC$88=Magie!A240),1,)</f>
        <v>0</v>
      </c>
      <c r="Y240" t="e">
        <f ca="1">IF('Nom du personnage'!$AC$59&gt;=Magie!D240,1,)</f>
        <v>#N/A</v>
      </c>
      <c r="Z240">
        <f ca="1">IF(AND(A240='Nom du personnage'!$H$88,_xlfn.AGGREGATE(4,6,'Nom du personnage'!$C$91:$D$109)&gt;=Magie!D237),1,0)</f>
        <v>0</v>
      </c>
      <c r="AA240">
        <f ca="1">IF(AND(A240='Nom du personnage'!$V$88,_xlfn.AGGREGATE(4,6,'Nom du personnage'!$Q$91:$R$109)&gt;=Magie!D237),10,0)</f>
        <v>0</v>
      </c>
      <c r="AB240" t="e">
        <f t="shared" ca="1" si="27"/>
        <v>#N/A</v>
      </c>
      <c r="AC240" t="e">
        <f t="shared" ca="1" si="28"/>
        <v>#N/A</v>
      </c>
      <c r="AD240" t="e">
        <f>IF(VLOOKUP('Nom du personnage'!$U$51,Données!$P$3:$R$30,3,FALSE)=1,VLOOKUP(AC240,B240:C419,2,FALSE)+1,VLOOKUP(AC240,B240:C419,2,FALSE))</f>
        <v>#N/A</v>
      </c>
      <c r="AE240" t="e">
        <f t="shared" ca="1" si="29"/>
        <v>#N/A</v>
      </c>
      <c r="AF240" t="e">
        <f t="shared" ca="1" si="30"/>
        <v>#N/A</v>
      </c>
      <c r="AG240" t="e">
        <f>IF(VLOOKUP('Nom du personnage'!$U$51,Données!$P$3:$R$30,3,FALSE)=1,VLOOKUP(AF240,B240:C419,2,FALSE)+1,VLOOKUP(AF240,B240:C419,2,FALSE))</f>
        <v>#N/A</v>
      </c>
      <c r="AH240" t="e">
        <f t="shared" ca="1" si="31"/>
        <v>#N/A</v>
      </c>
    </row>
    <row r="241" spans="1:34">
      <c r="A241" s="2" t="s">
        <v>326</v>
      </c>
      <c r="B241" s="2" t="s">
        <v>554</v>
      </c>
      <c r="C241">
        <v>5</v>
      </c>
      <c r="D241">
        <v>10</v>
      </c>
      <c r="O241" cm="1">
        <f t="array" ref="O241:W241">'Nom du personnage'!$H$88:$P$88</f>
        <v>0</v>
      </c>
      <c r="P241">
        <v>0</v>
      </c>
      <c r="Q241">
        <v>0</v>
      </c>
      <c r="R241">
        <v>0</v>
      </c>
      <c r="S241">
        <v>0</v>
      </c>
      <c r="T241">
        <v>0</v>
      </c>
      <c r="U241">
        <v>0</v>
      </c>
      <c r="V241">
        <v>0</v>
      </c>
      <c r="W241">
        <v>0</v>
      </c>
      <c r="X241" cm="1">
        <f t="array" ref="X241">IF(OR(A241='Nom du personnage'!$H$88:$O$88,'Nom du personnage'!$V$88:$AC$88=Magie!A241),1,)</f>
        <v>0</v>
      </c>
      <c r="Y241" t="e">
        <f ca="1">IF('Nom du personnage'!$AC$59&gt;=Magie!D241,1,)</f>
        <v>#N/A</v>
      </c>
      <c r="Z241">
        <f ca="1">IF(AND(A241='Nom du personnage'!$H$88,_xlfn.AGGREGATE(4,6,'Nom du personnage'!$C$91:$D$109)&gt;=Magie!D238),1,0)</f>
        <v>0</v>
      </c>
      <c r="AA241">
        <f ca="1">IF(AND(A241='Nom du personnage'!$V$88,_xlfn.AGGREGATE(4,6,'Nom du personnage'!$Q$91:$R$109)&gt;=Magie!D238),10,0)</f>
        <v>0</v>
      </c>
      <c r="AB241" t="e">
        <f t="shared" ca="1" si="27"/>
        <v>#N/A</v>
      </c>
      <c r="AC241" t="e">
        <f t="shared" ca="1" si="28"/>
        <v>#N/A</v>
      </c>
      <c r="AD241" t="e">
        <f>IF(VLOOKUP('Nom du personnage'!$U$51,Données!$P$3:$R$30,3,FALSE)=1,VLOOKUP(AC241,B241:C420,2,FALSE)+1,VLOOKUP(AC241,B241:C420,2,FALSE))</f>
        <v>#N/A</v>
      </c>
      <c r="AE241" t="e">
        <f t="shared" ca="1" si="29"/>
        <v>#N/A</v>
      </c>
      <c r="AF241" t="e">
        <f t="shared" ca="1" si="30"/>
        <v>#N/A</v>
      </c>
      <c r="AG241" t="e">
        <f>IF(VLOOKUP('Nom du personnage'!$U$51,Données!$P$3:$R$30,3,FALSE)=1,VLOOKUP(AF241,B241:C420,2,FALSE)+1,VLOOKUP(AF241,B241:C420,2,FALSE))</f>
        <v>#N/A</v>
      </c>
      <c r="AH241" t="e">
        <f t="shared" ca="1" si="31"/>
        <v>#N/A</v>
      </c>
    </row>
    <row r="242" spans="1:34">
      <c r="A242" s="2" t="s">
        <v>326</v>
      </c>
      <c r="B242" s="2" t="s">
        <v>555</v>
      </c>
      <c r="C242">
        <v>5</v>
      </c>
      <c r="D242">
        <v>10</v>
      </c>
      <c r="O242" cm="1">
        <f t="array" ref="O242:W242">'Nom du personnage'!$H$88:$P$88</f>
        <v>0</v>
      </c>
      <c r="P242">
        <v>0</v>
      </c>
      <c r="Q242">
        <v>0</v>
      </c>
      <c r="R242">
        <v>0</v>
      </c>
      <c r="S242">
        <v>0</v>
      </c>
      <c r="T242">
        <v>0</v>
      </c>
      <c r="U242">
        <v>0</v>
      </c>
      <c r="V242">
        <v>0</v>
      </c>
      <c r="W242">
        <v>0</v>
      </c>
      <c r="X242" cm="1">
        <f t="array" ref="X242">IF(OR(A242='Nom du personnage'!$H$88:$O$88,'Nom du personnage'!$V$88:$AC$88=Magie!A242),1,)</f>
        <v>0</v>
      </c>
      <c r="Y242" t="e">
        <f ca="1">IF('Nom du personnage'!$AC$59&gt;=Magie!D242,1,)</f>
        <v>#N/A</v>
      </c>
      <c r="Z242">
        <f ca="1">IF(AND(A242='Nom du personnage'!$H$88,_xlfn.AGGREGATE(4,6,'Nom du personnage'!$C$91:$D$109)&gt;=Magie!D239),1,0)</f>
        <v>0</v>
      </c>
      <c r="AA242">
        <f ca="1">IF(AND(A242='Nom du personnage'!$V$88,_xlfn.AGGREGATE(4,6,'Nom du personnage'!$Q$91:$R$109)&gt;=Magie!D239),10,0)</f>
        <v>0</v>
      </c>
      <c r="AB242" t="e">
        <f t="shared" ca="1" si="27"/>
        <v>#N/A</v>
      </c>
      <c r="AC242" t="e">
        <f t="shared" ca="1" si="28"/>
        <v>#N/A</v>
      </c>
      <c r="AD242" t="e">
        <f>IF(VLOOKUP('Nom du personnage'!$U$51,Données!$P$3:$R$30,3,FALSE)=1,VLOOKUP(AC242,B242:C421,2,FALSE)+1,VLOOKUP(AC242,B242:C421,2,FALSE))</f>
        <v>#N/A</v>
      </c>
      <c r="AE242" t="e">
        <f t="shared" ca="1" si="29"/>
        <v>#N/A</v>
      </c>
      <c r="AF242" t="e">
        <f t="shared" ca="1" si="30"/>
        <v>#N/A</v>
      </c>
      <c r="AG242" t="e">
        <f>IF(VLOOKUP('Nom du personnage'!$U$51,Données!$P$3:$R$30,3,FALSE)=1,VLOOKUP(AF242,B242:C421,2,FALSE)+1,VLOOKUP(AF242,B242:C421,2,FALSE))</f>
        <v>#N/A</v>
      </c>
      <c r="AH242" t="e">
        <f t="shared" ca="1" si="31"/>
        <v>#N/A</v>
      </c>
    </row>
  </sheetData>
  <autoFilter ref="F2:G242" xr:uid="{099085DD-60E9-43B6-882E-FB9CADD69F95}">
    <sortState xmlns:xlrd2="http://schemas.microsoft.com/office/spreadsheetml/2017/richdata2" ref="F3:G242">
      <sortCondition ref="F2:F242"/>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94E2-A649-4E4A-8F87-4FA5BD148D09}">
  <sheetPr codeName="Feuil13"/>
  <dimension ref="A1:Y64"/>
  <sheetViews>
    <sheetView zoomScale="40" zoomScaleNormal="40" workbookViewId="0">
      <selection activeCell="K8" sqref="K8"/>
    </sheetView>
  </sheetViews>
  <sheetFormatPr baseColWidth="10" defaultRowHeight="15"/>
  <cols>
    <col min="2" max="2" width="29.453125" bestFit="1" customWidth="1"/>
    <col min="3" max="3" width="10.36328125" customWidth="1"/>
    <col min="4" max="4" width="9.08984375" customWidth="1"/>
    <col min="5" max="5" width="9.90625" customWidth="1"/>
    <col min="6" max="6" width="42.36328125" customWidth="1"/>
    <col min="7" max="7" width="10.90625" customWidth="1"/>
    <col min="8" max="8" width="10.90625" style="5" customWidth="1"/>
    <col min="9" max="22" width="10.90625" customWidth="1"/>
  </cols>
  <sheetData>
    <row r="1" spans="1:25">
      <c r="A1" s="2" t="s">
        <v>559</v>
      </c>
    </row>
    <row r="2" spans="1:25">
      <c r="B2" s="2" t="s">
        <v>27</v>
      </c>
      <c r="C2" s="2"/>
      <c r="F2" s="2" t="s">
        <v>51</v>
      </c>
      <c r="I2" s="2" t="s">
        <v>59</v>
      </c>
      <c r="L2" s="2" t="s">
        <v>63</v>
      </c>
      <c r="O2" s="2" t="s">
        <v>73</v>
      </c>
      <c r="R2" s="2" t="s">
        <v>88</v>
      </c>
      <c r="U2" s="2" t="s">
        <v>159</v>
      </c>
      <c r="X2" s="2" t="s">
        <v>118</v>
      </c>
    </row>
    <row r="3" spans="1:25">
      <c r="B3" s="2" t="s">
        <v>260</v>
      </c>
      <c r="C3" s="2">
        <f>VLOOKUP(B3,Compétences!$B$3:$C$96,2,FALSE)+4+2</f>
        <v>10</v>
      </c>
      <c r="D3" s="2"/>
      <c r="E3" s="2"/>
      <c r="F3" t="str">
        <f>CONCATENATE($A$1,B3)</f>
        <v>Touche à tout - Armure de la foi</v>
      </c>
      <c r="G3">
        <f>C3</f>
        <v>10</v>
      </c>
      <c r="H3" s="5" t="s">
        <v>260</v>
      </c>
      <c r="I3" t="str">
        <f>CONCATENATE($A$1,H3)</f>
        <v>Touche à tout - Armure de la foi</v>
      </c>
      <c r="J3" s="2">
        <f>VLOOKUP(H3,$B$3:$C$47,2,FALSE)</f>
        <v>10</v>
      </c>
      <c r="K3" t="s">
        <v>260</v>
      </c>
      <c r="L3" t="str">
        <f>CONCATENATE($A$1,K3)</f>
        <v>Touche à tout - Armure de la foi</v>
      </c>
      <c r="M3">
        <f>VLOOKUP(K3,B3:C47,2,FALSE)</f>
        <v>10</v>
      </c>
      <c r="N3" t="s">
        <v>260</v>
      </c>
      <c r="O3" t="str">
        <f>CONCATENATE($A$1,N3)</f>
        <v>Touche à tout - Armure de la foi</v>
      </c>
      <c r="P3">
        <f>VLOOKUP(N3,B3:C47,2,FALSE)</f>
        <v>10</v>
      </c>
      <c r="Q3" s="2" t="s">
        <v>185</v>
      </c>
      <c r="R3" t="str">
        <f>CONCATENATE($A$1,Q3)</f>
        <v>Touche à tout - Attaque brutale</v>
      </c>
      <c r="S3">
        <f>VLOOKUP(Q3,B3:C47,2,FALSE)</f>
        <v>12</v>
      </c>
      <c r="T3" s="2" t="s">
        <v>260</v>
      </c>
      <c r="U3" t="str">
        <f>CONCATENATE($A$1,T3)</f>
        <v>Touche à tout - Armure de la foi</v>
      </c>
      <c r="V3">
        <f>VLOOKUP(T3,B3:C47,2,FALSE)</f>
        <v>10</v>
      </c>
      <c r="W3" s="2" t="s">
        <v>260</v>
      </c>
      <c r="X3" t="str">
        <f>CONCATENATE($A$1,W3)</f>
        <v>Touche à tout - Armure de la foi</v>
      </c>
      <c r="Y3">
        <f>VLOOKUP(W3,B3:C47,2,FALSE)</f>
        <v>10</v>
      </c>
    </row>
    <row r="4" spans="1:25">
      <c r="B4" s="2" t="s">
        <v>185</v>
      </c>
      <c r="C4" s="2">
        <f>VLOOKUP(B4,Compétences!$B$3:$C$96,2,FALSE)+4+2</f>
        <v>12</v>
      </c>
      <c r="D4" s="2"/>
      <c r="E4" s="2"/>
      <c r="F4" t="str">
        <f t="shared" ref="F4:F47" si="0">CONCATENATE($A$1,B4)</f>
        <v>Touche à tout - Attaque brutale</v>
      </c>
      <c r="G4">
        <f t="shared" ref="G4:G47" si="1">C4</f>
        <v>12</v>
      </c>
      <c r="H4" s="5" t="s">
        <v>185</v>
      </c>
      <c r="I4" t="str">
        <f t="shared" ref="I4:I41" si="2">CONCATENATE($A$1,H4)</f>
        <v>Touche à tout - Attaque brutale</v>
      </c>
      <c r="J4" s="2">
        <f t="shared" ref="J4:J47" si="3">VLOOKUP(H4,$B$3:$C$47,2,FALSE)</f>
        <v>12</v>
      </c>
      <c r="K4" t="s">
        <v>185</v>
      </c>
      <c r="L4" t="str">
        <f t="shared" ref="L4:L41" si="4">CONCATENATE($A$1,K4)</f>
        <v>Touche à tout - Attaque brutale</v>
      </c>
      <c r="M4">
        <f t="shared" ref="M4:M47" si="5">VLOOKUP(K4,B4:C48,2,FALSE)</f>
        <v>12</v>
      </c>
      <c r="N4" t="s">
        <v>185</v>
      </c>
      <c r="O4" t="str">
        <f t="shared" ref="O4:O47" si="6">CONCATENATE($A$1,N4)</f>
        <v>Touche à tout - Attaque brutale</v>
      </c>
      <c r="P4">
        <f t="shared" ref="P4:P47" si="7">VLOOKUP(N4,B4:C48,2,FALSE)</f>
        <v>12</v>
      </c>
      <c r="Q4" s="2" t="s">
        <v>227</v>
      </c>
      <c r="R4" t="str">
        <f t="shared" ref="R4:R47" si="8">CONCATENATE($A$1,Q4)</f>
        <v>Touche à tout - Bouclier avancé</v>
      </c>
      <c r="S4">
        <f t="shared" ref="S4:S47" si="9">VLOOKUP(Q4,B4:C48,2,FALSE)</f>
        <v>9</v>
      </c>
      <c r="T4" s="2" t="s">
        <v>185</v>
      </c>
      <c r="U4" t="str">
        <f t="shared" ref="U4:U47" si="10">CONCATENATE($A$1,T4)</f>
        <v>Touche à tout - Attaque brutale</v>
      </c>
      <c r="V4">
        <f t="shared" ref="V4:V47" si="11">VLOOKUP(T4,B4:C48,2,FALSE)</f>
        <v>12</v>
      </c>
      <c r="W4" s="2" t="s">
        <v>261</v>
      </c>
      <c r="X4" t="str">
        <f t="shared" ref="X4:X47" si="12">CONCATENATE($A$1,W4)</f>
        <v>Touche à tout - Attaque divine</v>
      </c>
      <c r="Y4">
        <f t="shared" ref="Y4:Y47" si="13">VLOOKUP(W4,B4:C48,2,FALSE)</f>
        <v>11</v>
      </c>
    </row>
    <row r="5" spans="1:25">
      <c r="B5" s="2" t="s">
        <v>261</v>
      </c>
      <c r="C5" s="2">
        <f>VLOOKUP(B5,Compétences!$B$3:$C$96,2,FALSE)+4+2</f>
        <v>11</v>
      </c>
      <c r="D5" s="2"/>
      <c r="E5" s="2"/>
      <c r="F5" t="str">
        <f t="shared" si="0"/>
        <v>Touche à tout - Attaque divine</v>
      </c>
      <c r="G5">
        <f t="shared" si="1"/>
        <v>11</v>
      </c>
      <c r="H5" s="5" t="s">
        <v>261</v>
      </c>
      <c r="I5" t="str">
        <f t="shared" si="2"/>
        <v>Touche à tout - Attaque divine</v>
      </c>
      <c r="J5" s="2">
        <f t="shared" si="3"/>
        <v>11</v>
      </c>
      <c r="K5" t="s">
        <v>261</v>
      </c>
      <c r="L5" t="str">
        <f t="shared" si="4"/>
        <v>Touche à tout - Attaque divine</v>
      </c>
      <c r="M5">
        <f t="shared" si="5"/>
        <v>11</v>
      </c>
      <c r="N5" t="s">
        <v>261</v>
      </c>
      <c r="O5" t="str">
        <f t="shared" si="6"/>
        <v>Touche à tout - Attaque divine</v>
      </c>
      <c r="P5">
        <f t="shared" si="7"/>
        <v>11</v>
      </c>
      <c r="Q5" s="2" t="s">
        <v>199</v>
      </c>
      <c r="R5" t="str">
        <f t="shared" si="8"/>
        <v>Touche à tout - Bravoure accrue</v>
      </c>
      <c r="S5">
        <f t="shared" si="9"/>
        <v>12</v>
      </c>
      <c r="T5" s="2" t="s">
        <v>261</v>
      </c>
      <c r="U5" t="str">
        <f t="shared" si="10"/>
        <v>Touche à tout - Attaque divine</v>
      </c>
      <c r="V5">
        <f t="shared" si="11"/>
        <v>11</v>
      </c>
      <c r="W5" s="2" t="s">
        <v>227</v>
      </c>
      <c r="X5" t="str">
        <f t="shared" si="12"/>
        <v>Touche à tout - Bouclier avancé</v>
      </c>
      <c r="Y5">
        <f t="shared" si="13"/>
        <v>9</v>
      </c>
    </row>
    <row r="6" spans="1:25">
      <c r="B6" s="2" t="s">
        <v>227</v>
      </c>
      <c r="C6" s="2">
        <f>VLOOKUP(B6,Compétences!$B$3:$C$96,2,FALSE)+4+2</f>
        <v>9</v>
      </c>
      <c r="D6" s="2"/>
      <c r="E6" s="2"/>
      <c r="F6" t="str">
        <f t="shared" si="0"/>
        <v>Touche à tout - Bouclier avancé</v>
      </c>
      <c r="G6">
        <f t="shared" si="1"/>
        <v>9</v>
      </c>
      <c r="H6" s="5" t="s">
        <v>201</v>
      </c>
      <c r="I6" t="str">
        <f t="shared" si="2"/>
        <v>Touche à tout - Brise-bouclier</v>
      </c>
      <c r="J6" s="2">
        <f t="shared" si="3"/>
        <v>12</v>
      </c>
      <c r="K6" t="s">
        <v>227</v>
      </c>
      <c r="L6" t="str">
        <f t="shared" si="4"/>
        <v>Touche à tout - Bouclier avancé</v>
      </c>
      <c r="M6">
        <f t="shared" si="5"/>
        <v>9</v>
      </c>
      <c r="N6" t="s">
        <v>227</v>
      </c>
      <c r="O6" t="str">
        <f t="shared" si="6"/>
        <v>Touche à tout - Bouclier avancé</v>
      </c>
      <c r="P6">
        <f t="shared" si="7"/>
        <v>9</v>
      </c>
      <c r="Q6" s="2" t="s">
        <v>200</v>
      </c>
      <c r="R6" t="str">
        <f t="shared" si="8"/>
        <v>Touche à tout - Bris d'arme</v>
      </c>
      <c r="S6">
        <f t="shared" si="9"/>
        <v>12</v>
      </c>
      <c r="T6" s="2" t="s">
        <v>227</v>
      </c>
      <c r="U6" t="str">
        <f t="shared" si="10"/>
        <v>Touche à tout - Bouclier avancé</v>
      </c>
      <c r="V6">
        <f t="shared" si="11"/>
        <v>9</v>
      </c>
      <c r="W6" s="2" t="s">
        <v>232</v>
      </c>
      <c r="X6" t="str">
        <f t="shared" si="12"/>
        <v>Touche à tout - Clairvoyance</v>
      </c>
      <c r="Y6">
        <f t="shared" si="13"/>
        <v>11</v>
      </c>
    </row>
    <row r="7" spans="1:25">
      <c r="B7" s="2" t="s">
        <v>199</v>
      </c>
      <c r="C7" s="2">
        <f>VLOOKUP(B7,Compétences!$B$3:$C$96,2,FALSE)+4+2</f>
        <v>12</v>
      </c>
      <c r="D7" s="2"/>
      <c r="E7" s="2"/>
      <c r="F7" t="str">
        <f t="shared" si="0"/>
        <v>Touche à tout - Bravoure accrue</v>
      </c>
      <c r="G7">
        <f t="shared" si="1"/>
        <v>12</v>
      </c>
      <c r="H7" s="5" t="s">
        <v>232</v>
      </c>
      <c r="I7" t="str">
        <f t="shared" si="2"/>
        <v>Touche à tout - Clairvoyance</v>
      </c>
      <c r="J7" s="2">
        <f t="shared" si="3"/>
        <v>11</v>
      </c>
      <c r="K7" t="s">
        <v>199</v>
      </c>
      <c r="L7" t="str">
        <f t="shared" si="4"/>
        <v>Touche à tout - Bravoure accrue</v>
      </c>
      <c r="M7">
        <f t="shared" si="5"/>
        <v>12</v>
      </c>
      <c r="N7" t="s">
        <v>199</v>
      </c>
      <c r="O7" t="str">
        <f t="shared" si="6"/>
        <v>Touche à tout - Bravoure accrue</v>
      </c>
      <c r="P7">
        <f t="shared" si="7"/>
        <v>12</v>
      </c>
      <c r="Q7" s="2" t="s">
        <v>201</v>
      </c>
      <c r="R7" t="str">
        <f t="shared" si="8"/>
        <v>Touche à tout - Brise-bouclier</v>
      </c>
      <c r="S7">
        <f t="shared" si="9"/>
        <v>12</v>
      </c>
      <c r="T7" s="2" t="s">
        <v>199</v>
      </c>
      <c r="U7" t="str">
        <f t="shared" si="10"/>
        <v>Touche à tout - Bravoure accrue</v>
      </c>
      <c r="V7">
        <f t="shared" si="11"/>
        <v>12</v>
      </c>
      <c r="W7" s="2" t="s">
        <v>249</v>
      </c>
      <c r="X7" t="str">
        <f t="shared" si="12"/>
        <v>Touche à tout - Contact Marchand - Brasseur</v>
      </c>
      <c r="Y7">
        <f t="shared" si="13"/>
        <v>11</v>
      </c>
    </row>
    <row r="8" spans="1:25">
      <c r="B8" s="2" t="s">
        <v>200</v>
      </c>
      <c r="C8" s="2">
        <f>VLOOKUP(B8,Compétences!$B$3:$C$96,2,FALSE)+4+2</f>
        <v>12</v>
      </c>
      <c r="D8" s="2"/>
      <c r="E8" s="2"/>
      <c r="F8" t="str">
        <f t="shared" si="0"/>
        <v>Touche à tout - Bris d'arme</v>
      </c>
      <c r="G8">
        <f t="shared" si="1"/>
        <v>12</v>
      </c>
      <c r="H8" s="5" t="s">
        <v>249</v>
      </c>
      <c r="I8" t="str">
        <f t="shared" si="2"/>
        <v>Touche à tout - Contact Marchand - Brasseur</v>
      </c>
      <c r="J8" s="2">
        <f t="shared" si="3"/>
        <v>11</v>
      </c>
      <c r="K8" t="s">
        <v>200</v>
      </c>
      <c r="L8" t="str">
        <f t="shared" si="4"/>
        <v>Touche à tout - Bris d'arme</v>
      </c>
      <c r="M8">
        <f t="shared" si="5"/>
        <v>12</v>
      </c>
      <c r="N8" t="s">
        <v>200</v>
      </c>
      <c r="O8" t="str">
        <f t="shared" si="6"/>
        <v>Touche à tout - Bris d'arme</v>
      </c>
      <c r="P8">
        <f t="shared" si="7"/>
        <v>12</v>
      </c>
      <c r="Q8" s="2" t="s">
        <v>202</v>
      </c>
      <c r="R8" t="str">
        <f t="shared" si="8"/>
        <v>Touche à tout - Charge</v>
      </c>
      <c r="S8">
        <f t="shared" si="9"/>
        <v>11</v>
      </c>
      <c r="T8" s="2" t="s">
        <v>200</v>
      </c>
      <c r="U8" t="str">
        <f t="shared" si="10"/>
        <v>Touche à tout - Bris d'arme</v>
      </c>
      <c r="V8">
        <f t="shared" si="11"/>
        <v>12</v>
      </c>
      <c r="W8" s="2" t="s">
        <v>253</v>
      </c>
      <c r="X8" t="str">
        <f t="shared" si="12"/>
        <v>Touche à tout - Contact Marchand - Commanditaire</v>
      </c>
      <c r="Y8">
        <f t="shared" si="13"/>
        <v>16</v>
      </c>
    </row>
    <row r="9" spans="1:25">
      <c r="B9" s="2" t="s">
        <v>201</v>
      </c>
      <c r="C9" s="2">
        <f>VLOOKUP(B9,Compétences!$B$3:$C$96,2,FALSE)+4+2</f>
        <v>12</v>
      </c>
      <c r="D9" s="2"/>
      <c r="E9" s="2"/>
      <c r="F9" t="str">
        <f t="shared" si="0"/>
        <v>Touche à tout - Brise-bouclier</v>
      </c>
      <c r="G9">
        <f t="shared" si="1"/>
        <v>12</v>
      </c>
      <c r="H9" s="5" t="s">
        <v>253</v>
      </c>
      <c r="I9" t="str">
        <f t="shared" si="2"/>
        <v>Touche à tout - Contact Marchand - Commanditaire</v>
      </c>
      <c r="J9" s="2">
        <f t="shared" si="3"/>
        <v>16</v>
      </c>
      <c r="K9" t="s">
        <v>201</v>
      </c>
      <c r="L9" t="str">
        <f t="shared" si="4"/>
        <v>Touche à tout - Brise-bouclier</v>
      </c>
      <c r="M9">
        <f t="shared" si="5"/>
        <v>12</v>
      </c>
      <c r="N9" t="s">
        <v>201</v>
      </c>
      <c r="O9" t="str">
        <f t="shared" si="6"/>
        <v>Touche à tout - Brise-bouclier</v>
      </c>
      <c r="P9">
        <f t="shared" si="7"/>
        <v>12</v>
      </c>
      <c r="Q9" s="2" t="s">
        <v>203</v>
      </c>
      <c r="R9" t="str">
        <f t="shared" si="8"/>
        <v>Touche à tout - Charge accrue</v>
      </c>
      <c r="S9">
        <f t="shared" si="9"/>
        <v>12</v>
      </c>
      <c r="T9" s="2" t="s">
        <v>201</v>
      </c>
      <c r="U9" t="str">
        <f t="shared" si="10"/>
        <v>Touche à tout - Brise-bouclier</v>
      </c>
      <c r="V9">
        <f t="shared" si="11"/>
        <v>12</v>
      </c>
      <c r="W9" s="2" t="s">
        <v>248</v>
      </c>
      <c r="X9" t="str">
        <f t="shared" si="12"/>
        <v>Touche à tout - Contact Marchand - Druide</v>
      </c>
      <c r="Y9">
        <f t="shared" si="13"/>
        <v>11</v>
      </c>
    </row>
    <row r="10" spans="1:25">
      <c r="B10" s="2" t="s">
        <v>202</v>
      </c>
      <c r="C10" s="2">
        <f>VLOOKUP(B10,Compétences!$B$3:$C$96,2,FALSE)+4+2</f>
        <v>11</v>
      </c>
      <c r="D10" s="2"/>
      <c r="E10" s="2"/>
      <c r="F10" t="str">
        <f t="shared" si="0"/>
        <v>Touche à tout - Charge</v>
      </c>
      <c r="G10">
        <f t="shared" si="1"/>
        <v>11</v>
      </c>
      <c r="H10" s="5" t="s">
        <v>248</v>
      </c>
      <c r="I10" t="str">
        <f t="shared" si="2"/>
        <v>Touche à tout - Contact Marchand - Druide</v>
      </c>
      <c r="J10" s="2">
        <f t="shared" si="3"/>
        <v>11</v>
      </c>
      <c r="K10" t="s">
        <v>202</v>
      </c>
      <c r="L10" t="str">
        <f t="shared" si="4"/>
        <v>Touche à tout - Charge</v>
      </c>
      <c r="M10">
        <f t="shared" si="5"/>
        <v>11</v>
      </c>
      <c r="N10" t="s">
        <v>202</v>
      </c>
      <c r="O10" t="str">
        <f t="shared" si="6"/>
        <v>Touche à tout - Charge</v>
      </c>
      <c r="P10">
        <f t="shared" si="7"/>
        <v>11</v>
      </c>
      <c r="Q10" s="2" t="s">
        <v>249</v>
      </c>
      <c r="R10" t="str">
        <f t="shared" si="8"/>
        <v>Touche à tout - Contact Marchand - Brasseur</v>
      </c>
      <c r="S10">
        <f t="shared" si="9"/>
        <v>11</v>
      </c>
      <c r="T10" s="2" t="s">
        <v>202</v>
      </c>
      <c r="U10" t="str">
        <f t="shared" si="10"/>
        <v>Touche à tout - Charge</v>
      </c>
      <c r="V10">
        <f t="shared" si="11"/>
        <v>11</v>
      </c>
      <c r="W10" s="2" t="s">
        <v>250</v>
      </c>
      <c r="X10" t="str">
        <f t="shared" si="12"/>
        <v>Touche à tout - Contact Marchand - Forgeron</v>
      </c>
      <c r="Y10">
        <f t="shared" si="13"/>
        <v>11</v>
      </c>
    </row>
    <row r="11" spans="1:25">
      <c r="B11" s="2" t="s">
        <v>203</v>
      </c>
      <c r="C11" s="2">
        <f>VLOOKUP(B11,Compétences!$B$3:$C$96,2,FALSE)+4+2</f>
        <v>12</v>
      </c>
      <c r="D11" s="2"/>
      <c r="E11" s="2"/>
      <c r="F11" t="str">
        <f t="shared" si="0"/>
        <v>Touche à tout - Charge accrue</v>
      </c>
      <c r="G11">
        <f t="shared" si="1"/>
        <v>12</v>
      </c>
      <c r="H11" s="5" t="s">
        <v>250</v>
      </c>
      <c r="I11" t="str">
        <f t="shared" si="2"/>
        <v>Touche à tout - Contact Marchand - Forgeron</v>
      </c>
      <c r="J11" s="2">
        <f t="shared" si="3"/>
        <v>11</v>
      </c>
      <c r="K11" t="s">
        <v>203</v>
      </c>
      <c r="L11" t="str">
        <f t="shared" si="4"/>
        <v>Touche à tout - Charge accrue</v>
      </c>
      <c r="M11">
        <f t="shared" si="5"/>
        <v>12</v>
      </c>
      <c r="N11" t="s">
        <v>203</v>
      </c>
      <c r="O11" t="str">
        <f t="shared" si="6"/>
        <v>Touche à tout - Charge accrue</v>
      </c>
      <c r="P11">
        <f t="shared" si="7"/>
        <v>12</v>
      </c>
      <c r="Q11" s="2" t="s">
        <v>253</v>
      </c>
      <c r="R11" t="str">
        <f t="shared" si="8"/>
        <v>Touche à tout - Contact Marchand - Commanditaire</v>
      </c>
      <c r="S11">
        <f t="shared" si="9"/>
        <v>16</v>
      </c>
      <c r="T11" s="2" t="s">
        <v>203</v>
      </c>
      <c r="U11" t="str">
        <f t="shared" si="10"/>
        <v>Touche à tout - Charge accrue</v>
      </c>
      <c r="V11">
        <f t="shared" si="11"/>
        <v>12</v>
      </c>
      <c r="W11" s="2" t="s">
        <v>247</v>
      </c>
      <c r="X11" t="str">
        <f t="shared" si="12"/>
        <v>Touche à tout - Contact Marchand - Mineur</v>
      </c>
      <c r="Y11">
        <f t="shared" si="13"/>
        <v>11</v>
      </c>
    </row>
    <row r="12" spans="1:25">
      <c r="B12" s="2" t="s">
        <v>232</v>
      </c>
      <c r="C12" s="2">
        <f>VLOOKUP(B12,Compétences!$B$3:$C$96,2,FALSE)+4+2</f>
        <v>11</v>
      </c>
      <c r="D12" s="2"/>
      <c r="E12" s="2"/>
      <c r="F12" t="str">
        <f t="shared" si="0"/>
        <v>Touche à tout - Clairvoyance</v>
      </c>
      <c r="G12">
        <f t="shared" si="1"/>
        <v>11</v>
      </c>
      <c r="H12" s="5" t="s">
        <v>247</v>
      </c>
      <c r="I12" t="str">
        <f t="shared" si="2"/>
        <v>Touche à tout - Contact Marchand - Mineur</v>
      </c>
      <c r="J12" s="2">
        <f t="shared" si="3"/>
        <v>11</v>
      </c>
      <c r="K12" t="s">
        <v>249</v>
      </c>
      <c r="L12" t="str">
        <f t="shared" si="4"/>
        <v>Touche à tout - Contact Marchand - Brasseur</v>
      </c>
      <c r="M12">
        <f t="shared" si="5"/>
        <v>11</v>
      </c>
      <c r="N12" t="s">
        <v>232</v>
      </c>
      <c r="O12" t="str">
        <f t="shared" si="6"/>
        <v>Touche à tout - Clairvoyance</v>
      </c>
      <c r="P12">
        <f t="shared" si="7"/>
        <v>11</v>
      </c>
      <c r="Q12" s="2" t="s">
        <v>248</v>
      </c>
      <c r="R12" t="str">
        <f t="shared" si="8"/>
        <v>Touche à tout - Contact Marchand - Druide</v>
      </c>
      <c r="S12">
        <f t="shared" si="9"/>
        <v>11</v>
      </c>
      <c r="T12" s="2" t="s">
        <v>249</v>
      </c>
      <c r="U12" t="str">
        <f t="shared" si="10"/>
        <v>Touche à tout - Contact Marchand - Brasseur</v>
      </c>
      <c r="V12">
        <f t="shared" si="11"/>
        <v>11</v>
      </c>
      <c r="W12" s="2" t="s">
        <v>251</v>
      </c>
      <c r="X12" t="str">
        <f t="shared" si="12"/>
        <v>Touche à tout - Contact Marchand - Scribe</v>
      </c>
      <c r="Y12">
        <f t="shared" si="13"/>
        <v>12</v>
      </c>
    </row>
    <row r="13" spans="1:25">
      <c r="B13" s="2" t="s">
        <v>249</v>
      </c>
      <c r="C13" s="2">
        <f>VLOOKUP(B13,Compétences!$B$3:$C$96,2,FALSE)+4+2</f>
        <v>11</v>
      </c>
      <c r="D13" s="2"/>
      <c r="E13" s="2"/>
      <c r="F13" t="str">
        <f t="shared" si="0"/>
        <v>Touche à tout - Contact Marchand - Brasseur</v>
      </c>
      <c r="G13">
        <f t="shared" si="1"/>
        <v>11</v>
      </c>
      <c r="H13" s="5" t="s">
        <v>251</v>
      </c>
      <c r="I13" t="str">
        <f t="shared" si="2"/>
        <v>Touche à tout - Contact Marchand - Scribe</v>
      </c>
      <c r="J13" s="2">
        <f t="shared" si="3"/>
        <v>12</v>
      </c>
      <c r="K13" t="s">
        <v>253</v>
      </c>
      <c r="L13" t="str">
        <f t="shared" si="4"/>
        <v>Touche à tout - Contact Marchand - Commanditaire</v>
      </c>
      <c r="M13">
        <f t="shared" si="5"/>
        <v>16</v>
      </c>
      <c r="N13" t="s">
        <v>228</v>
      </c>
      <c r="O13" t="str">
        <f t="shared" si="6"/>
        <v>Touche à tout - Contre-charge</v>
      </c>
      <c r="P13">
        <f t="shared" si="7"/>
        <v>10</v>
      </c>
      <c r="Q13" s="2" t="s">
        <v>250</v>
      </c>
      <c r="R13" t="str">
        <f t="shared" si="8"/>
        <v>Touche à tout - Contact Marchand - Forgeron</v>
      </c>
      <c r="S13">
        <f t="shared" si="9"/>
        <v>11</v>
      </c>
      <c r="T13" s="2" t="s">
        <v>253</v>
      </c>
      <c r="U13" t="str">
        <f t="shared" si="10"/>
        <v>Touche à tout - Contact Marchand - Commanditaire</v>
      </c>
      <c r="V13">
        <f t="shared" si="11"/>
        <v>16</v>
      </c>
      <c r="W13" s="2" t="s">
        <v>252</v>
      </c>
      <c r="X13" t="str">
        <f t="shared" si="12"/>
        <v>Touche à tout - Contact Marchand - Sorcier</v>
      </c>
      <c r="Y13">
        <f t="shared" si="13"/>
        <v>16</v>
      </c>
    </row>
    <row r="14" spans="1:25">
      <c r="B14" s="2" t="s">
        <v>253</v>
      </c>
      <c r="C14" s="2">
        <f>VLOOKUP(B14,Compétences!$B$3:$C$96,2,FALSE)+4+2</f>
        <v>16</v>
      </c>
      <c r="D14" s="2"/>
      <c r="E14" s="2"/>
      <c r="F14" t="str">
        <f t="shared" si="0"/>
        <v>Touche à tout - Contact Marchand - Commanditaire</v>
      </c>
      <c r="G14">
        <f t="shared" si="1"/>
        <v>16</v>
      </c>
      <c r="H14" s="5" t="s">
        <v>252</v>
      </c>
      <c r="I14" t="str">
        <f t="shared" si="2"/>
        <v>Touche à tout - Contact Marchand - Sorcier</v>
      </c>
      <c r="J14" s="2">
        <f t="shared" si="3"/>
        <v>16</v>
      </c>
      <c r="K14" t="s">
        <v>248</v>
      </c>
      <c r="L14" t="str">
        <f t="shared" si="4"/>
        <v>Touche à tout - Contact Marchand - Druide</v>
      </c>
      <c r="M14">
        <f t="shared" si="5"/>
        <v>11</v>
      </c>
      <c r="N14" t="s">
        <v>204</v>
      </c>
      <c r="O14" t="str">
        <f t="shared" si="6"/>
        <v>Touche à tout - Coup meurtrier</v>
      </c>
      <c r="P14">
        <f t="shared" si="7"/>
        <v>10</v>
      </c>
      <c r="Q14" s="2" t="s">
        <v>247</v>
      </c>
      <c r="R14" t="str">
        <f t="shared" si="8"/>
        <v>Touche à tout - Contact Marchand - Mineur</v>
      </c>
      <c r="S14">
        <f t="shared" si="9"/>
        <v>11</v>
      </c>
      <c r="T14" s="2" t="s">
        <v>248</v>
      </c>
      <c r="U14" t="str">
        <f t="shared" si="10"/>
        <v>Touche à tout - Contact Marchand - Druide</v>
      </c>
      <c r="V14">
        <f t="shared" si="11"/>
        <v>11</v>
      </c>
      <c r="W14" s="2" t="s">
        <v>228</v>
      </c>
      <c r="X14" t="str">
        <f t="shared" si="12"/>
        <v>Touche à tout - Contre-charge</v>
      </c>
      <c r="Y14">
        <f t="shared" si="13"/>
        <v>10</v>
      </c>
    </row>
    <row r="15" spans="1:25">
      <c r="B15" s="2" t="s">
        <v>248</v>
      </c>
      <c r="C15" s="2">
        <f>VLOOKUP(B15,Compétences!$B$3:$C$96,2,FALSE)+4+2</f>
        <v>11</v>
      </c>
      <c r="D15" s="2"/>
      <c r="E15" s="2"/>
      <c r="F15" t="str">
        <f t="shared" si="0"/>
        <v>Touche à tout - Contact Marchand - Druide</v>
      </c>
      <c r="G15">
        <f t="shared" si="1"/>
        <v>11</v>
      </c>
      <c r="H15" s="5" t="s">
        <v>204</v>
      </c>
      <c r="I15" t="str">
        <f t="shared" si="2"/>
        <v>Touche à tout - Coup meurtrier</v>
      </c>
      <c r="J15" s="2">
        <f t="shared" si="3"/>
        <v>10</v>
      </c>
      <c r="K15" t="s">
        <v>250</v>
      </c>
      <c r="L15" t="str">
        <f t="shared" si="4"/>
        <v>Touche à tout - Contact Marchand - Forgeron</v>
      </c>
      <c r="M15">
        <f t="shared" si="5"/>
        <v>11</v>
      </c>
      <c r="N15" t="s">
        <v>205</v>
      </c>
      <c r="O15" t="str">
        <f t="shared" si="6"/>
        <v>Touche à tout - Coup puissant</v>
      </c>
      <c r="P15">
        <f t="shared" si="7"/>
        <v>11</v>
      </c>
      <c r="Q15" s="2" t="s">
        <v>251</v>
      </c>
      <c r="R15" t="str">
        <f t="shared" si="8"/>
        <v>Touche à tout - Contact Marchand - Scribe</v>
      </c>
      <c r="S15">
        <f t="shared" si="9"/>
        <v>12</v>
      </c>
      <c r="T15" s="2" t="s">
        <v>250</v>
      </c>
      <c r="U15" t="str">
        <f t="shared" si="10"/>
        <v>Touche à tout - Contact Marchand - Forgeron</v>
      </c>
      <c r="V15">
        <f t="shared" si="11"/>
        <v>11</v>
      </c>
      <c r="W15" s="2" t="s">
        <v>229</v>
      </c>
      <c r="X15" t="str">
        <f t="shared" si="12"/>
        <v>Touche à tout - Désarmement</v>
      </c>
      <c r="Y15">
        <f t="shared" si="13"/>
        <v>12</v>
      </c>
    </row>
    <row r="16" spans="1:25">
      <c r="B16" s="2" t="s">
        <v>250</v>
      </c>
      <c r="C16" s="2">
        <f>VLOOKUP(B16,Compétences!$B$3:$C$96,2,FALSE)+4+2</f>
        <v>11</v>
      </c>
      <c r="D16" s="2"/>
      <c r="E16" s="2"/>
      <c r="F16" t="str">
        <f t="shared" si="0"/>
        <v>Touche à tout - Contact Marchand - Forgeron</v>
      </c>
      <c r="G16">
        <f t="shared" si="1"/>
        <v>11</v>
      </c>
      <c r="H16" s="5" t="s">
        <v>205</v>
      </c>
      <c r="I16" t="str">
        <f t="shared" si="2"/>
        <v>Touche à tout - Coup puissant</v>
      </c>
      <c r="J16" s="2">
        <f t="shared" si="3"/>
        <v>11</v>
      </c>
      <c r="K16" t="s">
        <v>247</v>
      </c>
      <c r="L16" t="str">
        <f t="shared" si="4"/>
        <v>Touche à tout - Contact Marchand - Mineur</v>
      </c>
      <c r="M16">
        <f t="shared" si="5"/>
        <v>11</v>
      </c>
      <c r="N16" t="s">
        <v>229</v>
      </c>
      <c r="O16" t="str">
        <f t="shared" si="6"/>
        <v>Touche à tout - Désarmement</v>
      </c>
      <c r="P16">
        <f t="shared" si="7"/>
        <v>12</v>
      </c>
      <c r="Q16" s="2" t="s">
        <v>252</v>
      </c>
      <c r="R16" t="str">
        <f t="shared" si="8"/>
        <v>Touche à tout - Contact Marchand - Sorcier</v>
      </c>
      <c r="S16">
        <f t="shared" si="9"/>
        <v>16</v>
      </c>
      <c r="T16" s="2" t="s">
        <v>247</v>
      </c>
      <c r="U16" t="str">
        <f t="shared" si="10"/>
        <v>Touche à tout - Contact Marchand - Mineur</v>
      </c>
      <c r="V16">
        <f t="shared" si="11"/>
        <v>11</v>
      </c>
      <c r="W16" s="2" t="s">
        <v>262</v>
      </c>
      <c r="X16" t="str">
        <f t="shared" si="12"/>
        <v>Touche à tout - Don miraculeux</v>
      </c>
      <c r="Y16">
        <f t="shared" si="13"/>
        <v>11</v>
      </c>
    </row>
    <row r="17" spans="2:25">
      <c r="B17" s="2" t="s">
        <v>247</v>
      </c>
      <c r="C17" s="2">
        <f>VLOOKUP(B17,Compétences!$B$3:$C$96,2,FALSE)+4+2</f>
        <v>11</v>
      </c>
      <c r="D17" s="2"/>
      <c r="E17" s="2"/>
      <c r="F17" t="str">
        <f t="shared" si="0"/>
        <v>Touche à tout - Contact Marchand - Mineur</v>
      </c>
      <c r="G17">
        <f t="shared" si="1"/>
        <v>11</v>
      </c>
      <c r="H17" s="5" t="s">
        <v>229</v>
      </c>
      <c r="I17" t="str">
        <f t="shared" si="2"/>
        <v>Touche à tout - Désarmement</v>
      </c>
      <c r="J17" s="2">
        <f t="shared" si="3"/>
        <v>12</v>
      </c>
      <c r="K17" t="s">
        <v>251</v>
      </c>
      <c r="L17" t="str">
        <f t="shared" si="4"/>
        <v>Touche à tout - Contact Marchand - Scribe</v>
      </c>
      <c r="M17">
        <f t="shared" si="5"/>
        <v>12</v>
      </c>
      <c r="N17" t="s">
        <v>262</v>
      </c>
      <c r="O17" t="str">
        <f t="shared" si="6"/>
        <v>Touche à tout - Don miraculeux</v>
      </c>
      <c r="P17">
        <f t="shared" si="7"/>
        <v>11</v>
      </c>
      <c r="Q17" s="2" t="s">
        <v>228</v>
      </c>
      <c r="R17" t="str">
        <f t="shared" si="8"/>
        <v>Touche à tout - Contre-charge</v>
      </c>
      <c r="S17">
        <f t="shared" si="9"/>
        <v>10</v>
      </c>
      <c r="T17" s="2" t="s">
        <v>251</v>
      </c>
      <c r="U17" t="str">
        <f t="shared" si="10"/>
        <v>Touche à tout - Contact Marchand - Scribe</v>
      </c>
      <c r="V17">
        <f t="shared" si="11"/>
        <v>12</v>
      </c>
      <c r="W17" s="2" t="s">
        <v>233</v>
      </c>
      <c r="X17" t="str">
        <f t="shared" si="12"/>
        <v>Touche à tout - Endurance naturelle à la magie</v>
      </c>
      <c r="Y17">
        <f t="shared" si="13"/>
        <v>12</v>
      </c>
    </row>
    <row r="18" spans="2:25">
      <c r="B18" s="2" t="s">
        <v>251</v>
      </c>
      <c r="C18" s="2">
        <f>VLOOKUP(B18,Compétences!$B$3:$C$96,2,FALSE)+4+2</f>
        <v>12</v>
      </c>
      <c r="D18" s="2"/>
      <c r="E18" s="2"/>
      <c r="F18" t="str">
        <f t="shared" si="0"/>
        <v>Touche à tout - Contact Marchand - Scribe</v>
      </c>
      <c r="G18">
        <f t="shared" si="1"/>
        <v>12</v>
      </c>
      <c r="H18" s="5" t="s">
        <v>262</v>
      </c>
      <c r="I18" t="str">
        <f t="shared" si="2"/>
        <v>Touche à tout - Don miraculeux</v>
      </c>
      <c r="J18" s="2">
        <f t="shared" si="3"/>
        <v>11</v>
      </c>
      <c r="K18" t="s">
        <v>252</v>
      </c>
      <c r="L18" t="str">
        <f t="shared" si="4"/>
        <v>Touche à tout - Contact Marchand - Sorcier</v>
      </c>
      <c r="M18">
        <f t="shared" si="5"/>
        <v>16</v>
      </c>
      <c r="N18" t="s">
        <v>206</v>
      </c>
      <c r="O18" t="str">
        <f t="shared" si="6"/>
        <v>Touche à tout - Endurance guerrière</v>
      </c>
      <c r="P18">
        <f t="shared" si="7"/>
        <v>9</v>
      </c>
      <c r="Q18" s="2" t="s">
        <v>204</v>
      </c>
      <c r="R18" t="str">
        <f t="shared" si="8"/>
        <v>Touche à tout - Coup meurtrier</v>
      </c>
      <c r="S18">
        <f t="shared" si="9"/>
        <v>10</v>
      </c>
      <c r="T18" s="2" t="s">
        <v>252</v>
      </c>
      <c r="U18" t="str">
        <f t="shared" si="10"/>
        <v>Touche à tout - Contact Marchand - Sorcier</v>
      </c>
      <c r="V18">
        <f t="shared" si="11"/>
        <v>16</v>
      </c>
      <c r="W18" s="2" t="s">
        <v>255</v>
      </c>
      <c r="X18" t="str">
        <f t="shared" si="12"/>
        <v>Touche à tout - Expert en concotion</v>
      </c>
      <c r="Y18">
        <f t="shared" si="13"/>
        <v>11</v>
      </c>
    </row>
    <row r="19" spans="2:25">
      <c r="B19" s="2" t="s">
        <v>252</v>
      </c>
      <c r="C19" s="2">
        <f>VLOOKUP(B19,Compétences!$B$3:$C$96,2,FALSE)+4+2</f>
        <v>16</v>
      </c>
      <c r="D19" s="2"/>
      <c r="E19" s="2"/>
      <c r="F19" t="str">
        <f t="shared" si="0"/>
        <v>Touche à tout - Contact Marchand - Sorcier</v>
      </c>
      <c r="G19">
        <f t="shared" si="1"/>
        <v>16</v>
      </c>
      <c r="H19" s="5" t="s">
        <v>206</v>
      </c>
      <c r="I19" t="str">
        <f t="shared" si="2"/>
        <v>Touche à tout - Endurance guerrière</v>
      </c>
      <c r="J19" s="2">
        <f t="shared" si="3"/>
        <v>9</v>
      </c>
      <c r="K19" t="s">
        <v>228</v>
      </c>
      <c r="L19" t="str">
        <f t="shared" si="4"/>
        <v>Touche à tout - Contre-charge</v>
      </c>
      <c r="M19">
        <f t="shared" si="5"/>
        <v>10</v>
      </c>
      <c r="N19" t="s">
        <v>233</v>
      </c>
      <c r="O19" t="str">
        <f t="shared" si="6"/>
        <v>Touche à tout - Endurance naturelle à la magie</v>
      </c>
      <c r="P19">
        <f t="shared" si="7"/>
        <v>12</v>
      </c>
      <c r="Q19" s="2" t="s">
        <v>205</v>
      </c>
      <c r="R19" t="str">
        <f t="shared" si="8"/>
        <v>Touche à tout - Coup puissant</v>
      </c>
      <c r="S19">
        <f t="shared" si="9"/>
        <v>11</v>
      </c>
      <c r="T19" s="2" t="s">
        <v>228</v>
      </c>
      <c r="U19" t="str">
        <f t="shared" si="10"/>
        <v>Touche à tout - Contre-charge</v>
      </c>
      <c r="V19">
        <f t="shared" si="11"/>
        <v>10</v>
      </c>
      <c r="W19" s="2" t="s">
        <v>234</v>
      </c>
      <c r="X19" t="str">
        <f t="shared" si="12"/>
        <v>Touche à tout - Fatigue atténuée</v>
      </c>
      <c r="Y19">
        <f t="shared" si="13"/>
        <v>12</v>
      </c>
    </row>
    <row r="20" spans="2:25">
      <c r="B20" s="2" t="s">
        <v>228</v>
      </c>
      <c r="C20" s="2">
        <f>VLOOKUP(B20,Compétences!$B$3:$C$96,2,FALSE)+4+2</f>
        <v>10</v>
      </c>
      <c r="D20" s="2"/>
      <c r="E20" s="2"/>
      <c r="F20" t="str">
        <f t="shared" si="0"/>
        <v>Touche à tout - Contre-charge</v>
      </c>
      <c r="G20">
        <f t="shared" si="1"/>
        <v>10</v>
      </c>
      <c r="H20" s="5" t="s">
        <v>233</v>
      </c>
      <c r="I20" t="str">
        <f t="shared" si="2"/>
        <v>Touche à tout - Endurance naturelle à la magie</v>
      </c>
      <c r="J20" s="2">
        <f t="shared" si="3"/>
        <v>12</v>
      </c>
      <c r="K20" t="s">
        <v>204</v>
      </c>
      <c r="L20" t="str">
        <f t="shared" si="4"/>
        <v>Touche à tout - Coup meurtrier</v>
      </c>
      <c r="M20">
        <f t="shared" si="5"/>
        <v>10</v>
      </c>
      <c r="N20" t="s">
        <v>234</v>
      </c>
      <c r="O20" t="str">
        <f t="shared" si="6"/>
        <v>Touche à tout - Fatigue atténuée</v>
      </c>
      <c r="P20">
        <f t="shared" si="7"/>
        <v>12</v>
      </c>
      <c r="Q20" s="2" t="s">
        <v>229</v>
      </c>
      <c r="R20" t="str">
        <f t="shared" si="8"/>
        <v>Touche à tout - Désarmement</v>
      </c>
      <c r="S20">
        <f t="shared" si="9"/>
        <v>12</v>
      </c>
      <c r="T20" s="2" t="s">
        <v>204</v>
      </c>
      <c r="U20" t="str">
        <f t="shared" si="10"/>
        <v>Touche à tout - Coup meurtrier</v>
      </c>
      <c r="V20">
        <f t="shared" si="11"/>
        <v>10</v>
      </c>
      <c r="W20" s="2" t="s">
        <v>235</v>
      </c>
      <c r="X20" t="str">
        <f t="shared" si="12"/>
        <v>Touche à tout - Ferveur magique</v>
      </c>
      <c r="Y20">
        <f t="shared" si="13"/>
        <v>12</v>
      </c>
    </row>
    <row r="21" spans="2:25">
      <c r="B21" s="2" t="s">
        <v>204</v>
      </c>
      <c r="C21" s="2">
        <f>VLOOKUP(B21,Compétences!$B$3:$C$96,2,FALSE)+4+2</f>
        <v>10</v>
      </c>
      <c r="D21" s="2"/>
      <c r="E21" s="2"/>
      <c r="F21" t="str">
        <f t="shared" si="0"/>
        <v>Touche à tout - Coup meurtrier</v>
      </c>
      <c r="G21">
        <f t="shared" si="1"/>
        <v>10</v>
      </c>
      <c r="H21" s="5" t="s">
        <v>255</v>
      </c>
      <c r="I21" t="str">
        <f t="shared" si="2"/>
        <v>Touche à tout - Expert en concotion</v>
      </c>
      <c r="J21" s="2">
        <f t="shared" si="3"/>
        <v>11</v>
      </c>
      <c r="K21" t="s">
        <v>205</v>
      </c>
      <c r="L21" t="str">
        <f t="shared" si="4"/>
        <v>Touche à tout - Coup puissant</v>
      </c>
      <c r="M21">
        <f t="shared" si="5"/>
        <v>11</v>
      </c>
      <c r="N21" t="s">
        <v>235</v>
      </c>
      <c r="O21" t="str">
        <f t="shared" si="6"/>
        <v>Touche à tout - Ferveur magique</v>
      </c>
      <c r="P21">
        <f t="shared" si="7"/>
        <v>12</v>
      </c>
      <c r="Q21" s="2" t="s">
        <v>206</v>
      </c>
      <c r="R21" t="str">
        <f t="shared" si="8"/>
        <v>Touche à tout - Endurance guerrière</v>
      </c>
      <c r="S21">
        <f t="shared" si="9"/>
        <v>9</v>
      </c>
      <c r="T21" s="2" t="s">
        <v>205</v>
      </c>
      <c r="U21" t="str">
        <f t="shared" si="10"/>
        <v>Touche à tout - Coup puissant</v>
      </c>
      <c r="V21">
        <f t="shared" si="11"/>
        <v>11</v>
      </c>
      <c r="W21" s="2" t="s">
        <v>230</v>
      </c>
      <c r="X21" t="str">
        <f t="shared" si="12"/>
        <v>Touche à tout - Force brute</v>
      </c>
      <c r="Y21">
        <f t="shared" si="13"/>
        <v>13</v>
      </c>
    </row>
    <row r="22" spans="2:25">
      <c r="B22" s="2" t="s">
        <v>205</v>
      </c>
      <c r="C22" s="2">
        <f>VLOOKUP(B22,Compétences!$B$3:$C$96,2,FALSE)+4+2</f>
        <v>11</v>
      </c>
      <c r="D22" s="2"/>
      <c r="E22" s="2"/>
      <c r="F22" t="str">
        <f t="shared" si="0"/>
        <v>Touche à tout - Coup puissant</v>
      </c>
      <c r="G22">
        <f t="shared" si="1"/>
        <v>11</v>
      </c>
      <c r="H22" s="5" t="s">
        <v>234</v>
      </c>
      <c r="I22" t="str">
        <f t="shared" si="2"/>
        <v>Touche à tout - Fatigue atténuée</v>
      </c>
      <c r="J22" s="2">
        <f t="shared" si="3"/>
        <v>12</v>
      </c>
      <c r="K22" t="s">
        <v>229</v>
      </c>
      <c r="L22" t="str">
        <f t="shared" si="4"/>
        <v>Touche à tout - Désarmement</v>
      </c>
      <c r="M22">
        <f t="shared" si="5"/>
        <v>12</v>
      </c>
      <c r="N22" t="s">
        <v>230</v>
      </c>
      <c r="O22" t="str">
        <f t="shared" si="6"/>
        <v>Touche à tout - Force brute</v>
      </c>
      <c r="P22">
        <f t="shared" si="7"/>
        <v>13</v>
      </c>
      <c r="Q22" s="2" t="s">
        <v>255</v>
      </c>
      <c r="R22" t="str">
        <f t="shared" si="8"/>
        <v>Touche à tout - Expert en concotion</v>
      </c>
      <c r="S22">
        <f t="shared" si="9"/>
        <v>11</v>
      </c>
      <c r="T22" s="2" t="s">
        <v>229</v>
      </c>
      <c r="U22" t="str">
        <f t="shared" si="10"/>
        <v>Touche à tout - Désarmement</v>
      </c>
      <c r="V22">
        <f t="shared" si="11"/>
        <v>12</v>
      </c>
      <c r="W22" s="2" t="s">
        <v>257</v>
      </c>
      <c r="X22" t="str">
        <f t="shared" si="12"/>
        <v>Touche à tout - Forge avancée</v>
      </c>
      <c r="Y22">
        <f t="shared" si="13"/>
        <v>12</v>
      </c>
    </row>
    <row r="23" spans="2:25">
      <c r="B23" s="2" t="s">
        <v>229</v>
      </c>
      <c r="C23" s="2">
        <f>VLOOKUP(B23,Compétences!$B$3:$C$96,2,FALSE)+4+2</f>
        <v>12</v>
      </c>
      <c r="D23" s="2"/>
      <c r="E23" s="2"/>
      <c r="F23" t="str">
        <f t="shared" si="0"/>
        <v>Touche à tout - Désarmement</v>
      </c>
      <c r="G23">
        <f t="shared" si="1"/>
        <v>12</v>
      </c>
      <c r="H23" s="5" t="s">
        <v>235</v>
      </c>
      <c r="I23" t="str">
        <f t="shared" si="2"/>
        <v>Touche à tout - Ferveur magique</v>
      </c>
      <c r="J23" s="2">
        <f t="shared" si="3"/>
        <v>12</v>
      </c>
      <c r="K23" t="s">
        <v>262</v>
      </c>
      <c r="L23" t="str">
        <f t="shared" si="4"/>
        <v>Touche à tout - Don miraculeux</v>
      </c>
      <c r="M23">
        <f t="shared" si="5"/>
        <v>11</v>
      </c>
      <c r="N23" t="s">
        <v>236</v>
      </c>
      <c r="O23" t="str">
        <f t="shared" si="6"/>
        <v>Touche à tout - Haute magie</v>
      </c>
      <c r="P23">
        <f t="shared" si="7"/>
        <v>9</v>
      </c>
      <c r="Q23" s="2" t="s">
        <v>234</v>
      </c>
      <c r="R23" t="str">
        <f t="shared" si="8"/>
        <v>Touche à tout - Fatigue atténuée</v>
      </c>
      <c r="S23">
        <f t="shared" si="9"/>
        <v>12</v>
      </c>
      <c r="T23" s="2" t="s">
        <v>262</v>
      </c>
      <c r="U23" t="str">
        <f t="shared" si="10"/>
        <v>Touche à tout - Don miraculeux</v>
      </c>
      <c r="V23">
        <f t="shared" si="11"/>
        <v>11</v>
      </c>
      <c r="W23" s="2" t="s">
        <v>236</v>
      </c>
      <c r="X23" t="str">
        <f t="shared" si="12"/>
        <v>Touche à tout - Haute magie</v>
      </c>
      <c r="Y23">
        <f t="shared" si="13"/>
        <v>9</v>
      </c>
    </row>
    <row r="24" spans="2:25">
      <c r="B24" s="2" t="s">
        <v>262</v>
      </c>
      <c r="C24" s="2">
        <f>VLOOKUP(B24,Compétences!$B$3:$C$96,2,FALSE)+4+2</f>
        <v>11</v>
      </c>
      <c r="D24" s="2"/>
      <c r="E24" s="2"/>
      <c r="F24" t="str">
        <f t="shared" si="0"/>
        <v>Touche à tout - Don miraculeux</v>
      </c>
      <c r="G24">
        <f t="shared" si="1"/>
        <v>11</v>
      </c>
      <c r="H24" s="5" t="s">
        <v>230</v>
      </c>
      <c r="I24" t="str">
        <f t="shared" si="2"/>
        <v>Touche à tout - Force brute</v>
      </c>
      <c r="J24" s="2">
        <f t="shared" si="3"/>
        <v>13</v>
      </c>
      <c r="K24" t="s">
        <v>206</v>
      </c>
      <c r="L24" t="str">
        <f t="shared" si="4"/>
        <v>Touche à tout - Endurance guerrière</v>
      </c>
      <c r="M24">
        <f t="shared" si="5"/>
        <v>9</v>
      </c>
      <c r="N24" t="s">
        <v>237</v>
      </c>
      <c r="O24" t="str">
        <f t="shared" si="6"/>
        <v>Touche à tout - Magie brutale</v>
      </c>
      <c r="P24">
        <f t="shared" si="7"/>
        <v>11</v>
      </c>
      <c r="Q24" s="2" t="s">
        <v>230</v>
      </c>
      <c r="R24" t="str">
        <f t="shared" si="8"/>
        <v>Touche à tout - Force brute</v>
      </c>
      <c r="S24">
        <f t="shared" si="9"/>
        <v>13</v>
      </c>
      <c r="T24" s="2" t="s">
        <v>206</v>
      </c>
      <c r="U24" t="str">
        <f t="shared" si="10"/>
        <v>Touche à tout - Endurance guerrière</v>
      </c>
      <c r="V24">
        <f t="shared" si="11"/>
        <v>9</v>
      </c>
      <c r="W24" s="2" t="s">
        <v>237</v>
      </c>
      <c r="X24" t="str">
        <f t="shared" si="12"/>
        <v>Touche à tout - Magie brutale</v>
      </c>
      <c r="Y24">
        <f t="shared" si="13"/>
        <v>11</v>
      </c>
    </row>
    <row r="25" spans="2:25">
      <c r="B25" s="2" t="s">
        <v>206</v>
      </c>
      <c r="C25" s="2">
        <f>VLOOKUP(B25,Compétences!$B$3:$C$96,2,FALSE)+4+2</f>
        <v>9</v>
      </c>
      <c r="D25" s="2"/>
      <c r="E25" s="2"/>
      <c r="F25" t="str">
        <f t="shared" si="0"/>
        <v>Touche à tout - Endurance guerrière</v>
      </c>
      <c r="G25">
        <f t="shared" si="1"/>
        <v>9</v>
      </c>
      <c r="H25" s="5" t="s">
        <v>257</v>
      </c>
      <c r="I25" t="str">
        <f t="shared" si="2"/>
        <v>Touche à tout - Forge avancée</v>
      </c>
      <c r="J25" s="2">
        <f t="shared" si="3"/>
        <v>12</v>
      </c>
      <c r="K25" t="s">
        <v>255</v>
      </c>
      <c r="L25" t="str">
        <f t="shared" si="4"/>
        <v>Touche à tout - Expert en concotion</v>
      </c>
      <c r="M25">
        <f t="shared" si="5"/>
        <v>11</v>
      </c>
      <c r="N25" t="s">
        <v>208</v>
      </c>
      <c r="O25" t="str">
        <f t="shared" si="6"/>
        <v>Touche à tout - Onde de choc</v>
      </c>
      <c r="P25">
        <f t="shared" si="7"/>
        <v>12</v>
      </c>
      <c r="Q25" s="2" t="s">
        <v>257</v>
      </c>
      <c r="R25" t="str">
        <f t="shared" si="8"/>
        <v>Touche à tout - Forge avancée</v>
      </c>
      <c r="S25">
        <f t="shared" si="9"/>
        <v>12</v>
      </c>
      <c r="T25" s="2" t="s">
        <v>255</v>
      </c>
      <c r="U25" t="str">
        <f t="shared" si="10"/>
        <v>Touche à tout - Expert en concotion</v>
      </c>
      <c r="V25">
        <f t="shared" si="11"/>
        <v>11</v>
      </c>
      <c r="W25" s="2" t="s">
        <v>231</v>
      </c>
      <c r="X25" t="str">
        <f t="shared" si="12"/>
        <v>Touche à tout - Port d'armure spécialisée</v>
      </c>
      <c r="Y25">
        <f t="shared" si="13"/>
        <v>12</v>
      </c>
    </row>
    <row r="26" spans="2:25">
      <c r="B26" s="2" t="s">
        <v>233</v>
      </c>
      <c r="C26" s="2">
        <f>VLOOKUP(B26,Compétences!$B$3:$C$96,2,FALSE)+4+2</f>
        <v>12</v>
      </c>
      <c r="D26" s="2"/>
      <c r="E26" s="2"/>
      <c r="F26" t="str">
        <f t="shared" si="0"/>
        <v>Touche à tout - Endurance naturelle à la magie</v>
      </c>
      <c r="G26">
        <f t="shared" si="1"/>
        <v>12</v>
      </c>
      <c r="H26" s="5" t="s">
        <v>236</v>
      </c>
      <c r="I26" t="str">
        <f t="shared" si="2"/>
        <v>Touche à tout - Haute magie</v>
      </c>
      <c r="J26" s="2">
        <f t="shared" si="3"/>
        <v>9</v>
      </c>
      <c r="K26" t="s">
        <v>230</v>
      </c>
      <c r="L26" t="str">
        <f t="shared" si="4"/>
        <v>Touche à tout - Force brute</v>
      </c>
      <c r="M26">
        <f t="shared" si="5"/>
        <v>13</v>
      </c>
      <c r="N26" t="s">
        <v>209</v>
      </c>
      <c r="O26" t="str">
        <f t="shared" si="6"/>
        <v>Touche à tout - Peinture de protection</v>
      </c>
      <c r="P26">
        <f t="shared" si="7"/>
        <v>10</v>
      </c>
      <c r="Q26" s="2" t="s">
        <v>208</v>
      </c>
      <c r="R26" t="str">
        <f t="shared" si="8"/>
        <v>Touche à tout - Onde de choc</v>
      </c>
      <c r="S26">
        <f t="shared" si="9"/>
        <v>12</v>
      </c>
      <c r="T26" s="2" t="s">
        <v>230</v>
      </c>
      <c r="U26" t="str">
        <f t="shared" si="10"/>
        <v>Touche à tout - Force brute</v>
      </c>
      <c r="V26">
        <f t="shared" si="11"/>
        <v>13</v>
      </c>
      <c r="W26" s="2" t="s">
        <v>238</v>
      </c>
      <c r="X26" t="str">
        <f t="shared" si="12"/>
        <v>Touche à tout - Poudre de Morphée</v>
      </c>
      <c r="Y26">
        <f t="shared" si="13"/>
        <v>9</v>
      </c>
    </row>
    <row r="27" spans="2:25">
      <c r="B27" s="2" t="s">
        <v>255</v>
      </c>
      <c r="C27" s="2">
        <f>VLOOKUP(B27,Compétences!$B$3:$C$96,2,FALSE)+4+2</f>
        <v>11</v>
      </c>
      <c r="D27" s="2"/>
      <c r="E27" s="2"/>
      <c r="F27" t="str">
        <f t="shared" si="0"/>
        <v>Touche à tout - Expert en concotion</v>
      </c>
      <c r="G27">
        <f t="shared" si="1"/>
        <v>11</v>
      </c>
      <c r="H27" s="5" t="s">
        <v>237</v>
      </c>
      <c r="I27" t="str">
        <f t="shared" si="2"/>
        <v>Touche à tout - Magie brutale</v>
      </c>
      <c r="J27" s="2">
        <f t="shared" si="3"/>
        <v>11</v>
      </c>
      <c r="K27" t="s">
        <v>257</v>
      </c>
      <c r="L27" t="str">
        <f t="shared" si="4"/>
        <v>Touche à tout - Forge avancée</v>
      </c>
      <c r="M27">
        <f t="shared" si="5"/>
        <v>12</v>
      </c>
      <c r="N27" t="s">
        <v>231</v>
      </c>
      <c r="O27" t="str">
        <f t="shared" si="6"/>
        <v>Touche à tout - Port d'armure spécialisée</v>
      </c>
      <c r="P27">
        <f t="shared" si="7"/>
        <v>12</v>
      </c>
      <c r="Q27" s="2" t="s">
        <v>209</v>
      </c>
      <c r="R27" t="str">
        <f t="shared" si="8"/>
        <v>Touche à tout - Peinture de protection</v>
      </c>
      <c r="S27">
        <f t="shared" si="9"/>
        <v>10</v>
      </c>
      <c r="T27" s="2" t="s">
        <v>257</v>
      </c>
      <c r="U27" t="str">
        <f t="shared" si="10"/>
        <v>Touche à tout - Forge avancée</v>
      </c>
      <c r="V27">
        <f t="shared" si="11"/>
        <v>12</v>
      </c>
      <c r="W27" s="2" t="s">
        <v>246</v>
      </c>
      <c r="X27" t="str">
        <f t="shared" si="12"/>
        <v>Touche à tout - Renvoi de sort</v>
      </c>
      <c r="Y27">
        <f t="shared" si="13"/>
        <v>12</v>
      </c>
    </row>
    <row r="28" spans="2:25">
      <c r="B28" s="2" t="s">
        <v>234</v>
      </c>
      <c r="C28" s="2">
        <f>VLOOKUP(B28,Compétences!$B$3:$C$96,2,FALSE)+4+2</f>
        <v>12</v>
      </c>
      <c r="D28" s="2"/>
      <c r="E28" s="2"/>
      <c r="F28" t="str">
        <f t="shared" si="0"/>
        <v>Touche à tout - Fatigue atténuée</v>
      </c>
      <c r="G28">
        <f t="shared" si="1"/>
        <v>12</v>
      </c>
      <c r="H28" s="5" t="s">
        <v>208</v>
      </c>
      <c r="I28" t="str">
        <f t="shared" si="2"/>
        <v>Touche à tout - Onde de choc</v>
      </c>
      <c r="J28" s="2">
        <f t="shared" si="3"/>
        <v>12</v>
      </c>
      <c r="K28" t="s">
        <v>208</v>
      </c>
      <c r="L28" t="str">
        <f t="shared" si="4"/>
        <v>Touche à tout - Onde de choc</v>
      </c>
      <c r="M28">
        <f t="shared" si="5"/>
        <v>12</v>
      </c>
      <c r="N28" t="s">
        <v>238</v>
      </c>
      <c r="O28" t="str">
        <f t="shared" si="6"/>
        <v>Touche à tout - Poudre de Morphée</v>
      </c>
      <c r="P28">
        <f t="shared" si="7"/>
        <v>9</v>
      </c>
      <c r="Q28" s="2" t="s">
        <v>231</v>
      </c>
      <c r="R28" t="str">
        <f t="shared" si="8"/>
        <v>Touche à tout - Port d'armure spécialisée</v>
      </c>
      <c r="S28">
        <f t="shared" si="9"/>
        <v>12</v>
      </c>
      <c r="T28" s="2" t="s">
        <v>208</v>
      </c>
      <c r="U28" t="str">
        <f t="shared" si="10"/>
        <v>Touche à tout - Onde de choc</v>
      </c>
      <c r="V28">
        <f t="shared" si="11"/>
        <v>12</v>
      </c>
      <c r="W28" s="2" t="s">
        <v>239</v>
      </c>
      <c r="X28" t="str">
        <f t="shared" si="12"/>
        <v>Touche à tout - Résistance contre un élément</v>
      </c>
      <c r="Y28">
        <f t="shared" si="13"/>
        <v>11</v>
      </c>
    </row>
    <row r="29" spans="2:25">
      <c r="B29" s="2" t="s">
        <v>235</v>
      </c>
      <c r="C29" s="2">
        <f>VLOOKUP(B29,Compétences!$B$3:$C$96,2,FALSE)+4+2</f>
        <v>12</v>
      </c>
      <c r="D29" s="2"/>
      <c r="E29" s="2"/>
      <c r="F29" t="str">
        <f t="shared" si="0"/>
        <v>Touche à tout - Ferveur magique</v>
      </c>
      <c r="G29">
        <f t="shared" si="1"/>
        <v>12</v>
      </c>
      <c r="H29" s="5" t="s">
        <v>209</v>
      </c>
      <c r="I29" t="str">
        <f t="shared" si="2"/>
        <v>Touche à tout - Peinture de protection</v>
      </c>
      <c r="J29" s="2">
        <f t="shared" si="3"/>
        <v>10</v>
      </c>
      <c r="K29" t="s">
        <v>209</v>
      </c>
      <c r="L29" t="str">
        <f t="shared" si="4"/>
        <v>Touche à tout - Peinture de protection</v>
      </c>
      <c r="M29">
        <f t="shared" si="5"/>
        <v>10</v>
      </c>
      <c r="N29" t="s">
        <v>246</v>
      </c>
      <c r="O29" t="str">
        <f t="shared" si="6"/>
        <v>Touche à tout - Renvoi de sort</v>
      </c>
      <c r="P29">
        <f t="shared" si="7"/>
        <v>12</v>
      </c>
      <c r="Q29" s="2" t="s">
        <v>246</v>
      </c>
      <c r="R29" t="str">
        <f t="shared" si="8"/>
        <v>Touche à tout - Renvoi de sort</v>
      </c>
      <c r="S29">
        <f t="shared" si="9"/>
        <v>12</v>
      </c>
      <c r="T29" s="2" t="s">
        <v>231</v>
      </c>
      <c r="U29" t="str">
        <f t="shared" si="10"/>
        <v>Touche à tout - Port d'armure spécialisée</v>
      </c>
      <c r="V29">
        <f t="shared" si="11"/>
        <v>12</v>
      </c>
      <c r="W29" s="2" t="s">
        <v>240</v>
      </c>
      <c r="X29" t="str">
        <f t="shared" si="12"/>
        <v>Touche à tout - Résistance magique</v>
      </c>
      <c r="Y29">
        <f t="shared" si="13"/>
        <v>12</v>
      </c>
    </row>
    <row r="30" spans="2:25">
      <c r="B30" s="2" t="s">
        <v>230</v>
      </c>
      <c r="C30" s="2">
        <f>VLOOKUP(B30,Compétences!$B$3:$C$96,2,FALSE)+4+2</f>
        <v>13</v>
      </c>
      <c r="D30" s="2"/>
      <c r="E30" s="2"/>
      <c r="F30" t="str">
        <f t="shared" si="0"/>
        <v>Touche à tout - Force brute</v>
      </c>
      <c r="G30">
        <f t="shared" si="1"/>
        <v>13</v>
      </c>
      <c r="H30" s="5" t="s">
        <v>231</v>
      </c>
      <c r="I30" t="str">
        <f t="shared" si="2"/>
        <v>Touche à tout - Port d'armure spécialisée</v>
      </c>
      <c r="J30" s="2">
        <f t="shared" si="3"/>
        <v>12</v>
      </c>
      <c r="K30" t="s">
        <v>231</v>
      </c>
      <c r="L30" t="str">
        <f t="shared" si="4"/>
        <v>Touche à tout - Port d'armure spécialisée</v>
      </c>
      <c r="M30">
        <f t="shared" si="5"/>
        <v>12</v>
      </c>
      <c r="N30" t="s">
        <v>239</v>
      </c>
      <c r="O30" t="str">
        <f t="shared" si="6"/>
        <v>Touche à tout - Résistance contre un élément</v>
      </c>
      <c r="P30">
        <f t="shared" si="7"/>
        <v>11</v>
      </c>
      <c r="Q30" s="2" t="s">
        <v>239</v>
      </c>
      <c r="R30" t="str">
        <f t="shared" si="8"/>
        <v>Touche à tout - Résistance contre un élément</v>
      </c>
      <c r="S30">
        <f t="shared" si="9"/>
        <v>11</v>
      </c>
      <c r="T30" s="2" t="s">
        <v>246</v>
      </c>
      <c r="U30" t="str">
        <f t="shared" si="10"/>
        <v>Touche à tout - Renvoi de sort</v>
      </c>
      <c r="V30">
        <f t="shared" si="11"/>
        <v>12</v>
      </c>
      <c r="W30" s="2" t="s">
        <v>241</v>
      </c>
      <c r="X30" t="str">
        <f t="shared" si="12"/>
        <v>Touche à tout - Résistance mentale</v>
      </c>
      <c r="Y30">
        <f t="shared" si="13"/>
        <v>12</v>
      </c>
    </row>
    <row r="31" spans="2:25">
      <c r="B31" s="2" t="s">
        <v>257</v>
      </c>
      <c r="C31" s="2">
        <f>VLOOKUP(B31,Compétences!$B$3:$C$96,2,FALSE)+4+2</f>
        <v>12</v>
      </c>
      <c r="D31" s="2"/>
      <c r="E31" s="2"/>
      <c r="F31" t="str">
        <f t="shared" si="0"/>
        <v>Touche à tout - Forge avancée</v>
      </c>
      <c r="G31">
        <f t="shared" si="1"/>
        <v>12</v>
      </c>
      <c r="H31" s="5" t="s">
        <v>238</v>
      </c>
      <c r="I31" t="str">
        <f t="shared" si="2"/>
        <v>Touche à tout - Poudre de Morphée</v>
      </c>
      <c r="J31" s="2">
        <f t="shared" si="3"/>
        <v>9</v>
      </c>
      <c r="K31" t="s">
        <v>238</v>
      </c>
      <c r="L31" t="str">
        <f t="shared" si="4"/>
        <v>Touche à tout - Poudre de Morphée</v>
      </c>
      <c r="M31">
        <f t="shared" si="5"/>
        <v>9</v>
      </c>
      <c r="N31" t="s">
        <v>240</v>
      </c>
      <c r="O31" t="str">
        <f t="shared" si="6"/>
        <v>Touche à tout - Résistance magique</v>
      </c>
      <c r="P31">
        <f t="shared" si="7"/>
        <v>12</v>
      </c>
      <c r="Q31" s="2" t="s">
        <v>210</v>
      </c>
      <c r="R31" t="str">
        <f t="shared" si="8"/>
        <v>Touche à tout - Résistance physique</v>
      </c>
      <c r="S31">
        <f t="shared" si="9"/>
        <v>12</v>
      </c>
      <c r="T31" s="2" t="s">
        <v>210</v>
      </c>
      <c r="U31" t="str">
        <f t="shared" si="10"/>
        <v>Touche à tout - Résistance physique</v>
      </c>
      <c r="V31">
        <f t="shared" si="11"/>
        <v>12</v>
      </c>
      <c r="W31" s="2" t="s">
        <v>242</v>
      </c>
      <c r="X31" t="str">
        <f t="shared" si="12"/>
        <v>Touche à tout - Restauration</v>
      </c>
      <c r="Y31">
        <f t="shared" si="13"/>
        <v>12</v>
      </c>
    </row>
    <row r="32" spans="2:25">
      <c r="B32" s="2" t="s">
        <v>236</v>
      </c>
      <c r="C32" s="2">
        <f>VLOOKUP(B32,Compétences!$B$3:$C$96,2,FALSE)+4+2</f>
        <v>9</v>
      </c>
      <c r="D32" s="2"/>
      <c r="E32" s="2"/>
      <c r="F32" t="str">
        <f t="shared" si="0"/>
        <v>Touche à tout - Haute magie</v>
      </c>
      <c r="G32">
        <f t="shared" si="1"/>
        <v>9</v>
      </c>
      <c r="H32" s="5" t="s">
        <v>246</v>
      </c>
      <c r="I32" t="str">
        <f t="shared" si="2"/>
        <v>Touche à tout - Renvoi de sort</v>
      </c>
      <c r="J32" s="2">
        <f t="shared" si="3"/>
        <v>12</v>
      </c>
      <c r="K32" t="s">
        <v>246</v>
      </c>
      <c r="L32" t="str">
        <f t="shared" si="4"/>
        <v>Touche à tout - Renvoi de sort</v>
      </c>
      <c r="M32">
        <f t="shared" si="5"/>
        <v>12</v>
      </c>
      <c r="N32" t="s">
        <v>210</v>
      </c>
      <c r="O32" t="str">
        <f t="shared" si="6"/>
        <v>Touche à tout - Résistance physique</v>
      </c>
      <c r="P32">
        <f t="shared" si="7"/>
        <v>12</v>
      </c>
      <c r="Q32" s="2" t="s">
        <v>258</v>
      </c>
      <c r="R32" t="str">
        <f t="shared" si="8"/>
        <v>Touche à tout - Serrurier</v>
      </c>
      <c r="S32">
        <f t="shared" si="9"/>
        <v>11</v>
      </c>
      <c r="T32" s="2" t="s">
        <v>258</v>
      </c>
      <c r="U32" t="str">
        <f t="shared" si="10"/>
        <v>Touche à tout - Serrurier</v>
      </c>
      <c r="V32">
        <f t="shared" si="11"/>
        <v>11</v>
      </c>
      <c r="W32" s="2" t="s">
        <v>258</v>
      </c>
      <c r="X32" t="str">
        <f t="shared" si="12"/>
        <v>Touche à tout - Serrurier</v>
      </c>
      <c r="Y32">
        <f t="shared" si="13"/>
        <v>11</v>
      </c>
    </row>
    <row r="33" spans="2:25">
      <c r="B33" s="2" t="s">
        <v>237</v>
      </c>
      <c r="C33" s="2">
        <f>VLOOKUP(B33,Compétences!$B$3:$C$96,2,FALSE)+4+2</f>
        <v>11</v>
      </c>
      <c r="D33" s="2"/>
      <c r="E33" s="2"/>
      <c r="F33" t="str">
        <f t="shared" si="0"/>
        <v>Touche à tout - Magie brutale</v>
      </c>
      <c r="G33">
        <f t="shared" si="1"/>
        <v>11</v>
      </c>
      <c r="H33" s="5" t="s">
        <v>239</v>
      </c>
      <c r="I33" t="str">
        <f t="shared" si="2"/>
        <v>Touche à tout - Résistance contre un élément</v>
      </c>
      <c r="J33" s="2">
        <f t="shared" si="3"/>
        <v>11</v>
      </c>
      <c r="K33" t="s">
        <v>239</v>
      </c>
      <c r="L33" t="str">
        <f t="shared" si="4"/>
        <v>Touche à tout - Résistance contre un élément</v>
      </c>
      <c r="M33">
        <f t="shared" si="5"/>
        <v>11</v>
      </c>
      <c r="N33" t="s">
        <v>242</v>
      </c>
      <c r="O33" t="str">
        <f t="shared" si="6"/>
        <v>Touche à tout - Restauration</v>
      </c>
      <c r="P33">
        <f t="shared" si="7"/>
        <v>12</v>
      </c>
      <c r="R33" t="str">
        <f t="shared" si="8"/>
        <v xml:space="preserve">Touche à tout - </v>
      </c>
      <c r="S33" t="e">
        <f t="shared" si="9"/>
        <v>#N/A</v>
      </c>
      <c r="U33" t="str">
        <f t="shared" si="10"/>
        <v xml:space="preserve">Touche à tout - </v>
      </c>
      <c r="V33" t="e">
        <f t="shared" si="11"/>
        <v>#N/A</v>
      </c>
      <c r="W33" s="2" t="s">
        <v>243</v>
      </c>
      <c r="X33" t="str">
        <f t="shared" si="12"/>
        <v>Touche à tout - Talisman</v>
      </c>
      <c r="Y33">
        <f t="shared" si="13"/>
        <v>11</v>
      </c>
    </row>
    <row r="34" spans="2:25">
      <c r="B34" s="2" t="s">
        <v>208</v>
      </c>
      <c r="C34" s="2">
        <f>VLOOKUP(B34,Compétences!$B$3:$C$96,2,FALSE)+4+2</f>
        <v>12</v>
      </c>
      <c r="D34" s="2"/>
      <c r="E34" s="2"/>
      <c r="F34" t="str">
        <f t="shared" si="0"/>
        <v>Touche à tout - Onde de choc</v>
      </c>
      <c r="G34">
        <f t="shared" si="1"/>
        <v>12</v>
      </c>
      <c r="H34" s="5" t="s">
        <v>240</v>
      </c>
      <c r="I34" t="str">
        <f t="shared" si="2"/>
        <v>Touche à tout - Résistance magique</v>
      </c>
      <c r="J34" s="2">
        <f t="shared" si="3"/>
        <v>12</v>
      </c>
      <c r="K34" t="s">
        <v>240</v>
      </c>
      <c r="L34" t="str">
        <f t="shared" si="4"/>
        <v>Touche à tout - Résistance magique</v>
      </c>
      <c r="M34">
        <f t="shared" si="5"/>
        <v>12</v>
      </c>
      <c r="N34" t="s">
        <v>243</v>
      </c>
      <c r="O34" t="str">
        <f t="shared" si="6"/>
        <v>Touche à tout - Talisman</v>
      </c>
      <c r="P34">
        <f t="shared" si="7"/>
        <v>11</v>
      </c>
      <c r="R34" t="str">
        <f t="shared" si="8"/>
        <v xml:space="preserve">Touche à tout - </v>
      </c>
      <c r="S34" t="e">
        <f t="shared" si="9"/>
        <v>#N/A</v>
      </c>
      <c r="U34" t="str">
        <f t="shared" si="10"/>
        <v xml:space="preserve">Touche à tout - </v>
      </c>
      <c r="V34" t="e">
        <f t="shared" si="11"/>
        <v>#N/A</v>
      </c>
      <c r="W34" s="2" t="s">
        <v>244</v>
      </c>
      <c r="X34" t="str">
        <f t="shared" si="12"/>
        <v>Touche à tout - Talisman avancée</v>
      </c>
      <c r="Y34">
        <f t="shared" si="13"/>
        <v>11</v>
      </c>
    </row>
    <row r="35" spans="2:25">
      <c r="B35" s="2" t="s">
        <v>209</v>
      </c>
      <c r="C35" s="2">
        <f>VLOOKUP(B35,Compétences!$B$3:$C$96,2,FALSE)+4+2</f>
        <v>10</v>
      </c>
      <c r="D35" s="2"/>
      <c r="E35" s="2"/>
      <c r="F35" t="str">
        <f t="shared" si="0"/>
        <v>Touche à tout - Peinture de protection</v>
      </c>
      <c r="G35">
        <f t="shared" si="1"/>
        <v>10</v>
      </c>
      <c r="H35" s="5" t="s">
        <v>241</v>
      </c>
      <c r="I35" t="str">
        <f t="shared" si="2"/>
        <v>Touche à tout - Résistance mentale</v>
      </c>
      <c r="J35" s="2">
        <f t="shared" si="3"/>
        <v>12</v>
      </c>
      <c r="K35" t="s">
        <v>241</v>
      </c>
      <c r="L35" t="str">
        <f t="shared" si="4"/>
        <v>Touche à tout - Résistance mentale</v>
      </c>
      <c r="M35">
        <f t="shared" si="5"/>
        <v>12</v>
      </c>
      <c r="N35" t="s">
        <v>244</v>
      </c>
      <c r="O35" t="str">
        <f t="shared" si="6"/>
        <v>Touche à tout - Talisman avancée</v>
      </c>
      <c r="P35">
        <f t="shared" si="7"/>
        <v>11</v>
      </c>
      <c r="R35" t="str">
        <f t="shared" si="8"/>
        <v xml:space="preserve">Touche à tout - </v>
      </c>
      <c r="S35" t="e">
        <f t="shared" si="9"/>
        <v>#N/A</v>
      </c>
      <c r="U35" t="str">
        <f t="shared" si="10"/>
        <v xml:space="preserve">Touche à tout - </v>
      </c>
      <c r="V35" t="e">
        <f t="shared" si="11"/>
        <v>#N/A</v>
      </c>
      <c r="W35" s="2" t="s">
        <v>245</v>
      </c>
      <c r="X35" t="str">
        <f t="shared" si="12"/>
        <v>Touche à tout - Transfert de vitalité en mana</v>
      </c>
      <c r="Y35">
        <f t="shared" si="13"/>
        <v>8</v>
      </c>
    </row>
    <row r="36" spans="2:25">
      <c r="B36" s="2" t="s">
        <v>231</v>
      </c>
      <c r="C36" s="2">
        <f>VLOOKUP(B36,Compétences!$B$3:$C$96,2,FALSE)+4+2</f>
        <v>12</v>
      </c>
      <c r="D36" s="2"/>
      <c r="E36" s="2"/>
      <c r="F36" t="str">
        <f t="shared" si="0"/>
        <v>Touche à tout - Port d'armure spécialisée</v>
      </c>
      <c r="G36">
        <f t="shared" si="1"/>
        <v>12</v>
      </c>
      <c r="H36" s="5" t="s">
        <v>210</v>
      </c>
      <c r="I36" t="str">
        <f t="shared" si="2"/>
        <v>Touche à tout - Résistance physique</v>
      </c>
      <c r="J36" s="2">
        <f t="shared" si="3"/>
        <v>12</v>
      </c>
      <c r="K36" t="s">
        <v>210</v>
      </c>
      <c r="L36" t="str">
        <f t="shared" si="4"/>
        <v>Touche à tout - Résistance physique</v>
      </c>
      <c r="M36">
        <f t="shared" si="5"/>
        <v>12</v>
      </c>
      <c r="N36" t="s">
        <v>245</v>
      </c>
      <c r="O36" t="str">
        <f t="shared" si="6"/>
        <v>Touche à tout - Transfert de vitalité en mana</v>
      </c>
      <c r="P36">
        <f t="shared" si="7"/>
        <v>8</v>
      </c>
      <c r="R36" t="str">
        <f t="shared" si="8"/>
        <v xml:space="preserve">Touche à tout - </v>
      </c>
      <c r="S36" t="e">
        <f t="shared" si="9"/>
        <v>#N/A</v>
      </c>
      <c r="U36" t="str">
        <f t="shared" si="10"/>
        <v xml:space="preserve">Touche à tout - </v>
      </c>
      <c r="V36" t="e">
        <f t="shared" si="11"/>
        <v>#N/A</v>
      </c>
      <c r="X36" t="str">
        <f t="shared" si="12"/>
        <v xml:space="preserve">Touche à tout - </v>
      </c>
      <c r="Y36" t="e">
        <f t="shared" si="13"/>
        <v>#N/A</v>
      </c>
    </row>
    <row r="37" spans="2:25">
      <c r="B37" s="2" t="s">
        <v>238</v>
      </c>
      <c r="C37" s="2">
        <f>VLOOKUP(B37,Compétences!$B$3:$C$96,2,FALSE)+4+2</f>
        <v>9</v>
      </c>
      <c r="D37" s="2"/>
      <c r="E37" s="2"/>
      <c r="F37" t="str">
        <f t="shared" si="0"/>
        <v>Touche à tout - Poudre de Morphée</v>
      </c>
      <c r="G37">
        <f t="shared" si="1"/>
        <v>9</v>
      </c>
      <c r="H37" s="5" t="s">
        <v>242</v>
      </c>
      <c r="I37" t="str">
        <f t="shared" si="2"/>
        <v>Touche à tout - Restauration</v>
      </c>
      <c r="J37" s="2">
        <f t="shared" si="3"/>
        <v>12</v>
      </c>
      <c r="K37" t="s">
        <v>242</v>
      </c>
      <c r="L37" t="str">
        <f t="shared" si="4"/>
        <v>Touche à tout - Restauration</v>
      </c>
      <c r="M37">
        <f t="shared" si="5"/>
        <v>12</v>
      </c>
      <c r="O37" t="str">
        <f t="shared" si="6"/>
        <v xml:space="preserve">Touche à tout - </v>
      </c>
      <c r="P37" t="e">
        <f t="shared" si="7"/>
        <v>#N/A</v>
      </c>
      <c r="R37" t="str">
        <f t="shared" si="8"/>
        <v xml:space="preserve">Touche à tout - </v>
      </c>
      <c r="S37" t="e">
        <f t="shared" si="9"/>
        <v>#N/A</v>
      </c>
      <c r="U37" t="str">
        <f t="shared" si="10"/>
        <v xml:space="preserve">Touche à tout - </v>
      </c>
      <c r="V37" t="e">
        <f t="shared" si="11"/>
        <v>#N/A</v>
      </c>
      <c r="X37" t="str">
        <f t="shared" si="12"/>
        <v xml:space="preserve">Touche à tout - </v>
      </c>
      <c r="Y37" t="e">
        <f t="shared" si="13"/>
        <v>#N/A</v>
      </c>
    </row>
    <row r="38" spans="2:25">
      <c r="B38" s="2" t="s">
        <v>246</v>
      </c>
      <c r="C38" s="2">
        <f>VLOOKUP(B38,Compétences!$B$3:$C$96,2,FALSE)+4+2</f>
        <v>12</v>
      </c>
      <c r="D38" s="2"/>
      <c r="E38" s="2"/>
      <c r="F38" t="str">
        <f t="shared" si="0"/>
        <v>Touche à tout - Renvoi de sort</v>
      </c>
      <c r="G38">
        <f t="shared" si="1"/>
        <v>12</v>
      </c>
      <c r="H38" s="5" t="s">
        <v>258</v>
      </c>
      <c r="I38" t="str">
        <f t="shared" si="2"/>
        <v>Touche à tout - Serrurier</v>
      </c>
      <c r="J38" s="2">
        <f t="shared" si="3"/>
        <v>11</v>
      </c>
      <c r="K38" t="s">
        <v>258</v>
      </c>
      <c r="L38" t="str">
        <f t="shared" si="4"/>
        <v>Touche à tout - Serrurier</v>
      </c>
      <c r="M38">
        <f t="shared" si="5"/>
        <v>11</v>
      </c>
      <c r="O38" t="str">
        <f t="shared" si="6"/>
        <v xml:space="preserve">Touche à tout - </v>
      </c>
      <c r="P38" t="e">
        <f t="shared" si="7"/>
        <v>#N/A</v>
      </c>
      <c r="R38" t="str">
        <f t="shared" si="8"/>
        <v xml:space="preserve">Touche à tout - </v>
      </c>
      <c r="S38" t="e">
        <f t="shared" si="9"/>
        <v>#N/A</v>
      </c>
      <c r="U38" t="str">
        <f t="shared" si="10"/>
        <v xml:space="preserve">Touche à tout - </v>
      </c>
      <c r="V38" t="e">
        <f t="shared" si="11"/>
        <v>#N/A</v>
      </c>
      <c r="X38" t="str">
        <f t="shared" si="12"/>
        <v xml:space="preserve">Touche à tout - </v>
      </c>
      <c r="Y38" t="e">
        <f t="shared" si="13"/>
        <v>#N/A</v>
      </c>
    </row>
    <row r="39" spans="2:25">
      <c r="B39" s="2" t="s">
        <v>239</v>
      </c>
      <c r="C39" s="2">
        <f>VLOOKUP(B39,Compétences!$B$3:$C$96,2,FALSE)+4+2</f>
        <v>11</v>
      </c>
      <c r="D39" s="2"/>
      <c r="E39" s="2"/>
      <c r="F39" t="str">
        <f t="shared" si="0"/>
        <v>Touche à tout - Résistance contre un élément</v>
      </c>
      <c r="G39">
        <f t="shared" si="1"/>
        <v>11</v>
      </c>
      <c r="H39" s="5" t="s">
        <v>243</v>
      </c>
      <c r="I39" t="str">
        <f t="shared" si="2"/>
        <v>Touche à tout - Talisman</v>
      </c>
      <c r="J39" s="2">
        <f t="shared" si="3"/>
        <v>11</v>
      </c>
      <c r="K39" t="s">
        <v>243</v>
      </c>
      <c r="L39" t="str">
        <f t="shared" si="4"/>
        <v>Touche à tout - Talisman</v>
      </c>
      <c r="M39">
        <f t="shared" si="5"/>
        <v>11</v>
      </c>
      <c r="O39" t="str">
        <f t="shared" si="6"/>
        <v xml:space="preserve">Touche à tout - </v>
      </c>
      <c r="P39" t="e">
        <f t="shared" si="7"/>
        <v>#N/A</v>
      </c>
      <c r="R39" t="str">
        <f t="shared" si="8"/>
        <v xml:space="preserve">Touche à tout - </v>
      </c>
      <c r="S39" t="e">
        <f t="shared" si="9"/>
        <v>#N/A</v>
      </c>
      <c r="U39" t="str">
        <f t="shared" si="10"/>
        <v xml:space="preserve">Touche à tout - </v>
      </c>
      <c r="V39" t="e">
        <f t="shared" si="11"/>
        <v>#N/A</v>
      </c>
      <c r="X39" t="str">
        <f t="shared" si="12"/>
        <v xml:space="preserve">Touche à tout - </v>
      </c>
      <c r="Y39" t="e">
        <f t="shared" si="13"/>
        <v>#N/A</v>
      </c>
    </row>
    <row r="40" spans="2:25">
      <c r="B40" s="2" t="s">
        <v>240</v>
      </c>
      <c r="C40" s="2">
        <f>VLOOKUP(B40,Compétences!$B$3:$C$96,2,FALSE)+4+2</f>
        <v>12</v>
      </c>
      <c r="D40" s="2"/>
      <c r="E40" s="2"/>
      <c r="F40" t="str">
        <f t="shared" si="0"/>
        <v>Touche à tout - Résistance magique</v>
      </c>
      <c r="G40">
        <f t="shared" si="1"/>
        <v>12</v>
      </c>
      <c r="H40" s="5" t="s">
        <v>244</v>
      </c>
      <c r="I40" t="str">
        <f t="shared" si="2"/>
        <v>Touche à tout - Talisman avancée</v>
      </c>
      <c r="J40" s="2">
        <f t="shared" si="3"/>
        <v>11</v>
      </c>
      <c r="K40" t="s">
        <v>244</v>
      </c>
      <c r="L40" t="str">
        <f t="shared" si="4"/>
        <v>Touche à tout - Talisman avancée</v>
      </c>
      <c r="M40">
        <f t="shared" si="5"/>
        <v>11</v>
      </c>
      <c r="O40" t="str">
        <f t="shared" si="6"/>
        <v xml:space="preserve">Touche à tout - </v>
      </c>
      <c r="P40" t="e">
        <f t="shared" si="7"/>
        <v>#N/A</v>
      </c>
      <c r="R40" t="str">
        <f t="shared" si="8"/>
        <v xml:space="preserve">Touche à tout - </v>
      </c>
      <c r="S40" t="e">
        <f t="shared" si="9"/>
        <v>#N/A</v>
      </c>
      <c r="U40" t="str">
        <f t="shared" si="10"/>
        <v xml:space="preserve">Touche à tout - </v>
      </c>
      <c r="V40" t="e">
        <f t="shared" si="11"/>
        <v>#N/A</v>
      </c>
      <c r="X40" t="str">
        <f t="shared" si="12"/>
        <v xml:space="preserve">Touche à tout - </v>
      </c>
      <c r="Y40" t="e">
        <f t="shared" si="13"/>
        <v>#N/A</v>
      </c>
    </row>
    <row r="41" spans="2:25">
      <c r="B41" s="2" t="s">
        <v>241</v>
      </c>
      <c r="C41" s="2">
        <f>VLOOKUP(B41,Compétences!$B$3:$C$96,2,FALSE)+4+2</f>
        <v>12</v>
      </c>
      <c r="D41" s="2"/>
      <c r="E41" s="2"/>
      <c r="F41" t="str">
        <f t="shared" si="0"/>
        <v>Touche à tout - Résistance mentale</v>
      </c>
      <c r="G41">
        <f t="shared" si="1"/>
        <v>12</v>
      </c>
      <c r="H41" s="5" t="s">
        <v>245</v>
      </c>
      <c r="I41" t="str">
        <f t="shared" si="2"/>
        <v>Touche à tout - Transfert de vitalité en mana</v>
      </c>
      <c r="J41" s="2">
        <f t="shared" si="3"/>
        <v>8</v>
      </c>
      <c r="K41" t="s">
        <v>245</v>
      </c>
      <c r="L41" t="str">
        <f t="shared" si="4"/>
        <v>Touche à tout - Transfert de vitalité en mana</v>
      </c>
      <c r="M41">
        <f t="shared" si="5"/>
        <v>8</v>
      </c>
      <c r="O41" t="str">
        <f t="shared" si="6"/>
        <v xml:space="preserve">Touche à tout - </v>
      </c>
      <c r="P41" t="e">
        <f t="shared" si="7"/>
        <v>#N/A</v>
      </c>
      <c r="R41" t="str">
        <f t="shared" si="8"/>
        <v xml:space="preserve">Touche à tout - </v>
      </c>
      <c r="S41" t="e">
        <f t="shared" si="9"/>
        <v>#N/A</v>
      </c>
      <c r="U41" t="str">
        <f t="shared" si="10"/>
        <v xml:space="preserve">Touche à tout - </v>
      </c>
      <c r="V41" t="e">
        <f t="shared" si="11"/>
        <v>#N/A</v>
      </c>
      <c r="X41" t="str">
        <f t="shared" si="12"/>
        <v xml:space="preserve">Touche à tout - </v>
      </c>
      <c r="Y41" t="e">
        <f t="shared" si="13"/>
        <v>#N/A</v>
      </c>
    </row>
    <row r="42" spans="2:25">
      <c r="B42" s="2" t="s">
        <v>210</v>
      </c>
      <c r="C42" s="2">
        <f>VLOOKUP(B42,Compétences!$B$3:$C$96,2,FALSE)+4+2</f>
        <v>12</v>
      </c>
      <c r="D42" s="2"/>
      <c r="E42" s="2"/>
      <c r="F42" t="str">
        <f t="shared" si="0"/>
        <v>Touche à tout - Résistance physique</v>
      </c>
      <c r="G42">
        <f t="shared" si="1"/>
        <v>12</v>
      </c>
      <c r="J42" s="2" t="e">
        <f t="shared" si="3"/>
        <v>#N/A</v>
      </c>
      <c r="M42" t="e">
        <f t="shared" si="5"/>
        <v>#N/A</v>
      </c>
      <c r="O42" t="str">
        <f t="shared" si="6"/>
        <v xml:space="preserve">Touche à tout - </v>
      </c>
      <c r="P42" t="e">
        <f t="shared" si="7"/>
        <v>#N/A</v>
      </c>
      <c r="R42" t="str">
        <f t="shared" si="8"/>
        <v xml:space="preserve">Touche à tout - </v>
      </c>
      <c r="S42" t="e">
        <f t="shared" si="9"/>
        <v>#N/A</v>
      </c>
      <c r="U42" t="str">
        <f t="shared" si="10"/>
        <v xml:space="preserve">Touche à tout - </v>
      </c>
      <c r="V42" t="e">
        <f t="shared" si="11"/>
        <v>#N/A</v>
      </c>
      <c r="X42" t="str">
        <f t="shared" si="12"/>
        <v xml:space="preserve">Touche à tout - </v>
      </c>
      <c r="Y42" t="e">
        <f t="shared" si="13"/>
        <v>#N/A</v>
      </c>
    </row>
    <row r="43" spans="2:25">
      <c r="B43" s="2" t="s">
        <v>242</v>
      </c>
      <c r="C43" s="2">
        <f>VLOOKUP(B43,Compétences!$B$3:$C$96,2,FALSE)+4+2</f>
        <v>12</v>
      </c>
      <c r="D43" s="2"/>
      <c r="E43" s="2"/>
      <c r="F43" t="str">
        <f t="shared" si="0"/>
        <v>Touche à tout - Restauration</v>
      </c>
      <c r="G43">
        <f t="shared" si="1"/>
        <v>12</v>
      </c>
      <c r="J43" s="2" t="e">
        <f t="shared" si="3"/>
        <v>#N/A</v>
      </c>
      <c r="M43" t="e">
        <f t="shared" si="5"/>
        <v>#N/A</v>
      </c>
      <c r="O43" t="str">
        <f t="shared" si="6"/>
        <v xml:space="preserve">Touche à tout - </v>
      </c>
      <c r="P43" t="e">
        <f t="shared" si="7"/>
        <v>#N/A</v>
      </c>
      <c r="R43" t="str">
        <f t="shared" si="8"/>
        <v xml:space="preserve">Touche à tout - </v>
      </c>
      <c r="S43" t="e">
        <f t="shared" si="9"/>
        <v>#N/A</v>
      </c>
      <c r="U43" t="str">
        <f t="shared" si="10"/>
        <v xml:space="preserve">Touche à tout - </v>
      </c>
      <c r="V43" t="e">
        <f t="shared" si="11"/>
        <v>#N/A</v>
      </c>
      <c r="X43" t="str">
        <f t="shared" si="12"/>
        <v xml:space="preserve">Touche à tout - </v>
      </c>
      <c r="Y43" t="e">
        <f t="shared" si="13"/>
        <v>#N/A</v>
      </c>
    </row>
    <row r="44" spans="2:25">
      <c r="B44" s="2" t="s">
        <v>258</v>
      </c>
      <c r="C44" s="2">
        <f>VLOOKUP(B44,Compétences!$B$3:$C$96,2,FALSE)+4+2</f>
        <v>11</v>
      </c>
      <c r="D44" s="2"/>
      <c r="E44" s="2"/>
      <c r="F44" t="str">
        <f t="shared" si="0"/>
        <v>Touche à tout - Serrurier</v>
      </c>
      <c r="G44">
        <f t="shared" si="1"/>
        <v>11</v>
      </c>
      <c r="J44" s="2" t="e">
        <f t="shared" si="3"/>
        <v>#N/A</v>
      </c>
      <c r="M44" t="e">
        <f t="shared" si="5"/>
        <v>#N/A</v>
      </c>
      <c r="O44" t="str">
        <f t="shared" si="6"/>
        <v xml:space="preserve">Touche à tout - </v>
      </c>
      <c r="P44" t="e">
        <f t="shared" si="7"/>
        <v>#N/A</v>
      </c>
      <c r="R44" t="str">
        <f t="shared" si="8"/>
        <v xml:space="preserve">Touche à tout - </v>
      </c>
      <c r="S44" t="e">
        <f t="shared" si="9"/>
        <v>#N/A</v>
      </c>
      <c r="U44" t="str">
        <f t="shared" si="10"/>
        <v xml:space="preserve">Touche à tout - </v>
      </c>
      <c r="V44" t="e">
        <f t="shared" si="11"/>
        <v>#N/A</v>
      </c>
      <c r="X44" t="str">
        <f t="shared" si="12"/>
        <v xml:space="preserve">Touche à tout - </v>
      </c>
      <c r="Y44" t="e">
        <f t="shared" si="13"/>
        <v>#N/A</v>
      </c>
    </row>
    <row r="45" spans="2:25">
      <c r="B45" s="2" t="s">
        <v>243</v>
      </c>
      <c r="C45" s="2">
        <f>VLOOKUP(B45,Compétences!$B$3:$C$96,2,FALSE)+4+2</f>
        <v>11</v>
      </c>
      <c r="D45" s="2"/>
      <c r="E45" s="2"/>
      <c r="F45" t="str">
        <f t="shared" si="0"/>
        <v>Touche à tout - Talisman</v>
      </c>
      <c r="G45">
        <f t="shared" si="1"/>
        <v>11</v>
      </c>
      <c r="J45" s="2" t="e">
        <f t="shared" si="3"/>
        <v>#N/A</v>
      </c>
      <c r="M45" t="e">
        <f t="shared" si="5"/>
        <v>#N/A</v>
      </c>
      <c r="O45" t="str">
        <f t="shared" si="6"/>
        <v xml:space="preserve">Touche à tout - </v>
      </c>
      <c r="P45" t="e">
        <f t="shared" si="7"/>
        <v>#N/A</v>
      </c>
      <c r="R45" t="str">
        <f t="shared" si="8"/>
        <v xml:space="preserve">Touche à tout - </v>
      </c>
      <c r="S45" t="e">
        <f t="shared" si="9"/>
        <v>#N/A</v>
      </c>
      <c r="U45" t="str">
        <f t="shared" si="10"/>
        <v xml:space="preserve">Touche à tout - </v>
      </c>
      <c r="V45" t="e">
        <f t="shared" si="11"/>
        <v>#N/A</v>
      </c>
      <c r="X45" t="str">
        <f t="shared" si="12"/>
        <v xml:space="preserve">Touche à tout - </v>
      </c>
      <c r="Y45" t="e">
        <f t="shared" si="13"/>
        <v>#N/A</v>
      </c>
    </row>
    <row r="46" spans="2:25">
      <c r="B46" s="2" t="s">
        <v>244</v>
      </c>
      <c r="C46" s="2">
        <f>VLOOKUP(B46,Compétences!$B$3:$C$96,2,FALSE)+4+2</f>
        <v>11</v>
      </c>
      <c r="D46" s="2"/>
      <c r="E46" s="2"/>
      <c r="F46" t="str">
        <f t="shared" si="0"/>
        <v>Touche à tout - Talisman avancée</v>
      </c>
      <c r="G46">
        <f t="shared" si="1"/>
        <v>11</v>
      </c>
      <c r="J46" s="2" t="e">
        <f t="shared" si="3"/>
        <v>#N/A</v>
      </c>
      <c r="M46" t="e">
        <f t="shared" si="5"/>
        <v>#N/A</v>
      </c>
      <c r="O46" t="str">
        <f t="shared" si="6"/>
        <v xml:space="preserve">Touche à tout - </v>
      </c>
      <c r="P46" t="e">
        <f t="shared" si="7"/>
        <v>#N/A</v>
      </c>
      <c r="R46" t="str">
        <f t="shared" si="8"/>
        <v xml:space="preserve">Touche à tout - </v>
      </c>
      <c r="S46" t="e">
        <f t="shared" si="9"/>
        <v>#N/A</v>
      </c>
      <c r="U46" t="str">
        <f t="shared" si="10"/>
        <v xml:space="preserve">Touche à tout - </v>
      </c>
      <c r="V46" t="e">
        <f t="shared" si="11"/>
        <v>#N/A</v>
      </c>
      <c r="X46" t="str">
        <f t="shared" si="12"/>
        <v xml:space="preserve">Touche à tout - </v>
      </c>
      <c r="Y46" t="e">
        <f t="shared" si="13"/>
        <v>#N/A</v>
      </c>
    </row>
    <row r="47" spans="2:25">
      <c r="B47" s="2" t="s">
        <v>245</v>
      </c>
      <c r="C47" s="2">
        <f>VLOOKUP(B47,Compétences!$B$3:$C$96,2,FALSE)+4+2</f>
        <v>8</v>
      </c>
      <c r="D47" s="2"/>
      <c r="E47" s="2"/>
      <c r="F47" t="str">
        <f t="shared" si="0"/>
        <v>Touche à tout - Transfert de vitalité en mana</v>
      </c>
      <c r="G47">
        <f t="shared" si="1"/>
        <v>8</v>
      </c>
      <c r="J47" s="2" t="e">
        <f t="shared" si="3"/>
        <v>#N/A</v>
      </c>
      <c r="M47" t="e">
        <f t="shared" si="5"/>
        <v>#N/A</v>
      </c>
      <c r="O47" t="str">
        <f t="shared" si="6"/>
        <v xml:space="preserve">Touche à tout - </v>
      </c>
      <c r="P47" t="e">
        <f t="shared" si="7"/>
        <v>#N/A</v>
      </c>
      <c r="R47" t="str">
        <f t="shared" si="8"/>
        <v xml:space="preserve">Touche à tout - </v>
      </c>
      <c r="S47" t="e">
        <f t="shared" si="9"/>
        <v>#N/A</v>
      </c>
      <c r="U47" t="str">
        <f t="shared" si="10"/>
        <v xml:space="preserve">Touche à tout - </v>
      </c>
      <c r="V47" t="e">
        <f t="shared" si="11"/>
        <v>#N/A</v>
      </c>
      <c r="X47" t="str">
        <f t="shared" si="12"/>
        <v xml:space="preserve">Touche à tout - </v>
      </c>
      <c r="Y47" t="e">
        <f t="shared" si="13"/>
        <v>#N/A</v>
      </c>
    </row>
    <row r="48" spans="2:25">
      <c r="B48" s="2"/>
      <c r="C48" s="2"/>
      <c r="D48" s="2"/>
      <c r="E48" s="2"/>
    </row>
    <row r="49" spans="2:5">
      <c r="B49" s="2" t="s">
        <v>185</v>
      </c>
      <c r="C49" s="2"/>
      <c r="E49" s="2"/>
    </row>
    <row r="50" spans="2:5">
      <c r="B50" s="2" t="s">
        <v>199</v>
      </c>
      <c r="C50" s="2"/>
      <c r="E50" s="2"/>
    </row>
    <row r="51" spans="2:5">
      <c r="B51" s="2" t="s">
        <v>200</v>
      </c>
      <c r="C51" s="2"/>
      <c r="E51" s="2"/>
    </row>
    <row r="52" spans="2:5">
      <c r="B52" s="2" t="s">
        <v>201</v>
      </c>
      <c r="C52" s="2"/>
      <c r="E52" s="2"/>
    </row>
    <row r="53" spans="2:5">
      <c r="B53" s="2" t="s">
        <v>202</v>
      </c>
      <c r="C53" s="2"/>
      <c r="E53" s="2"/>
    </row>
    <row r="54" spans="2:5">
      <c r="B54" s="2" t="s">
        <v>203</v>
      </c>
      <c r="C54" s="2"/>
      <c r="E54" s="2"/>
    </row>
    <row r="55" spans="2:5">
      <c r="B55" s="2" t="s">
        <v>204</v>
      </c>
    </row>
    <row r="56" spans="2:5">
      <c r="B56" s="2" t="s">
        <v>205</v>
      </c>
    </row>
    <row r="57" spans="2:5">
      <c r="B57" s="2" t="s">
        <v>206</v>
      </c>
    </row>
    <row r="58" spans="2:5">
      <c r="B58" s="2" t="s">
        <v>207</v>
      </c>
    </row>
    <row r="59" spans="2:5">
      <c r="B59" s="2" t="s">
        <v>208</v>
      </c>
    </row>
    <row r="60" spans="2:5">
      <c r="B60" s="2" t="s">
        <v>209</v>
      </c>
    </row>
    <row r="61" spans="2:5">
      <c r="B61" s="2" t="s">
        <v>211</v>
      </c>
    </row>
    <row r="62" spans="2:5">
      <c r="B62" s="2" t="s">
        <v>210</v>
      </c>
    </row>
    <row r="63" spans="2:5">
      <c r="B63" s="2" t="s">
        <v>212</v>
      </c>
    </row>
    <row r="64" spans="2:5">
      <c r="B64" s="2" t="s">
        <v>213</v>
      </c>
    </row>
  </sheetData>
  <autoFilter ref="B2:B54" xr:uid="{912D94E2-A649-4E4A-8F87-4FA5BD148D09}">
    <sortState xmlns:xlrd2="http://schemas.microsoft.com/office/spreadsheetml/2017/richdata2" ref="B3:C54">
      <sortCondition ref="B2:B54"/>
    </sortState>
  </autoFilter>
  <conditionalFormatting sqref="B1:B1048576">
    <cfRule type="duplicateValues" dxfId="12" priority="10"/>
    <cfRule type="duplicateValues" dxfId="11" priority="11"/>
  </conditionalFormatting>
  <conditionalFormatting sqref="B3:B54">
    <cfRule type="duplicateValues" dxfId="10" priority="106"/>
  </conditionalFormatting>
  <conditionalFormatting sqref="H3:H41">
    <cfRule type="duplicateValues" dxfId="9" priority="12"/>
  </conditionalFormatting>
  <conditionalFormatting sqref="Q3:Q32">
    <cfRule type="duplicateValues" dxfId="8" priority="7"/>
    <cfRule type="duplicateValues" dxfId="7" priority="8"/>
    <cfRule type="duplicateValues" dxfId="6" priority="9"/>
  </conditionalFormatting>
  <conditionalFormatting sqref="T3:T32">
    <cfRule type="duplicateValues" dxfId="5" priority="4"/>
    <cfRule type="duplicateValues" dxfId="4" priority="5"/>
    <cfRule type="duplicateValues" dxfId="3" priority="6"/>
  </conditionalFormatting>
  <conditionalFormatting sqref="W3:W35">
    <cfRule type="duplicateValues" dxfId="2" priority="1"/>
    <cfRule type="duplicateValues" dxfId="1" priority="2"/>
    <cfRule type="duplicateValues" dxfId="0" priority="3"/>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3CD6-ED09-438E-AA75-3963A0CF6F36}">
  <sheetPr codeName="Feuil14"/>
  <dimension ref="B1:AB32"/>
  <sheetViews>
    <sheetView topLeftCell="L1" zoomScaleNormal="100" workbookViewId="0">
      <selection activeCell="W3" sqref="W3"/>
    </sheetView>
  </sheetViews>
  <sheetFormatPr baseColWidth="10" defaultRowHeight="15"/>
  <cols>
    <col min="2" max="2" width="18.36328125" bestFit="1" customWidth="1"/>
    <col min="8" max="9" width="10.90625" customWidth="1"/>
    <col min="15" max="16" width="10.90625" customWidth="1"/>
    <col min="17" max="17" width="16.7265625" bestFit="1" customWidth="1"/>
  </cols>
  <sheetData>
    <row r="1" spans="2:28">
      <c r="R1">
        <v>1</v>
      </c>
      <c r="S1">
        <v>2</v>
      </c>
      <c r="T1">
        <v>3</v>
      </c>
      <c r="U1">
        <v>4</v>
      </c>
      <c r="V1">
        <v>5</v>
      </c>
    </row>
    <row r="2" spans="2:28">
      <c r="B2" t="s">
        <v>140</v>
      </c>
      <c r="C2" t="s">
        <v>659</v>
      </c>
      <c r="D2" t="s">
        <v>660</v>
      </c>
      <c r="E2" t="s">
        <v>661</v>
      </c>
      <c r="F2" t="s">
        <v>662</v>
      </c>
      <c r="H2" t="s">
        <v>663</v>
      </c>
      <c r="I2" t="s">
        <v>275</v>
      </c>
      <c r="J2" t="s">
        <v>662</v>
      </c>
      <c r="K2" t="s">
        <v>659</v>
      </c>
      <c r="L2" t="s">
        <v>660</v>
      </c>
      <c r="N2" t="s">
        <v>450</v>
      </c>
      <c r="O2" t="s">
        <v>663</v>
      </c>
      <c r="P2" t="s">
        <v>275</v>
      </c>
      <c r="Q2" t="s">
        <v>662</v>
      </c>
      <c r="R2" t="s">
        <v>659</v>
      </c>
      <c r="S2" t="s">
        <v>660</v>
      </c>
      <c r="T2" t="s">
        <v>661</v>
      </c>
      <c r="U2" t="s">
        <v>666</v>
      </c>
      <c r="V2" t="s">
        <v>667</v>
      </c>
      <c r="W2" t="s">
        <v>668</v>
      </c>
    </row>
    <row r="3" spans="2:28">
      <c r="B3" t="s">
        <v>141</v>
      </c>
      <c r="G3" t="str">
        <f t="shared" ref="G3:G8" si="0">_xlfn.CONCAT(C3:E3)</f>
        <v/>
      </c>
      <c r="H3" t="s">
        <v>35</v>
      </c>
      <c r="I3" t="s">
        <v>276</v>
      </c>
      <c r="J3" t="str">
        <f>_xlfn.CONCAT(H3:I3)</f>
        <v>DruideBénéfique</v>
      </c>
      <c r="K3" t="s">
        <v>665</v>
      </c>
      <c r="N3">
        <f>'Nom du personnage'!F51</f>
        <v>0</v>
      </c>
      <c r="O3">
        <f>'Nom du personnage'!U51</f>
        <v>0</v>
      </c>
      <c r="P3">
        <f>'Nom du personnage'!F60</f>
        <v>0</v>
      </c>
      <c r="Q3" t="str">
        <f>_xlfn.CONCAT(O3:P3)</f>
        <v>00</v>
      </c>
      <c r="R3" t="e">
        <f>IF(VLOOKUP($N$3,$B$3:$E$32,2,FALSE)=0,"",VLOOKUP($N$3,$B$3:$E$32,2,FALSE))</f>
        <v>#N/A</v>
      </c>
      <c r="S3" t="e">
        <f>IF(VLOOKUP($N$3,$B$3:$E$32,3,FALSE)=0,"",VLOOKUP($N$3,$B$3:$E$32,3,FALSE))</f>
        <v>#N/A</v>
      </c>
      <c r="T3" t="e">
        <f>IF(VLOOKUP($N$3,$B$3:$E$32,4,FALSE)=0,"",VLOOKUP($N$3,$B$3:$E$32,4,FALSE))</f>
        <v>#N/A</v>
      </c>
      <c r="U3" t="str">
        <f>IF(ISERROR(IF(VLOOKUP($Q$3,$J$3:$L$14,2,FALSE)=0,"",VLOOKUP($Q$3,$J$3:$L$14,2,FALSE))),"",IF(VLOOKUP($Q$3,$J$3:$L$14,2,FALSE)=0,"",VLOOKUP($Q$3,$J$3:$L$14,2,FALSE)))</f>
        <v/>
      </c>
      <c r="V3" t="str">
        <f>IF(ISERROR(IF(VLOOKUP($Q$3,$J$3:$L$14,3,FALSE)=0,"",VLOOKUP($Q$3,$J$3:$L$14,3,FALSE))),"",IF(VLOOKUP($Q$3,$J$3:$L$14,3,FALSE)=0,"",VLOOKUP($Q$3,$J$3:$L$14,3,FALSE)))</f>
        <v/>
      </c>
      <c r="W3" t="e" cm="1">
        <f t="array" ref="W3:X3">_xlfn.UNIQUE(R3:V3,TRUE,FALSE)</f>
        <v>#N/A</v>
      </c>
      <c r="X3" t="str">
        <v/>
      </c>
      <c r="AB3" t="e">
        <f>_xlfn.CONCAT(_xlfn.ANCHORARRAY(W3))</f>
        <v>#N/A</v>
      </c>
    </row>
    <row r="4" spans="2:28">
      <c r="B4" t="s">
        <v>142</v>
      </c>
      <c r="G4" t="str">
        <f t="shared" si="0"/>
        <v/>
      </c>
      <c r="H4" t="s">
        <v>35</v>
      </c>
      <c r="I4" t="s">
        <v>664</v>
      </c>
      <c r="J4" t="str">
        <f t="shared" ref="J4:J14" si="1">_xlfn.CONCAT(H4:I4)</f>
        <v>DruideMaléfique</v>
      </c>
      <c r="K4" t="s">
        <v>653</v>
      </c>
      <c r="R4" t="e">
        <f>R3</f>
        <v>#N/A</v>
      </c>
      <c r="S4" t="e">
        <f>IF(R4=S3,0,S3)</f>
        <v>#N/A</v>
      </c>
      <c r="T4" t="e">
        <f>IF(OR(R4=T3,S4=T3),0,T3)</f>
        <v>#N/A</v>
      </c>
      <c r="U4" t="e">
        <f>IF(OR(S4=U3,T4=U3,R4=U3),0,U3)</f>
        <v>#N/A</v>
      </c>
      <c r="V4" t="e">
        <f>IF(OR(T4=V3,U4=V3,S4=V3,R4=V3),0,V3)</f>
        <v>#N/A</v>
      </c>
    </row>
    <row r="5" spans="2:28">
      <c r="B5" t="s">
        <v>143</v>
      </c>
      <c r="G5" t="str">
        <f t="shared" si="0"/>
        <v/>
      </c>
      <c r="H5" t="s">
        <v>35</v>
      </c>
      <c r="I5" t="s">
        <v>277</v>
      </c>
      <c r="J5" t="str">
        <f t="shared" si="1"/>
        <v>DruideBalancée</v>
      </c>
      <c r="K5" t="s">
        <v>665</v>
      </c>
      <c r="L5" t="s">
        <v>653</v>
      </c>
      <c r="R5" t="e">
        <f>IF(R4=0,0,TRUE)</f>
        <v>#N/A</v>
      </c>
      <c r="S5" t="e">
        <f>IF(S4=0,0,TRUE)</f>
        <v>#N/A</v>
      </c>
      <c r="T5" t="e">
        <f t="shared" ref="T5:V5" si="2">IF(T4=0,0,TRUE)</f>
        <v>#N/A</v>
      </c>
      <c r="U5" t="e">
        <f t="shared" si="2"/>
        <v>#N/A</v>
      </c>
      <c r="V5" t="e">
        <f t="shared" si="2"/>
        <v>#N/A</v>
      </c>
    </row>
    <row r="6" spans="2:28">
      <c r="B6" t="s">
        <v>145</v>
      </c>
      <c r="G6" t="str">
        <f t="shared" si="0"/>
        <v/>
      </c>
      <c r="H6" t="s">
        <v>47</v>
      </c>
      <c r="I6" t="s">
        <v>276</v>
      </c>
      <c r="J6" t="str">
        <f t="shared" si="1"/>
        <v>PrêtreBénéfique</v>
      </c>
      <c r="K6" t="s">
        <v>665</v>
      </c>
      <c r="R6">
        <f>COUNTIF($R$5:$V$5,TRUE)</f>
        <v>0</v>
      </c>
      <c r="S6">
        <f t="shared" ref="S6:V6" si="3">COUNTIF($R$5:$V$5,TRUE)</f>
        <v>0</v>
      </c>
      <c r="T6">
        <f t="shared" si="3"/>
        <v>0</v>
      </c>
      <c r="U6">
        <f t="shared" si="3"/>
        <v>0</v>
      </c>
      <c r="V6">
        <f t="shared" si="3"/>
        <v>0</v>
      </c>
      <c r="W6" t="e" cm="1">
        <f t="array" ref="W6">_xlfn.IFS(R6=R1,R4,S6=S1,_xlfn.CONCAT(R4:S4),T6=T1,_xlfn.CONCAT(R4:T4),U6=U1,_xlfn.CONCAT(R4:U4),V6=V1,_xlfn.CONCAT(R4:V4))</f>
        <v>#N/A</v>
      </c>
    </row>
    <row r="7" spans="2:28">
      <c r="B7" t="s">
        <v>144</v>
      </c>
      <c r="G7" t="str">
        <f t="shared" si="0"/>
        <v/>
      </c>
      <c r="H7" t="s">
        <v>47</v>
      </c>
      <c r="I7" t="s">
        <v>664</v>
      </c>
      <c r="J7" t="str">
        <f t="shared" si="1"/>
        <v>PrêtreMaléfique</v>
      </c>
      <c r="K7" t="s">
        <v>653</v>
      </c>
    </row>
    <row r="8" spans="2:28">
      <c r="B8" t="s">
        <v>146</v>
      </c>
      <c r="G8" t="str">
        <f t="shared" si="0"/>
        <v/>
      </c>
      <c r="H8" t="s">
        <v>47</v>
      </c>
      <c r="I8" t="s">
        <v>277</v>
      </c>
      <c r="J8" t="str">
        <f t="shared" si="1"/>
        <v>PrêtreBalancée</v>
      </c>
      <c r="K8" t="s">
        <v>665</v>
      </c>
      <c r="L8" t="s">
        <v>653</v>
      </c>
    </row>
    <row r="9" spans="2:28">
      <c r="B9" s="2" t="s">
        <v>672</v>
      </c>
      <c r="C9" s="2" t="s">
        <v>654</v>
      </c>
      <c r="H9" t="s">
        <v>88</v>
      </c>
      <c r="I9" t="s">
        <v>276</v>
      </c>
      <c r="J9" t="str">
        <f t="shared" si="1"/>
        <v>InquisiteurBénéfique</v>
      </c>
      <c r="K9" t="s">
        <v>665</v>
      </c>
      <c r="R9">
        <v>1</v>
      </c>
      <c r="S9">
        <v>2</v>
      </c>
      <c r="T9">
        <v>3</v>
      </c>
      <c r="U9">
        <v>1</v>
      </c>
      <c r="V9">
        <v>1</v>
      </c>
      <c r="W9">
        <v>3</v>
      </c>
      <c r="X9">
        <v>3</v>
      </c>
      <c r="Y9">
        <v>5</v>
      </c>
      <c r="Z9">
        <v>8</v>
      </c>
    </row>
    <row r="10" spans="2:28">
      <c r="B10" s="2" t="s">
        <v>671</v>
      </c>
      <c r="C10" s="2" t="s">
        <v>652</v>
      </c>
      <c r="H10" t="s">
        <v>88</v>
      </c>
      <c r="I10" t="s">
        <v>664</v>
      </c>
      <c r="J10" t="str">
        <f t="shared" si="1"/>
        <v>InquisiteurMaléfique</v>
      </c>
      <c r="K10" t="s">
        <v>653</v>
      </c>
    </row>
    <row r="11" spans="2:28">
      <c r="B11" s="2" t="s">
        <v>673</v>
      </c>
      <c r="C11" s="2" t="s">
        <v>655</v>
      </c>
      <c r="H11" t="s">
        <v>88</v>
      </c>
      <c r="I11" t="s">
        <v>277</v>
      </c>
      <c r="J11" t="str">
        <f t="shared" si="1"/>
        <v>InquisiteurBalancée</v>
      </c>
      <c r="K11" t="s">
        <v>665</v>
      </c>
      <c r="L11" t="s">
        <v>653</v>
      </c>
    </row>
    <row r="12" spans="2:28">
      <c r="B12" s="2" t="s">
        <v>674</v>
      </c>
      <c r="C12" s="2" t="s">
        <v>656</v>
      </c>
      <c r="H12" t="s">
        <v>104</v>
      </c>
      <c r="I12" t="s">
        <v>276</v>
      </c>
      <c r="J12" t="str">
        <f t="shared" si="1"/>
        <v>PaladinBénéfique</v>
      </c>
      <c r="K12" t="s">
        <v>665</v>
      </c>
    </row>
    <row r="13" spans="2:28">
      <c r="B13" t="s">
        <v>147</v>
      </c>
      <c r="G13" t="str">
        <f>_xlfn.CONCAT(C13:E13)</f>
        <v/>
      </c>
      <c r="H13" t="s">
        <v>104</v>
      </c>
      <c r="I13" t="s">
        <v>664</v>
      </c>
      <c r="J13" t="str">
        <f t="shared" si="1"/>
        <v>PaladinMaléfique</v>
      </c>
      <c r="K13" t="s">
        <v>653</v>
      </c>
    </row>
    <row r="14" spans="2:28">
      <c r="B14" t="s">
        <v>87</v>
      </c>
      <c r="G14" t="str">
        <f>_xlfn.CONCAT(C14:E14)</f>
        <v/>
      </c>
      <c r="H14" t="s">
        <v>104</v>
      </c>
      <c r="I14" t="s">
        <v>277</v>
      </c>
      <c r="J14" t="str">
        <f t="shared" si="1"/>
        <v>PaladinBalancée</v>
      </c>
      <c r="K14" t="s">
        <v>665</v>
      </c>
      <c r="L14" t="s">
        <v>653</v>
      </c>
    </row>
    <row r="15" spans="2:28">
      <c r="B15" t="s">
        <v>97</v>
      </c>
      <c r="C15" t="s">
        <v>688</v>
      </c>
      <c r="F15" t="str">
        <f>_xlfn.CONCAT(C15:E15)</f>
        <v xml:space="preserve">Charme / </v>
      </c>
    </row>
    <row r="16" spans="2:28">
      <c r="B16" t="s">
        <v>81</v>
      </c>
      <c r="C16" t="s">
        <v>652</v>
      </c>
      <c r="D16" t="s">
        <v>654</v>
      </c>
      <c r="F16" t="str">
        <f t="shared" ref="F16:F28" si="4">_xlfn.CONCAT(C16:E16)</f>
        <v xml:space="preserve">Feu / Électricité / </v>
      </c>
    </row>
    <row r="17" spans="2:6">
      <c r="B17" t="s">
        <v>103</v>
      </c>
      <c r="F17" t="str">
        <f t="shared" si="4"/>
        <v/>
      </c>
    </row>
    <row r="18" spans="2:6">
      <c r="B18" t="s">
        <v>148</v>
      </c>
      <c r="C18" t="s">
        <v>655</v>
      </c>
      <c r="D18" t="s">
        <v>653</v>
      </c>
      <c r="F18" t="str">
        <f t="shared" si="4"/>
        <v xml:space="preserve">Eau / Sacré / </v>
      </c>
    </row>
    <row r="19" spans="2:6">
      <c r="B19" t="s">
        <v>90</v>
      </c>
      <c r="C19" t="s">
        <v>656</v>
      </c>
      <c r="F19" t="str">
        <f t="shared" si="4"/>
        <v xml:space="preserve">Acide / </v>
      </c>
    </row>
    <row r="20" spans="2:6">
      <c r="B20" t="s">
        <v>100</v>
      </c>
      <c r="C20" t="s">
        <v>656</v>
      </c>
      <c r="F20" t="str">
        <f t="shared" si="4"/>
        <v xml:space="preserve">Acide / </v>
      </c>
    </row>
    <row r="21" spans="2:6">
      <c r="B21" t="s">
        <v>106</v>
      </c>
      <c r="F21" t="str">
        <f t="shared" si="4"/>
        <v/>
      </c>
    </row>
    <row r="22" spans="2:6">
      <c r="B22" t="s">
        <v>42</v>
      </c>
      <c r="F22" t="str">
        <f t="shared" si="4"/>
        <v/>
      </c>
    </row>
    <row r="23" spans="2:6">
      <c r="B23" t="s">
        <v>78</v>
      </c>
      <c r="C23" t="s">
        <v>657</v>
      </c>
      <c r="F23" t="str">
        <f t="shared" si="4"/>
        <v xml:space="preserve">Performance / </v>
      </c>
    </row>
    <row r="24" spans="2:6">
      <c r="B24" t="s">
        <v>34</v>
      </c>
      <c r="F24" t="str">
        <f t="shared" si="4"/>
        <v/>
      </c>
    </row>
    <row r="25" spans="2:6">
      <c r="B25" t="s">
        <v>46</v>
      </c>
      <c r="C25" t="s">
        <v>652</v>
      </c>
      <c r="F25" t="str">
        <f t="shared" si="4"/>
        <v xml:space="preserve">Feu / </v>
      </c>
    </row>
    <row r="26" spans="2:6">
      <c r="B26" t="s">
        <v>109</v>
      </c>
      <c r="F26" t="str">
        <f t="shared" si="4"/>
        <v/>
      </c>
    </row>
    <row r="27" spans="2:6">
      <c r="B27" t="s">
        <v>112</v>
      </c>
      <c r="C27" t="s">
        <v>652</v>
      </c>
      <c r="D27" t="s">
        <v>654</v>
      </c>
      <c r="F27" t="str">
        <f t="shared" si="4"/>
        <v xml:space="preserve">Feu / Électricité / </v>
      </c>
    </row>
    <row r="28" spans="2:6">
      <c r="B28" s="2" t="s">
        <v>675</v>
      </c>
      <c r="C28" t="s">
        <v>655</v>
      </c>
      <c r="F28" t="str">
        <f t="shared" si="4"/>
        <v xml:space="preserve">Eau / </v>
      </c>
    </row>
    <row r="29" spans="2:6">
      <c r="B29" s="2" t="s">
        <v>676</v>
      </c>
      <c r="C29" s="2" t="s">
        <v>656</v>
      </c>
    </row>
    <row r="30" spans="2:6">
      <c r="B30" s="2" t="s">
        <v>677</v>
      </c>
      <c r="C30" t="s">
        <v>652</v>
      </c>
    </row>
    <row r="31" spans="2:6">
      <c r="B31" s="2" t="s">
        <v>678</v>
      </c>
      <c r="C31" s="2" t="s">
        <v>654</v>
      </c>
    </row>
    <row r="32" spans="2:6">
      <c r="B32" t="s">
        <v>93</v>
      </c>
      <c r="C32" t="s">
        <v>652</v>
      </c>
      <c r="D32" t="s">
        <v>653</v>
      </c>
      <c r="E32" t="s">
        <v>658</v>
      </c>
      <c r="F32" t="str">
        <f>_xlfn.CONCAT(C32:E32)</f>
        <v xml:space="preserve">Feu / Sacré / Spectral / </v>
      </c>
    </row>
  </sheetData>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F979-5307-4C41-B824-8A59D7C6ED36}">
  <dimension ref="B1:T32"/>
  <sheetViews>
    <sheetView topLeftCell="H1" zoomScaleNormal="100" workbookViewId="0">
      <selection activeCell="K8" sqref="K8"/>
    </sheetView>
  </sheetViews>
  <sheetFormatPr baseColWidth="10" defaultRowHeight="15"/>
  <cols>
    <col min="2" max="2" width="18.36328125" bestFit="1" customWidth="1"/>
    <col min="3" max="3" width="25.36328125" bestFit="1" customWidth="1"/>
    <col min="4" max="4" width="23.81640625" bestFit="1" customWidth="1"/>
    <col min="7" max="7" width="43.81640625" bestFit="1" customWidth="1"/>
    <col min="11" max="11" width="10.90625" customWidth="1"/>
    <col min="12" max="12" width="13.90625" bestFit="1" customWidth="1"/>
    <col min="13" max="13" width="16.7265625" bestFit="1" customWidth="1"/>
    <col min="16" max="16" width="11.90625" bestFit="1" customWidth="1"/>
  </cols>
  <sheetData>
    <row r="1" spans="2:20">
      <c r="N1" t="s">
        <v>450</v>
      </c>
      <c r="O1" t="s">
        <v>663</v>
      </c>
      <c r="P1" t="s">
        <v>730</v>
      </c>
      <c r="Q1" t="s">
        <v>731</v>
      </c>
      <c r="R1" t="s">
        <v>732</v>
      </c>
      <c r="S1" t="s">
        <v>733</v>
      </c>
    </row>
    <row r="2" spans="2:20">
      <c r="B2" t="s">
        <v>140</v>
      </c>
      <c r="C2" t="s">
        <v>712</v>
      </c>
      <c r="D2" t="s">
        <v>713</v>
      </c>
      <c r="E2" t="s">
        <v>714</v>
      </c>
      <c r="F2" t="s">
        <v>718</v>
      </c>
      <c r="G2" t="s">
        <v>662</v>
      </c>
      <c r="I2" t="s">
        <v>663</v>
      </c>
      <c r="J2" t="s">
        <v>722</v>
      </c>
      <c r="L2" t="s">
        <v>451</v>
      </c>
      <c r="N2" s="3" t="str">
        <f>IF(ISERROR(VLOOKUP('Nom du personnage'!$F$51,Immunités!B3:G32,6,FALSE)),"",VLOOKUP('Nom du personnage'!$F$51,Immunités!B3:G32,6,FALSE))</f>
        <v/>
      </c>
      <c r="O2" s="3" t="str">
        <f>IF(ISERROR(VLOOKUP('Nom du personnage'!U51,Immunités!I3:J3,2,FALSE)),"",VLOOKUP('Nom du personnage'!U51,Immunités!I3:J3,2,FALSE))</f>
        <v/>
      </c>
      <c r="P2" s="3" t="str">
        <f ca="1">IF(COUNTIF('Nom du personnage'!$C$66:$AC$85,Immunités!L3)=1,Immunités!M3,"")</f>
        <v/>
      </c>
      <c r="Q2" s="3" t="str">
        <f ca="1">IF(COUNTIF('Nom du personnage'!$C$66:$AC$85,Immunités!L4)=1,Immunités!M4,"")</f>
        <v/>
      </c>
      <c r="R2" s="3" t="str">
        <f ca="1">IF(COUNTIF('Nom du personnage'!$C$66:$AC$85,Immunités!L5)=1,Immunités!M5,"")</f>
        <v/>
      </c>
      <c r="S2" s="3" t="str">
        <f ca="1">IF(COUNTIF('Nom du personnage'!$C$66:$AC$85,Immunités!L6)=1,Immunités!M6,"")</f>
        <v/>
      </c>
      <c r="T2" t="str">
        <f ca="1">_xlfn.CONCAT(N2:S2)</f>
        <v/>
      </c>
    </row>
    <row r="3" spans="2:20">
      <c r="B3" t="s">
        <v>141</v>
      </c>
      <c r="G3" t="str">
        <f>_xlfn.CONCAT(C3:F3)</f>
        <v/>
      </c>
      <c r="I3" t="s">
        <v>30</v>
      </c>
      <c r="J3" t="s">
        <v>723</v>
      </c>
      <c r="L3" t="s">
        <v>136</v>
      </c>
      <c r="M3" t="s">
        <v>725</v>
      </c>
    </row>
    <row r="4" spans="2:20">
      <c r="B4" t="s">
        <v>142</v>
      </c>
      <c r="C4" t="s">
        <v>688</v>
      </c>
      <c r="D4" t="s">
        <v>727</v>
      </c>
      <c r="G4" t="str">
        <f t="shared" ref="G4:G31" si="0">_xlfn.CONCAT(C4:F4)</f>
        <v xml:space="preserve">Charme / Coma étylique / </v>
      </c>
      <c r="L4" t="s">
        <v>199</v>
      </c>
      <c r="M4" t="s">
        <v>726</v>
      </c>
    </row>
    <row r="5" spans="2:20">
      <c r="B5" t="s">
        <v>143</v>
      </c>
      <c r="C5" t="s">
        <v>715</v>
      </c>
      <c r="D5" t="s">
        <v>727</v>
      </c>
      <c r="G5" t="str">
        <f t="shared" si="0"/>
        <v xml:space="preserve">Sommeil / Coma étylique / </v>
      </c>
      <c r="L5" t="s">
        <v>184</v>
      </c>
      <c r="M5" t="s">
        <v>728</v>
      </c>
    </row>
    <row r="6" spans="2:20">
      <c r="B6" t="s">
        <v>145</v>
      </c>
      <c r="D6" t="s">
        <v>727</v>
      </c>
      <c r="G6" t="str">
        <f t="shared" si="0"/>
        <v xml:space="preserve">Coma étylique / </v>
      </c>
      <c r="L6" t="s">
        <v>183</v>
      </c>
      <c r="M6" t="s">
        <v>729</v>
      </c>
    </row>
    <row r="7" spans="2:20">
      <c r="B7" t="s">
        <v>144</v>
      </c>
      <c r="D7" t="s">
        <v>727</v>
      </c>
      <c r="G7" t="str">
        <f t="shared" si="0"/>
        <v xml:space="preserve">Coma étylique / </v>
      </c>
    </row>
    <row r="8" spans="2:20">
      <c r="B8" t="s">
        <v>146</v>
      </c>
      <c r="D8" t="s">
        <v>727</v>
      </c>
      <c r="G8" t="str">
        <f t="shared" si="0"/>
        <v xml:space="preserve">Coma étylique / </v>
      </c>
    </row>
    <row r="9" spans="2:20">
      <c r="B9" s="2" t="s">
        <v>672</v>
      </c>
      <c r="C9" s="2" t="s">
        <v>716</v>
      </c>
      <c r="D9" t="s">
        <v>656</v>
      </c>
      <c r="G9" t="str">
        <f t="shared" si="0"/>
        <v xml:space="preserve">Effets néfastes du druidisme / Acide / </v>
      </c>
    </row>
    <row r="10" spans="2:20">
      <c r="B10" s="2" t="s">
        <v>671</v>
      </c>
      <c r="C10" s="2" t="s">
        <v>716</v>
      </c>
      <c r="D10" t="s">
        <v>655</v>
      </c>
      <c r="G10" t="str">
        <f t="shared" si="0"/>
        <v xml:space="preserve">Effets néfastes du druidisme / Eau / </v>
      </c>
    </row>
    <row r="11" spans="2:20">
      <c r="B11" s="2" t="s">
        <v>673</v>
      </c>
      <c r="C11" s="2" t="s">
        <v>716</v>
      </c>
      <c r="D11" t="s">
        <v>652</v>
      </c>
      <c r="G11" t="str">
        <f t="shared" si="0"/>
        <v xml:space="preserve">Effets néfastes du druidisme / Feu / </v>
      </c>
    </row>
    <row r="12" spans="2:20">
      <c r="B12" s="2" t="s">
        <v>674</v>
      </c>
      <c r="C12" s="2" t="s">
        <v>716</v>
      </c>
      <c r="D12" t="s">
        <v>654</v>
      </c>
      <c r="G12" t="str">
        <f t="shared" si="0"/>
        <v xml:space="preserve">Effets néfastes du druidisme / Électricité / </v>
      </c>
    </row>
    <row r="13" spans="2:20">
      <c r="B13" t="s">
        <v>147</v>
      </c>
      <c r="C13" s="2" t="s">
        <v>688</v>
      </c>
      <c r="D13" t="s">
        <v>715</v>
      </c>
      <c r="G13" t="str">
        <f t="shared" si="0"/>
        <v xml:space="preserve">Charme / Sommeil / </v>
      </c>
    </row>
    <row r="14" spans="2:20">
      <c r="B14" t="s">
        <v>87</v>
      </c>
      <c r="G14" t="str">
        <f t="shared" si="0"/>
        <v/>
      </c>
    </row>
    <row r="15" spans="2:20">
      <c r="B15" t="s">
        <v>97</v>
      </c>
      <c r="G15" t="str">
        <f t="shared" si="0"/>
        <v/>
      </c>
    </row>
    <row r="16" spans="2:20">
      <c r="B16" t="s">
        <v>81</v>
      </c>
      <c r="G16" t="str">
        <f t="shared" si="0"/>
        <v/>
      </c>
    </row>
    <row r="17" spans="2:7">
      <c r="B17" t="s">
        <v>103</v>
      </c>
      <c r="G17" t="str">
        <f t="shared" si="0"/>
        <v/>
      </c>
    </row>
    <row r="18" spans="2:7">
      <c r="B18" t="s">
        <v>148</v>
      </c>
      <c r="C18" t="s">
        <v>652</v>
      </c>
      <c r="G18" t="str">
        <f t="shared" si="0"/>
        <v xml:space="preserve">Feu / </v>
      </c>
    </row>
    <row r="19" spans="2:7">
      <c r="B19" t="s">
        <v>90</v>
      </c>
      <c r="G19" t="str">
        <f t="shared" si="0"/>
        <v/>
      </c>
    </row>
    <row r="20" spans="2:7">
      <c r="B20" t="s">
        <v>100</v>
      </c>
      <c r="C20" t="s">
        <v>655</v>
      </c>
      <c r="G20" t="str">
        <f t="shared" si="0"/>
        <v xml:space="preserve">Eau / </v>
      </c>
    </row>
    <row r="21" spans="2:7">
      <c r="B21" t="s">
        <v>106</v>
      </c>
      <c r="G21" t="str">
        <f t="shared" si="0"/>
        <v/>
      </c>
    </row>
    <row r="22" spans="2:7">
      <c r="B22" t="s">
        <v>42</v>
      </c>
      <c r="G22" t="str">
        <f t="shared" si="0"/>
        <v/>
      </c>
    </row>
    <row r="23" spans="2:7">
      <c r="B23" t="s">
        <v>78</v>
      </c>
      <c r="G23" t="str">
        <f t="shared" si="0"/>
        <v/>
      </c>
    </row>
    <row r="24" spans="2:7">
      <c r="B24" t="s">
        <v>34</v>
      </c>
      <c r="G24" t="str">
        <f t="shared" si="0"/>
        <v/>
      </c>
    </row>
    <row r="25" spans="2:7">
      <c r="B25" t="s">
        <v>46</v>
      </c>
      <c r="C25" t="s">
        <v>720</v>
      </c>
      <c r="G25" t="str">
        <f t="shared" si="0"/>
        <v xml:space="preserve">Maladies non magiques / </v>
      </c>
    </row>
    <row r="26" spans="2:7">
      <c r="B26" t="s">
        <v>109</v>
      </c>
      <c r="C26" t="s">
        <v>724</v>
      </c>
      <c r="G26" t="str">
        <f t="shared" si="0"/>
        <v xml:space="preserve">Toutes magies / </v>
      </c>
    </row>
    <row r="27" spans="2:7">
      <c r="B27" t="s">
        <v>112</v>
      </c>
      <c r="C27" t="s">
        <v>717</v>
      </c>
      <c r="G27" t="str">
        <f t="shared" si="0"/>
        <v xml:space="preserve">Maladies magiques ou non / </v>
      </c>
    </row>
    <row r="28" spans="2:7">
      <c r="B28" s="2" t="s">
        <v>675</v>
      </c>
      <c r="C28" t="s">
        <v>721</v>
      </c>
      <c r="G28" t="str">
        <f t="shared" si="0"/>
        <v xml:space="preserve">Poison / </v>
      </c>
    </row>
    <row r="29" spans="2:7">
      <c r="B29" s="2" t="s">
        <v>676</v>
      </c>
      <c r="C29" t="s">
        <v>721</v>
      </c>
      <c r="G29" t="str">
        <f t="shared" si="0"/>
        <v xml:space="preserve">Poison / </v>
      </c>
    </row>
    <row r="30" spans="2:7">
      <c r="B30" s="2" t="s">
        <v>677</v>
      </c>
      <c r="C30" t="s">
        <v>721</v>
      </c>
      <c r="G30" t="str">
        <f t="shared" si="0"/>
        <v xml:space="preserve">Poison / </v>
      </c>
    </row>
    <row r="31" spans="2:7">
      <c r="B31" s="2" t="s">
        <v>678</v>
      </c>
      <c r="C31" t="s">
        <v>721</v>
      </c>
      <c r="G31" t="str">
        <f t="shared" si="0"/>
        <v xml:space="preserve">Poison / </v>
      </c>
    </row>
    <row r="32" spans="2:7">
      <c r="B32" t="s">
        <v>93</v>
      </c>
      <c r="C32" t="s">
        <v>715</v>
      </c>
      <c r="D32" t="s">
        <v>717</v>
      </c>
      <c r="E32" t="s">
        <v>655</v>
      </c>
      <c r="F32" t="s">
        <v>719</v>
      </c>
      <c r="G32" t="str">
        <f>_xlfn.CONCAT(C32:F32)</f>
        <v xml:space="preserve">Sommeil / Maladies magiques ou non / Eau / Alcool / </v>
      </c>
    </row>
  </sheetData>
  <phoneticPr fontId="7"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
  <dimension ref="A1:I1000"/>
  <sheetViews>
    <sheetView zoomScaleNormal="100" workbookViewId="0">
      <selection activeCell="K8" sqref="K8"/>
    </sheetView>
  </sheetViews>
  <sheetFormatPr baseColWidth="10" defaultColWidth="11.1796875" defaultRowHeight="15" customHeight="1"/>
  <cols>
    <col min="1" max="26" width="10.54296875" customWidth="1"/>
  </cols>
  <sheetData>
    <row r="1" spans="1:9" ht="15.75" customHeight="1">
      <c r="A1" s="1" t="s">
        <v>30</v>
      </c>
      <c r="C1" s="1" t="s">
        <v>31</v>
      </c>
      <c r="E1" s="1" t="s">
        <v>18</v>
      </c>
    </row>
    <row r="2" spans="1:9" ht="15.75" customHeight="1">
      <c r="A2" s="1" t="s">
        <v>32</v>
      </c>
      <c r="C2" s="1" t="s">
        <v>33</v>
      </c>
      <c r="E2" s="1" t="s">
        <v>31</v>
      </c>
      <c r="I2" s="1" t="s">
        <v>34</v>
      </c>
    </row>
    <row r="3" spans="1:9" ht="15.75" customHeight="1">
      <c r="A3" s="1" t="s">
        <v>35</v>
      </c>
      <c r="C3" s="1" t="s">
        <v>36</v>
      </c>
      <c r="E3" s="1" t="s">
        <v>33</v>
      </c>
      <c r="G3" s="1" t="s">
        <v>37</v>
      </c>
      <c r="I3" s="1" t="s">
        <v>38</v>
      </c>
    </row>
    <row r="4" spans="1:9" ht="15.75" customHeight="1">
      <c r="A4" s="1" t="s">
        <v>39</v>
      </c>
      <c r="C4" s="1" t="s">
        <v>40</v>
      </c>
      <c r="E4" s="1" t="s">
        <v>36</v>
      </c>
      <c r="G4" s="1" t="s">
        <v>41</v>
      </c>
      <c r="I4" s="1" t="s">
        <v>42</v>
      </c>
    </row>
    <row r="5" spans="1:9" ht="15.75" customHeight="1">
      <c r="A5" s="1" t="s">
        <v>43</v>
      </c>
      <c r="C5" s="1" t="s">
        <v>44</v>
      </c>
      <c r="E5" s="1" t="s">
        <v>40</v>
      </c>
      <c r="G5" s="1" t="s">
        <v>45</v>
      </c>
      <c r="I5" s="1" t="s">
        <v>46</v>
      </c>
    </row>
    <row r="6" spans="1:9" ht="15.75" customHeight="1">
      <c r="A6" s="1" t="s">
        <v>47</v>
      </c>
      <c r="C6" s="1" t="s">
        <v>48</v>
      </c>
      <c r="E6" s="1" t="s">
        <v>44</v>
      </c>
      <c r="G6" s="1" t="s">
        <v>49</v>
      </c>
      <c r="I6" s="1" t="s">
        <v>50</v>
      </c>
    </row>
    <row r="7" spans="1:9" ht="15.75" customHeight="1">
      <c r="A7" s="1" t="s">
        <v>51</v>
      </c>
      <c r="C7" s="1" t="s">
        <v>52</v>
      </c>
      <c r="E7" s="1" t="s">
        <v>48</v>
      </c>
      <c r="G7" s="1" t="s">
        <v>53</v>
      </c>
      <c r="I7" s="1" t="s">
        <v>54</v>
      </c>
    </row>
    <row r="8" spans="1:9" ht="15.75" customHeight="1">
      <c r="A8" s="1" t="s">
        <v>55</v>
      </c>
      <c r="C8" s="1" t="s">
        <v>56</v>
      </c>
      <c r="E8" s="1" t="s">
        <v>52</v>
      </c>
      <c r="G8" s="1" t="s">
        <v>57</v>
      </c>
      <c r="I8" s="1" t="s">
        <v>58</v>
      </c>
    </row>
    <row r="9" spans="1:9" ht="15.75" customHeight="1">
      <c r="A9" s="1" t="s">
        <v>59</v>
      </c>
      <c r="C9" s="1" t="s">
        <v>60</v>
      </c>
      <c r="E9" s="1" t="s">
        <v>56</v>
      </c>
      <c r="G9" s="1" t="s">
        <v>61</v>
      </c>
      <c r="I9" s="1" t="s">
        <v>62</v>
      </c>
    </row>
    <row r="10" spans="1:9" ht="15.75" customHeight="1">
      <c r="A10" s="1" t="s">
        <v>63</v>
      </c>
      <c r="C10" s="1" t="s">
        <v>64</v>
      </c>
      <c r="E10" s="1" t="s">
        <v>60</v>
      </c>
      <c r="G10" s="1" t="s">
        <v>65</v>
      </c>
      <c r="I10" s="1" t="s">
        <v>66</v>
      </c>
    </row>
    <row r="11" spans="1:9" ht="15.75" customHeight="1">
      <c r="A11" s="1" t="s">
        <v>67</v>
      </c>
      <c r="C11" s="1" t="s">
        <v>68</v>
      </c>
      <c r="E11" s="1" t="s">
        <v>64</v>
      </c>
      <c r="I11" s="1" t="s">
        <v>69</v>
      </c>
    </row>
    <row r="12" spans="1:9" ht="15.75" customHeight="1">
      <c r="A12" s="1" t="s">
        <v>70</v>
      </c>
      <c r="C12" s="1" t="s">
        <v>71</v>
      </c>
      <c r="E12" s="1" t="s">
        <v>68</v>
      </c>
      <c r="G12" s="1" t="s">
        <v>18</v>
      </c>
      <c r="I12" s="1" t="s">
        <v>72</v>
      </c>
    </row>
    <row r="13" spans="1:9" ht="15.75" customHeight="1">
      <c r="A13" s="1" t="s">
        <v>73</v>
      </c>
      <c r="C13" s="1" t="s">
        <v>74</v>
      </c>
      <c r="E13" s="1" t="s">
        <v>71</v>
      </c>
      <c r="G13" s="1" t="s">
        <v>37</v>
      </c>
      <c r="I13" s="1" t="s">
        <v>75</v>
      </c>
    </row>
    <row r="14" spans="1:9" ht="15.75" customHeight="1">
      <c r="A14" s="1" t="s">
        <v>76</v>
      </c>
      <c r="C14" s="1" t="s">
        <v>77</v>
      </c>
      <c r="E14" s="1" t="s">
        <v>74</v>
      </c>
      <c r="G14" s="1" t="s">
        <v>41</v>
      </c>
      <c r="I14" s="1" t="s">
        <v>78</v>
      </c>
    </row>
    <row r="15" spans="1:9" ht="15.75" customHeight="1">
      <c r="A15" s="1" t="s">
        <v>79</v>
      </c>
      <c r="C15" s="1" t="s">
        <v>80</v>
      </c>
      <c r="E15" s="1" t="s">
        <v>77</v>
      </c>
      <c r="G15" s="1" t="s">
        <v>45</v>
      </c>
      <c r="I15" s="1" t="s">
        <v>81</v>
      </c>
    </row>
    <row r="16" spans="1:9" ht="15.75" customHeight="1">
      <c r="A16" s="1" t="s">
        <v>82</v>
      </c>
      <c r="C16" s="1" t="s">
        <v>83</v>
      </c>
      <c r="E16" s="1" t="s">
        <v>80</v>
      </c>
      <c r="G16" s="1" t="s">
        <v>49</v>
      </c>
      <c r="I16" s="1" t="s">
        <v>84</v>
      </c>
    </row>
    <row r="17" spans="1:9" ht="15.75" customHeight="1">
      <c r="A17" s="1" t="s">
        <v>85</v>
      </c>
      <c r="C17" s="1" t="s">
        <v>86</v>
      </c>
      <c r="E17" s="1" t="s">
        <v>83</v>
      </c>
      <c r="G17" s="1" t="s">
        <v>53</v>
      </c>
      <c r="I17" s="1" t="s">
        <v>87</v>
      </c>
    </row>
    <row r="18" spans="1:9" ht="15.75" customHeight="1">
      <c r="A18" s="1" t="s">
        <v>88</v>
      </c>
      <c r="C18" s="1" t="s">
        <v>89</v>
      </c>
      <c r="E18" s="1" t="s">
        <v>86</v>
      </c>
      <c r="G18" s="1" t="s">
        <v>57</v>
      </c>
      <c r="I18" s="1" t="s">
        <v>90</v>
      </c>
    </row>
    <row r="19" spans="1:9" ht="15.75" customHeight="1">
      <c r="A19" s="1" t="s">
        <v>91</v>
      </c>
      <c r="C19" s="1" t="s">
        <v>92</v>
      </c>
      <c r="E19" s="1" t="s">
        <v>89</v>
      </c>
      <c r="G19" s="1" t="s">
        <v>61</v>
      </c>
      <c r="I19" s="1" t="s">
        <v>93</v>
      </c>
    </row>
    <row r="20" spans="1:9" ht="15.75" customHeight="1">
      <c r="A20" s="1" t="s">
        <v>94</v>
      </c>
      <c r="C20" s="1" t="s">
        <v>95</v>
      </c>
      <c r="E20" s="1" t="s">
        <v>92</v>
      </c>
      <c r="G20" s="1" t="s">
        <v>96</v>
      </c>
      <c r="I20" s="1" t="s">
        <v>97</v>
      </c>
    </row>
    <row r="21" spans="1:9" ht="15.75" customHeight="1">
      <c r="A21" s="1" t="s">
        <v>98</v>
      </c>
      <c r="C21" s="1" t="s">
        <v>99</v>
      </c>
      <c r="E21" s="1" t="s">
        <v>95</v>
      </c>
      <c r="I21" s="1" t="s">
        <v>100</v>
      </c>
    </row>
    <row r="22" spans="1:9" ht="15.75" customHeight="1">
      <c r="A22" s="1" t="s">
        <v>101</v>
      </c>
      <c r="C22" s="1" t="s">
        <v>102</v>
      </c>
      <c r="E22" s="1" t="s">
        <v>99</v>
      </c>
      <c r="I22" s="1" t="s">
        <v>103</v>
      </c>
    </row>
    <row r="23" spans="1:9" ht="15.75" customHeight="1">
      <c r="A23" s="1" t="s">
        <v>104</v>
      </c>
      <c r="C23" s="1" t="s">
        <v>105</v>
      </c>
      <c r="E23" s="1" t="s">
        <v>102</v>
      </c>
      <c r="I23" s="1" t="s">
        <v>106</v>
      </c>
    </row>
    <row r="24" spans="1:9" ht="15.75" customHeight="1">
      <c r="A24" s="1" t="s">
        <v>107</v>
      </c>
      <c r="C24" s="1" t="s">
        <v>108</v>
      </c>
      <c r="E24" s="1" t="s">
        <v>105</v>
      </c>
      <c r="I24" s="1" t="s">
        <v>109</v>
      </c>
    </row>
    <row r="25" spans="1:9" ht="15.75" customHeight="1">
      <c r="A25" s="1" t="s">
        <v>110</v>
      </c>
      <c r="C25" s="1" t="s">
        <v>111</v>
      </c>
      <c r="E25" s="1" t="s">
        <v>108</v>
      </c>
      <c r="I25" s="1" t="s">
        <v>112</v>
      </c>
    </row>
    <row r="26" spans="1:9" ht="15.75" customHeight="1">
      <c r="A26" s="1" t="s">
        <v>113</v>
      </c>
      <c r="C26" s="1" t="s">
        <v>114</v>
      </c>
      <c r="E26" s="1" t="s">
        <v>111</v>
      </c>
      <c r="I26" s="1" t="s">
        <v>115</v>
      </c>
    </row>
    <row r="27" spans="1:9" ht="15.75" customHeight="1">
      <c r="A27" s="1" t="s">
        <v>116</v>
      </c>
      <c r="C27" s="1" t="s">
        <v>117</v>
      </c>
      <c r="E27" s="1" t="s">
        <v>114</v>
      </c>
    </row>
    <row r="28" spans="1:9" ht="15.75" customHeight="1">
      <c r="A28" s="1" t="s">
        <v>118</v>
      </c>
      <c r="C28" s="1" t="s">
        <v>119</v>
      </c>
      <c r="E28" s="1" t="s">
        <v>117</v>
      </c>
    </row>
    <row r="29" spans="1:9" ht="15.75" customHeight="1">
      <c r="C29" s="1" t="s">
        <v>120</v>
      </c>
      <c r="E29" s="1" t="s">
        <v>119</v>
      </c>
    </row>
    <row r="30" spans="1:9" ht="15.75" customHeight="1">
      <c r="C30" s="1" t="s">
        <v>121</v>
      </c>
      <c r="E30" s="1" t="s">
        <v>120</v>
      </c>
    </row>
    <row r="31" spans="1:9" ht="15.75" customHeight="1">
      <c r="C31" s="1" t="s">
        <v>122</v>
      </c>
      <c r="E31" s="1" t="s">
        <v>121</v>
      </c>
    </row>
    <row r="32" spans="1:9" ht="15.75" customHeight="1">
      <c r="C32" s="1" t="s">
        <v>123</v>
      </c>
      <c r="E32" s="1" t="s">
        <v>122</v>
      </c>
    </row>
    <row r="33" spans="3:5" ht="15.75" customHeight="1">
      <c r="C33" s="1" t="s">
        <v>124</v>
      </c>
      <c r="E33" s="1" t="s">
        <v>123</v>
      </c>
    </row>
    <row r="34" spans="3:5" ht="15.75" customHeight="1">
      <c r="C34" s="1" t="s">
        <v>125</v>
      </c>
      <c r="E34" s="1" t="s">
        <v>124</v>
      </c>
    </row>
    <row r="35" spans="3:5" ht="15.75" customHeight="1">
      <c r="C35" s="1" t="s">
        <v>126</v>
      </c>
      <c r="E35" s="1" t="s">
        <v>125</v>
      </c>
    </row>
    <row r="36" spans="3:5" ht="15.75" customHeight="1">
      <c r="E36" s="1" t="s">
        <v>126</v>
      </c>
    </row>
    <row r="37" spans="3:5" ht="15.75" customHeight="1"/>
    <row r="38" spans="3:5" ht="15.75" customHeight="1"/>
    <row r="39" spans="3:5" ht="15.75" customHeight="1"/>
    <row r="40" spans="3:5" ht="15.75" customHeight="1"/>
    <row r="41" spans="3:5" ht="15.75" customHeight="1"/>
    <row r="42" spans="3:5" ht="15.75" customHeight="1"/>
    <row r="43" spans="3:5" ht="15.75" customHeight="1"/>
    <row r="44" spans="3:5" ht="15.75" customHeight="1"/>
    <row r="45" spans="3:5" ht="15.75" customHeight="1"/>
    <row r="46" spans="3:5" ht="15.75" customHeight="1"/>
    <row r="47" spans="3:5" ht="15.75" customHeight="1"/>
    <row r="48" spans="3: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2AB17-A30F-4F80-845B-6361656CC0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20</vt:i4>
      </vt:variant>
      <vt:variant>
        <vt:lpstr>Plages nommées</vt:lpstr>
      </vt:variant>
      <vt:variant>
        <vt:i4>2</vt:i4>
      </vt:variant>
    </vt:vector>
  </HeadingPairs>
  <TitlesOfParts>
    <vt:vector size="22" baseType="lpstr">
      <vt:lpstr>Nom du personnage</vt:lpstr>
      <vt:lpstr>Restriction de divinité</vt:lpstr>
      <vt:lpstr>Données</vt:lpstr>
      <vt:lpstr>Restriction de carrière</vt:lpstr>
      <vt:lpstr>Religion</vt:lpstr>
      <vt:lpstr>Restriction de moralité</vt:lpstr>
      <vt:lpstr>Compétences raciales</vt:lpstr>
      <vt:lpstr>Compétences</vt:lpstr>
      <vt:lpstr>Bonus Humain</vt:lpstr>
      <vt:lpstr>Contact marchand</vt:lpstr>
      <vt:lpstr>Lecture et écriture</vt:lpstr>
      <vt:lpstr>Compétences raciales + carrière</vt:lpstr>
      <vt:lpstr>Concoction</vt:lpstr>
      <vt:lpstr>Cumulable</vt:lpstr>
      <vt:lpstr>Restriction d'école</vt:lpstr>
      <vt:lpstr>Magie</vt:lpstr>
      <vt:lpstr>Touche à tout Rogue</vt:lpstr>
      <vt:lpstr>Faiblesses</vt:lpstr>
      <vt:lpstr>Immunités</vt:lpstr>
      <vt:lpstr>Données 2</vt:lpstr>
      <vt:lpstr>'Nom du personnage'!Z_1E7B5665_E06C_D74F_B5BD_017FFD6F236B_.wvu.Cols</vt:lpstr>
      <vt:lpstr>'Nom du personnage'!Zone_d_impression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Jimmy Guénette</cp:lastModifiedBy>
  <cp:lastPrinted>2023-05-12T23:59:17Z</cp:lastPrinted>
  <dcterms:created xsi:type="dcterms:W3CDTF">2019-03-07T14:00:49Z</dcterms:created>
  <dcterms:modified xsi:type="dcterms:W3CDTF">2026-06-23T22:42:55Z</dcterms:modified>
</cp:coreProperties>
</file>